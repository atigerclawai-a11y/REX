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Jul" sheetId="2" r:id="rId6"/>
    <sheet state="visible" name="727 М" sheetId="3" r:id="rId7"/>
    <sheet state="visible" name="721 T" sheetId="4" r:id="rId8"/>
    <sheet state="visible" name="722 W" sheetId="5" r:id="rId9"/>
    <sheet state="visible" name="723 TH" sheetId="6" r:id="rId10"/>
    <sheet state="visible" name="724 F" sheetId="7" r:id="rId11"/>
    <sheet state="visible" name="Jan" sheetId="8" r:id="rId12"/>
    <sheet state="visible" name="Feb" sheetId="9" r:id="rId13"/>
    <sheet state="visible" name="Mar" sheetId="10" r:id="rId14"/>
    <sheet state="visible" name="Apr" sheetId="11" r:id="rId15"/>
    <sheet state="visible" name="May" sheetId="12" r:id="rId16"/>
    <sheet state="visible" name="Jun" sheetId="13" r:id="rId17"/>
  </sheets>
  <definedNames/>
  <calcPr/>
</workbook>
</file>

<file path=xl/sharedStrings.xml><?xml version="1.0" encoding="utf-8"?>
<sst xmlns="http://schemas.openxmlformats.org/spreadsheetml/2006/main" count="10900" uniqueCount="572">
  <si>
    <t>GARDEN OF JOY ADULT DAY CARE CENTER</t>
  </si>
  <si>
    <t>Олимп</t>
  </si>
  <si>
    <t>menu for the date 7/1  Wednesday, 2nd shift</t>
  </si>
  <si>
    <t>menu for the date 7/2 Thursday, 2nd shift</t>
  </si>
  <si>
    <t>menu for the date 7/3 Friday, 2nd shift</t>
  </si>
  <si>
    <t>menu for the date 7/6 Monday, 2nd shift</t>
  </si>
  <si>
    <t>menu for the date 7/7 Tusday, 2nd shift</t>
  </si>
  <si>
    <t>menu for the date 7/8  Wednesday, 2nd shift</t>
  </si>
  <si>
    <t>menu for the date 7/9 Thursday, 2nd shift</t>
  </si>
  <si>
    <t>menu for the date 7/21 Tusday, 2nd shift</t>
  </si>
  <si>
    <t>Салат из баклажан</t>
  </si>
  <si>
    <t>menu for the date 7/10 Friday, 2nd shift</t>
  </si>
  <si>
    <t>menu for the date 7/13 Monday, 2nd shift</t>
  </si>
  <si>
    <t>menu for the date 7/13 Tusday, 2nd shift</t>
  </si>
  <si>
    <t>menu for the date 7/14  Wednesday, 2nd shift</t>
  </si>
  <si>
    <t>menu for the date 7/16 Thursday, 2nd shift</t>
  </si>
  <si>
    <t>баклаж</t>
  </si>
  <si>
    <t>menu for the date 7/17 Friday, 2nd shift</t>
  </si>
  <si>
    <t>menu for the date 7/20 Monday, 2nd shift</t>
  </si>
  <si>
    <t>Салат весенний</t>
  </si>
  <si>
    <t>Весна</t>
  </si>
  <si>
    <t>menu for the date 7/22  Wednesday, 2nd shift</t>
  </si>
  <si>
    <t>Винегрет</t>
  </si>
  <si>
    <t>menu for the date 7/27 Monday, 2nd shift</t>
  </si>
  <si>
    <t>menu for the date 7/23 Thursday, 2nd shift</t>
  </si>
  <si>
    <t>Вин</t>
  </si>
  <si>
    <t>Olimp</t>
  </si>
  <si>
    <t>Салат Днестр</t>
  </si>
  <si>
    <t>Днестр</t>
  </si>
  <si>
    <t>menu for the date 7/24 Friday, 2nd shift</t>
  </si>
  <si>
    <t>Квашеная капуста</t>
  </si>
  <si>
    <t>капуста</t>
  </si>
  <si>
    <t xml:space="preserve">Оливье </t>
  </si>
  <si>
    <t xml:space="preserve">Ол </t>
  </si>
  <si>
    <t>Name</t>
  </si>
  <si>
    <t>Сало</t>
  </si>
  <si>
    <t>Кабачковая икра</t>
  </si>
  <si>
    <t>икра</t>
  </si>
  <si>
    <t xml:space="preserve">Салаты </t>
  </si>
  <si>
    <t xml:space="preserve">Свекла </t>
  </si>
  <si>
    <t>Свкл</t>
  </si>
  <si>
    <t>Супы</t>
  </si>
  <si>
    <t>Кани Салат</t>
  </si>
  <si>
    <t>Кани</t>
  </si>
  <si>
    <t xml:space="preserve">Главное </t>
  </si>
  <si>
    <t>Селедка</t>
  </si>
  <si>
    <t>Гарнир</t>
  </si>
  <si>
    <t xml:space="preserve">Борщ зеленый </t>
  </si>
  <si>
    <t>3.Б</t>
  </si>
  <si>
    <t>Борщ красный</t>
  </si>
  <si>
    <t xml:space="preserve">Б </t>
  </si>
  <si>
    <t>Гороховый</t>
  </si>
  <si>
    <t>Горох</t>
  </si>
  <si>
    <t>Albaum Larisa</t>
  </si>
  <si>
    <t>Грибной суп</t>
  </si>
  <si>
    <t>Гриб</t>
  </si>
  <si>
    <t xml:space="preserve">Куриный </t>
  </si>
  <si>
    <t xml:space="preserve">Кур </t>
  </si>
  <si>
    <t>Овощной суп</t>
  </si>
  <si>
    <t>Овощ</t>
  </si>
  <si>
    <t>Харчо</t>
  </si>
  <si>
    <t xml:space="preserve">Харчо </t>
  </si>
  <si>
    <t xml:space="preserve">Aronchik Bronya </t>
  </si>
  <si>
    <t>Баса</t>
  </si>
  <si>
    <t xml:space="preserve"> FF</t>
  </si>
  <si>
    <t>Вар.Кар</t>
  </si>
  <si>
    <t>Салмон</t>
  </si>
  <si>
    <t xml:space="preserve">S  </t>
  </si>
  <si>
    <t>Картошка</t>
  </si>
  <si>
    <t>Баса с помидорами под сыром</t>
  </si>
  <si>
    <t>Блины с мясом</t>
  </si>
  <si>
    <t>Бл. мясо</t>
  </si>
  <si>
    <t>Блины с творогом</t>
  </si>
  <si>
    <t>Бл. твор</t>
  </si>
  <si>
    <t>Вареники с картошкой</t>
  </si>
  <si>
    <t>Голубцы</t>
  </si>
  <si>
    <t>Гуляш</t>
  </si>
  <si>
    <t>Дорадо</t>
  </si>
  <si>
    <t>Жульен</t>
  </si>
  <si>
    <t>Котлеты куриные</t>
  </si>
  <si>
    <t>Котл. кур</t>
  </si>
  <si>
    <t>Куриные крылышки</t>
  </si>
  <si>
    <t>крылья</t>
  </si>
  <si>
    <t>Пельмени</t>
  </si>
  <si>
    <t>Bekerman Alla</t>
  </si>
  <si>
    <t>Поперечка</t>
  </si>
  <si>
    <t>Св. отбивная</t>
  </si>
  <si>
    <t>Bardenshteyn Larisa</t>
  </si>
  <si>
    <t xml:space="preserve">Св. отбив  </t>
  </si>
  <si>
    <t>Цыпленок табака</t>
  </si>
  <si>
    <t>Туш. кап.</t>
  </si>
  <si>
    <t xml:space="preserve">табака </t>
  </si>
  <si>
    <t>Курица в терияки соусе</t>
  </si>
  <si>
    <t>Терияки</t>
  </si>
  <si>
    <t>Чалахач</t>
  </si>
  <si>
    <t xml:space="preserve">Чебуреки </t>
  </si>
  <si>
    <t>Buziashvili Galina</t>
  </si>
  <si>
    <t>Шницель</t>
  </si>
  <si>
    <t>Bass Khana</t>
  </si>
  <si>
    <t>Elbert Milla</t>
  </si>
  <si>
    <t xml:space="preserve">Паста  </t>
  </si>
  <si>
    <t>Bogat Svetlana</t>
  </si>
  <si>
    <t>Epshtein Isaak</t>
  </si>
  <si>
    <t xml:space="preserve">Гр  </t>
  </si>
  <si>
    <t>Epshteyn Yelizaveta</t>
  </si>
  <si>
    <t>Borshch Diana</t>
  </si>
  <si>
    <t>Feldman Klavdya</t>
  </si>
  <si>
    <t>Borshchevskaya Galina</t>
  </si>
  <si>
    <t>Жареная картошка</t>
  </si>
  <si>
    <t>Пюре</t>
  </si>
  <si>
    <t>Breytman Polina</t>
  </si>
  <si>
    <t xml:space="preserve">MP </t>
  </si>
  <si>
    <t>Гречка</t>
  </si>
  <si>
    <t>Картошка по деревенски</t>
  </si>
  <si>
    <t>Паста</t>
  </si>
  <si>
    <t>Тушеная капуста</t>
  </si>
  <si>
    <t>Стручковаыа фасоль</t>
  </si>
  <si>
    <t>Фасоль</t>
  </si>
  <si>
    <t>Chepizhko Raya</t>
  </si>
  <si>
    <t>Gerber Anna</t>
  </si>
  <si>
    <t>Chupikova Elvira</t>
  </si>
  <si>
    <t>Gerber Boris</t>
  </si>
  <si>
    <t>Guberman Ida</t>
  </si>
  <si>
    <t>Dobryanskiy Boris</t>
  </si>
  <si>
    <t>Gukovskaja Natasha V</t>
  </si>
  <si>
    <t>Dranikov Berta</t>
  </si>
  <si>
    <t>Itin Polya</t>
  </si>
  <si>
    <t>Drochik Oleg</t>
  </si>
  <si>
    <t>Kaluzhny Florida</t>
  </si>
  <si>
    <t>Egorova Valentina</t>
  </si>
  <si>
    <t>Kaluzhny Marat</t>
  </si>
  <si>
    <t>Katsen Natalia</t>
  </si>
  <si>
    <t>Fedorova Olga</t>
  </si>
  <si>
    <t>Kheyfits-Shapiro Aleksandra</t>
  </si>
  <si>
    <t>Finkelman Galina</t>
  </si>
  <si>
    <t>Khiger Ninel</t>
  </si>
  <si>
    <t>Garibova Aida</t>
  </si>
  <si>
    <t>Gendelman Anatoliy</t>
  </si>
  <si>
    <t>7/27-31 vacation</t>
  </si>
  <si>
    <t>Kiselgof Mikhail</t>
  </si>
  <si>
    <t>Kravets Aron</t>
  </si>
  <si>
    <t>Gendelman Liliya</t>
  </si>
  <si>
    <t>Kushnir Galina</t>
  </si>
  <si>
    <t xml:space="preserve">Glukhova Shavelina </t>
  </si>
  <si>
    <t>Kushnir Isaak</t>
  </si>
  <si>
    <t>Gritshevsky Yosef</t>
  </si>
  <si>
    <t>Levkova Emma</t>
  </si>
  <si>
    <t>Gurfinkel Vladimir</t>
  </si>
  <si>
    <t>Avakyan Valentina</t>
  </si>
  <si>
    <t>Leykina Margatita</t>
  </si>
  <si>
    <t>Gutkina Lyudmila</t>
  </si>
  <si>
    <t>Itin Leonid</t>
  </si>
  <si>
    <t>Liberman Simon</t>
  </si>
  <si>
    <t>Itkis Iryna</t>
  </si>
  <si>
    <t>Likhtenshteyn Milya</t>
  </si>
  <si>
    <t>Ivanova Emilia</t>
  </si>
  <si>
    <t>Livanova Marioula</t>
  </si>
  <si>
    <t>Bakanurskiy Aleksandr</t>
  </si>
  <si>
    <t>Ivanova Liudmila</t>
  </si>
  <si>
    <t>Lopatinik Nelli</t>
  </si>
  <si>
    <t>Bakanurskiy Svetlana</t>
  </si>
  <si>
    <t>Lvova Tamara</t>
  </si>
  <si>
    <t>Matanseva Ofelia</t>
  </si>
  <si>
    <t>Belotserkovsky Klavdya</t>
  </si>
  <si>
    <t>Keyserman Genya</t>
  </si>
  <si>
    <t>Melamud Klara</t>
  </si>
  <si>
    <t>Belotserkovsky Roma</t>
  </si>
  <si>
    <t>Mikler Galina</t>
  </si>
  <si>
    <t>Khalfina Aida</t>
  </si>
  <si>
    <t>Berezkin Mikhail</t>
  </si>
  <si>
    <t>Milshteyn Lizaveta</t>
  </si>
  <si>
    <t>Khovan Lidia</t>
  </si>
  <si>
    <t>Berman Emma</t>
  </si>
  <si>
    <t>Olevskaya Raisa</t>
  </si>
  <si>
    <t>S    FF</t>
  </si>
  <si>
    <t>Kolos Tatyana</t>
  </si>
  <si>
    <t xml:space="preserve">S   </t>
  </si>
  <si>
    <t>Bitanova Lyudmila</t>
  </si>
  <si>
    <t>Panfilova Galina</t>
  </si>
  <si>
    <t>Korets Tamara</t>
  </si>
  <si>
    <t xml:space="preserve">S   Гр  </t>
  </si>
  <si>
    <t>Perepelytsa Lubov</t>
  </si>
  <si>
    <t>Krasovskaya Elena</t>
  </si>
  <si>
    <t xml:space="preserve">S   MP </t>
  </si>
  <si>
    <t>Polyakova Berta</t>
  </si>
  <si>
    <t>Chernayaselitser Natalia</t>
  </si>
  <si>
    <t xml:space="preserve">S   Паста  </t>
  </si>
  <si>
    <t>Ratner Alla</t>
  </si>
  <si>
    <t>Levin Leonid</t>
  </si>
  <si>
    <t>Ratush Zhanna</t>
  </si>
  <si>
    <t>Leyderman Felix</t>
  </si>
  <si>
    <t>Dodik Sima</t>
  </si>
  <si>
    <t>S   Туш. кап.</t>
  </si>
  <si>
    <t>Rozenberg Larisa</t>
  </si>
  <si>
    <t>Livchak Vadim</t>
  </si>
  <si>
    <t>S   Картошка</t>
  </si>
  <si>
    <t>Rudoy Emma</t>
  </si>
  <si>
    <t>S   Фасоль</t>
  </si>
  <si>
    <t>Maglakelidze Mzia</t>
  </si>
  <si>
    <t>Ryabkova Valentina</t>
  </si>
  <si>
    <t>Makaron Khaya</t>
  </si>
  <si>
    <t>Ryabukhina Klara</t>
  </si>
  <si>
    <t xml:space="preserve">Баса </t>
  </si>
  <si>
    <t>Баса  FF</t>
  </si>
  <si>
    <t>Filippova Raisa</t>
  </si>
  <si>
    <t>Serhiyenko Oleksandra</t>
  </si>
  <si>
    <t xml:space="preserve">Melezhik Rona </t>
  </si>
  <si>
    <t xml:space="preserve">Баса MP </t>
  </si>
  <si>
    <t>Fridman Mikhail</t>
  </si>
  <si>
    <t>Mindich Aleksandr</t>
  </si>
  <si>
    <t xml:space="preserve">Баса Гр  </t>
  </si>
  <si>
    <t>Smolyanskaya Frida</t>
  </si>
  <si>
    <t>Баса Туш. кап.</t>
  </si>
  <si>
    <t>Natenzon Maya</t>
  </si>
  <si>
    <t>Solovyeva Svetlana</t>
  </si>
  <si>
    <t>German Stanislava</t>
  </si>
  <si>
    <t xml:space="preserve">Бл. мясо </t>
  </si>
  <si>
    <t xml:space="preserve">Nirshberg Aron </t>
  </si>
  <si>
    <t>Tsiklauri Donara</t>
  </si>
  <si>
    <t>Norkulov Murod</t>
  </si>
  <si>
    <t>Tsulaia Boris</t>
  </si>
  <si>
    <t xml:space="preserve">Баса Паста  </t>
  </si>
  <si>
    <t xml:space="preserve">Бл. мясо Паста  </t>
  </si>
  <si>
    <t>Баса Картошка</t>
  </si>
  <si>
    <t>Gumarova Nailya</t>
  </si>
  <si>
    <t xml:space="preserve">Бл. твор </t>
  </si>
  <si>
    <t>Uhach Borbala</t>
  </si>
  <si>
    <t>Gumskaya Larisa</t>
  </si>
  <si>
    <t>Usach Mariya</t>
  </si>
  <si>
    <t>Pimutkina Rafiga</t>
  </si>
  <si>
    <t xml:space="preserve">Вар.Кар </t>
  </si>
  <si>
    <t>Gurevich Emma</t>
  </si>
  <si>
    <t>Veksler Svetlana</t>
  </si>
  <si>
    <t>Radomyselskiy Semen</t>
  </si>
  <si>
    <t xml:space="preserve">Бл. мясо MP </t>
  </si>
  <si>
    <t>Volov Boris</t>
  </si>
  <si>
    <t xml:space="preserve">Голубцы </t>
  </si>
  <si>
    <t>Hohal Raisa</t>
  </si>
  <si>
    <t>Yampolskiy Mark</t>
  </si>
  <si>
    <t>Бл. мясо Туш. кап.</t>
  </si>
  <si>
    <t xml:space="preserve">Rukhlevich Svetlana </t>
  </si>
  <si>
    <t>Гуляш  FF</t>
  </si>
  <si>
    <t xml:space="preserve">Yemelyanova Alla </t>
  </si>
  <si>
    <t xml:space="preserve">Голубцы Паста  </t>
  </si>
  <si>
    <t xml:space="preserve">Голубцы Гр  </t>
  </si>
  <si>
    <t>Ruvinskaya Natalia</t>
  </si>
  <si>
    <t xml:space="preserve">Голубцы MP </t>
  </si>
  <si>
    <t>Zhuga Margarita</t>
  </si>
  <si>
    <t xml:space="preserve">Гуляш MP </t>
  </si>
  <si>
    <t xml:space="preserve">Дорадо MP </t>
  </si>
  <si>
    <t>Shteyman Faina</t>
  </si>
  <si>
    <t>cosher</t>
  </si>
  <si>
    <t>Sayenko Valentina</t>
  </si>
  <si>
    <t xml:space="preserve">Бл. твор MP </t>
  </si>
  <si>
    <t xml:space="preserve">Бл. твор Паста  </t>
  </si>
  <si>
    <t xml:space="preserve">Жульен </t>
  </si>
  <si>
    <t xml:space="preserve">Shapiro Roza  </t>
  </si>
  <si>
    <t xml:space="preserve">Дорадо Гр  </t>
  </si>
  <si>
    <t>Дорадо Туш. кап.</t>
  </si>
  <si>
    <t>Shapiro Tamara</t>
  </si>
  <si>
    <t>Вар.Кар Картошка</t>
  </si>
  <si>
    <t xml:space="preserve">Котл. кур </t>
  </si>
  <si>
    <t>Дорадо Фасоль</t>
  </si>
  <si>
    <t xml:space="preserve">Жульен Гр  </t>
  </si>
  <si>
    <t>Shifrina Margarita</t>
  </si>
  <si>
    <t>Kipnis Tetyana</t>
  </si>
  <si>
    <t xml:space="preserve">Гуляш Гр  </t>
  </si>
  <si>
    <t>Rudaya Nina</t>
  </si>
  <si>
    <t>starting 6/30 till call. Dacha</t>
  </si>
  <si>
    <t>Голубцы Картошка</t>
  </si>
  <si>
    <t>Shulkina Ella</t>
  </si>
  <si>
    <t>Котл. кур  FF</t>
  </si>
  <si>
    <t>Zastoynaya Valentina</t>
  </si>
  <si>
    <t>Голубцы Туш. кап.</t>
  </si>
  <si>
    <t>till call</t>
  </si>
  <si>
    <t>Shvarts Edvard</t>
  </si>
  <si>
    <t xml:space="preserve">Дорадо </t>
  </si>
  <si>
    <t>Гуляш Фасоль</t>
  </si>
  <si>
    <t>Yastrubinetskaya Yuliya</t>
  </si>
  <si>
    <t>Дорадо  FF</t>
  </si>
  <si>
    <t>7/21 to 7/19</t>
  </si>
  <si>
    <t xml:space="preserve">Котл. кур Гр  </t>
  </si>
  <si>
    <t>Slavinskiy Grigoriy</t>
  </si>
  <si>
    <t xml:space="preserve">Жульен MP </t>
  </si>
  <si>
    <t>Dovgalyuk Zelda</t>
  </si>
  <si>
    <t xml:space="preserve">Котл. кур MP </t>
  </si>
  <si>
    <t>6/29-7/31 sick</t>
  </si>
  <si>
    <t>Голубцы Фасоль</t>
  </si>
  <si>
    <t xml:space="preserve">Гуляш Паста  </t>
  </si>
  <si>
    <t>Kozachkova Kira</t>
  </si>
  <si>
    <t>Sorits Lev</t>
  </si>
  <si>
    <t xml:space="preserve">Гуляш </t>
  </si>
  <si>
    <t>Гуляш Туш. кап.</t>
  </si>
  <si>
    <t>Kraineva Larissa</t>
  </si>
  <si>
    <t>Котл. кур Картошка</t>
  </si>
  <si>
    <t>Starodubets Valentina</t>
  </si>
  <si>
    <t>Toronchenko Galina</t>
  </si>
  <si>
    <t xml:space="preserve">Поперечка </t>
  </si>
  <si>
    <t>Verbitskaya Svetlana</t>
  </si>
  <si>
    <t xml:space="preserve">Жульен Паста  </t>
  </si>
  <si>
    <t xml:space="preserve">Поперечка Гр  </t>
  </si>
  <si>
    <t xml:space="preserve">Пельмени </t>
  </si>
  <si>
    <t>Жульен Туш. кап.</t>
  </si>
  <si>
    <t>Levina Lyubov</t>
  </si>
  <si>
    <t>Жульен Картошка</t>
  </si>
  <si>
    <t xml:space="preserve">Чалахач </t>
  </si>
  <si>
    <t>Котл. кур Фасоль</t>
  </si>
  <si>
    <t>Поперечка Картошка</t>
  </si>
  <si>
    <t>Levitskaya Galina</t>
  </si>
  <si>
    <t xml:space="preserve">Чалахач Гр  </t>
  </si>
  <si>
    <t>Св. отбив    FF</t>
  </si>
  <si>
    <t>Жульен Фасоль</t>
  </si>
  <si>
    <t>Чалахач Картошка</t>
  </si>
  <si>
    <t>Lidukhover Aleksandr</t>
  </si>
  <si>
    <t xml:space="preserve">Шницель </t>
  </si>
  <si>
    <t>Поперечка  FF</t>
  </si>
  <si>
    <t xml:space="preserve">Поперечка Паста  </t>
  </si>
  <si>
    <t xml:space="preserve">Котл. кур Паста  </t>
  </si>
  <si>
    <t>Lazovskiy Lina</t>
  </si>
  <si>
    <t>Котл. кур Туш. кап.</t>
  </si>
  <si>
    <t xml:space="preserve">Чалахач MP </t>
  </si>
  <si>
    <t>Lazovskiy Valeriy</t>
  </si>
  <si>
    <t>Шницель Картошка</t>
  </si>
  <si>
    <t xml:space="preserve">Поперечка MP </t>
  </si>
  <si>
    <t>Makhtin Raisa</t>
  </si>
  <si>
    <t>Shteyman Alla</t>
  </si>
  <si>
    <t>7/19-28 vacation</t>
  </si>
  <si>
    <t>Шницель Туш. кап.</t>
  </si>
  <si>
    <t>Minogina Ninel</t>
  </si>
  <si>
    <t xml:space="preserve">табака  </t>
  </si>
  <si>
    <t>Naulo Mayya</t>
  </si>
  <si>
    <t>Поперечка Туш. кап.</t>
  </si>
  <si>
    <t xml:space="preserve">Пельмени Гр  </t>
  </si>
  <si>
    <t>Livchak Svetlana</t>
  </si>
  <si>
    <t xml:space="preserve">табака  MP </t>
  </si>
  <si>
    <t xml:space="preserve">Чалахач Паста  </t>
  </si>
  <si>
    <t>Поперечка Фасоль</t>
  </si>
  <si>
    <t>Pako Mayya</t>
  </si>
  <si>
    <t>7/30 to 29</t>
  </si>
  <si>
    <t xml:space="preserve">табака  Паста  </t>
  </si>
  <si>
    <t xml:space="preserve">Св. отбив   </t>
  </si>
  <si>
    <t xml:space="preserve">Св. отбив   Гр  </t>
  </si>
  <si>
    <t xml:space="preserve">Чебуреки  MP </t>
  </si>
  <si>
    <t>Св. отбив   Картошка</t>
  </si>
  <si>
    <t xml:space="preserve">Терияки Паста  </t>
  </si>
  <si>
    <t xml:space="preserve">Prokupets Ida </t>
  </si>
  <si>
    <t>табака  Туш. кап.</t>
  </si>
  <si>
    <t xml:space="preserve">Св. отбив   Паста  </t>
  </si>
  <si>
    <t xml:space="preserve">Св. отбив   MP </t>
  </si>
  <si>
    <t>Шницель Фасоль</t>
  </si>
  <si>
    <t>Терияки Туш. кап.</t>
  </si>
  <si>
    <t>Rokhvarger Zinaida</t>
  </si>
  <si>
    <t>Св. отбив   Туш. кап.</t>
  </si>
  <si>
    <t>табака  Картошка</t>
  </si>
  <si>
    <t>Чалахач Туш. кап.</t>
  </si>
  <si>
    <t>Св. отбив   Фасоль</t>
  </si>
  <si>
    <t xml:space="preserve">Шницель Гр  </t>
  </si>
  <si>
    <t>Чалахач  FF</t>
  </si>
  <si>
    <t>Ruzhanskiy Mikhail</t>
  </si>
  <si>
    <t xml:space="preserve">Терияки MP </t>
  </si>
  <si>
    <t xml:space="preserve">Терияки </t>
  </si>
  <si>
    <t xml:space="preserve">крылья </t>
  </si>
  <si>
    <t xml:space="preserve">Терияки Гр  </t>
  </si>
  <si>
    <t>Терияки Фасоль</t>
  </si>
  <si>
    <t xml:space="preserve">крылья MP </t>
  </si>
  <si>
    <t>Serebryanik Roman</t>
  </si>
  <si>
    <t xml:space="preserve">Чебуреки  </t>
  </si>
  <si>
    <t>Чалахач Фасоль</t>
  </si>
  <si>
    <t xml:space="preserve">табака  Гр  </t>
  </si>
  <si>
    <t>Serhiyenko Anatoliy</t>
  </si>
  <si>
    <t>крылья Туш. кап.</t>
  </si>
  <si>
    <t>Sharay Riva</t>
  </si>
  <si>
    <t>Терияки Картошка</t>
  </si>
  <si>
    <t>Shmailo Olha</t>
  </si>
  <si>
    <t>табака   FF</t>
  </si>
  <si>
    <t>Терияки  FF</t>
  </si>
  <si>
    <t>Shtaygman Yelena</t>
  </si>
  <si>
    <t>Sidorova Olga</t>
  </si>
  <si>
    <t xml:space="preserve">Шницель Паста  </t>
  </si>
  <si>
    <t xml:space="preserve">Шницель MP </t>
  </si>
  <si>
    <t>Spector Vladimir</t>
  </si>
  <si>
    <t>Tapounova Irina</t>
  </si>
  <si>
    <t xml:space="preserve"> till call. Dacha</t>
  </si>
  <si>
    <t xml:space="preserve">крылья Гр  </t>
  </si>
  <si>
    <t>Umanskaya Yelena</t>
  </si>
  <si>
    <t>Шницель  FF</t>
  </si>
  <si>
    <t>Vartanyan Lyudmila</t>
  </si>
  <si>
    <t xml:space="preserve">Vaysburd Anna </t>
  </si>
  <si>
    <t>Veshninskaya Tsilya</t>
  </si>
  <si>
    <t>Volovaya Sofia</t>
  </si>
  <si>
    <t>Yakobson Lyusya</t>
  </si>
  <si>
    <t>Zhirova Inna</t>
  </si>
  <si>
    <t xml:space="preserve">крылья Паста  </t>
  </si>
  <si>
    <t>Zvonchuk Raisa</t>
  </si>
  <si>
    <t>Zhelabovska Nadia</t>
  </si>
  <si>
    <t>Bolotin Marina</t>
  </si>
  <si>
    <t>Udler Bella</t>
  </si>
  <si>
    <t>Kormov Feliks</t>
  </si>
  <si>
    <t>Kormova Lyubov</t>
  </si>
  <si>
    <t>Gamkrelidze Mikhail</t>
  </si>
  <si>
    <t>7/22 to 29 Sveta</t>
  </si>
  <si>
    <t>Shuklina Olga</t>
  </si>
  <si>
    <t>Drabkin Marat</t>
  </si>
  <si>
    <t>Kharats Inna</t>
  </si>
  <si>
    <t xml:space="preserve">Kiselova Raisa </t>
  </si>
  <si>
    <t>Krylashchenko Lyudmila</t>
  </si>
  <si>
    <t>Kulchinskaya Alla</t>
  </si>
  <si>
    <t>Levin Vladimir</t>
  </si>
  <si>
    <t>Mazo Nina</t>
  </si>
  <si>
    <t>Printsman Sofiya</t>
  </si>
  <si>
    <t>Tsigelman Sofia</t>
  </si>
  <si>
    <t>Viazmitsinava Neli</t>
  </si>
  <si>
    <t>Volovich Larisa</t>
  </si>
  <si>
    <t>Kurnos Tatjana</t>
  </si>
  <si>
    <t>7/17-8/16 vacation Andrey</t>
  </si>
  <si>
    <t>7/22-28 off Misha</t>
  </si>
  <si>
    <t>7/23 to 24</t>
  </si>
  <si>
    <t>Abramova Inna</t>
  </si>
  <si>
    <t>Astrakhan Bella</t>
  </si>
  <si>
    <t>menu for the date 1/2 Friday, 2nd shift</t>
  </si>
  <si>
    <t>menu for the date 1/5 Monday, 2nd shift</t>
  </si>
  <si>
    <t>menu for the date 1/6 Tusday, 2nd shift</t>
  </si>
  <si>
    <t>menu for the date 1/7  Wednesday, 2nd shift</t>
  </si>
  <si>
    <t>menu for the date 1/8 Thursday, 2nd shift</t>
  </si>
  <si>
    <t>menu for the date 1/9 Friday, 2nd shift</t>
  </si>
  <si>
    <t>menu for the date 1/12 Monday, 2nd shift</t>
  </si>
  <si>
    <t>Belianina Galina</t>
  </si>
  <si>
    <t>menu for the date 1/13 Tusday, 2nd shift</t>
  </si>
  <si>
    <t>menu for the date 1/14  Wednesday, 2nd shift</t>
  </si>
  <si>
    <t>menu for the date 1/16 Friday, 2nd shift</t>
  </si>
  <si>
    <t>menu for the date 1/19 Monday, 2nd shift</t>
  </si>
  <si>
    <t>menu for the date 1/20 Tusday, 2nd shift</t>
  </si>
  <si>
    <t>menu for the date 1/21  Wednesday, 2nd shift</t>
  </si>
  <si>
    <t>menu for the date 1/22 Thursday, 2nd shift</t>
  </si>
  <si>
    <t>menu for the date 1/23 Friday, 2nd shift</t>
  </si>
  <si>
    <t>menu for the date 1/26 Monday, 2nd shift</t>
  </si>
  <si>
    <t>menu for the date 1/27 Tusday, 2nd shift</t>
  </si>
  <si>
    <t>menu for the date 1/28  Wednesday, 2nd shift</t>
  </si>
  <si>
    <t>menu for the date 1/29 Thursday, 2nd shift</t>
  </si>
  <si>
    <t>menu for the date 1/30 Friday, 2nd shift</t>
  </si>
  <si>
    <t>Beylina Elena</t>
  </si>
  <si>
    <t>Furman Vladimir</t>
  </si>
  <si>
    <t>Kandratovich Liudmila</t>
  </si>
  <si>
    <t>Karpina Taisiia</t>
  </si>
  <si>
    <t>Khazenfus Rima</t>
  </si>
  <si>
    <t>menu for the date 2/2 Monday, 2nd shift</t>
  </si>
  <si>
    <t>menu for the date 2/3 Tusday, 2nd shift</t>
  </si>
  <si>
    <t>menu for the date 2/4  Wednesday, 2nd shift</t>
  </si>
  <si>
    <t>menu for the date 2/5 Thursday, 2nd shift</t>
  </si>
  <si>
    <t>menu for the date 2/6 Friday, 2nd shift</t>
  </si>
  <si>
    <t>menu for the date 2/9 Monday, 2nd shift</t>
  </si>
  <si>
    <t>menu for the date 2/10 Tusday, 2nd shift</t>
  </si>
  <si>
    <t>menu for the date 2/11  Wednesday, 2nd shift</t>
  </si>
  <si>
    <t>menu for the date 2/12 Thursday, 2nd shift</t>
  </si>
  <si>
    <t>menu for the date 2/13 Friday, 2nd shift</t>
  </si>
  <si>
    <t>menu for the date 2/16 Monday, 2nd shift</t>
  </si>
  <si>
    <t>menu for the date 2/17 Tusday, 2nd shift</t>
  </si>
  <si>
    <t>menu for the date 2/18  Wednesday, 2nd shift</t>
  </si>
  <si>
    <t>menu for the date 2/19 Thursday, 2nd shift</t>
  </si>
  <si>
    <t>menu for the date 2/20 Friday, 2nd shift</t>
  </si>
  <si>
    <t>menu for the date 2/23 Monday, 2nd shift</t>
  </si>
  <si>
    <t>menu for the date 2/24 Tusday, 2nd shift</t>
  </si>
  <si>
    <t>menu for the date 2/25  Wednesday, 2nd shift</t>
  </si>
  <si>
    <t>menu for the date 2/26 Thursday, 2nd shift</t>
  </si>
  <si>
    <t>menu for the date 2/27 Friday, 2nd shift</t>
  </si>
  <si>
    <t>Lisogor Lyudmila</t>
  </si>
  <si>
    <t>Баса Фасоль</t>
  </si>
  <si>
    <t>Moroz Nina</t>
  </si>
  <si>
    <t>Бл. мясо  FF</t>
  </si>
  <si>
    <t>Peisakhov Galit</t>
  </si>
  <si>
    <t xml:space="preserve">Plamm Anna </t>
  </si>
  <si>
    <t>Гуляш Картошка</t>
  </si>
  <si>
    <t>Голубцы  FF</t>
  </si>
  <si>
    <t>Бл. твор  FF</t>
  </si>
  <si>
    <t>Sepashvili Julieta</t>
  </si>
  <si>
    <t>Дорадо Картошка</t>
  </si>
  <si>
    <t>Жульен  FF</t>
  </si>
  <si>
    <t>Shumaeva Anna</t>
  </si>
  <si>
    <t>Sologubenko Mariya</t>
  </si>
  <si>
    <t xml:space="preserve">Дорадо Паста  </t>
  </si>
  <si>
    <t>Vayman Alexander</t>
  </si>
  <si>
    <t>Yakubovich Zinaida</t>
  </si>
  <si>
    <t xml:space="preserve">Yarina Luidmila </t>
  </si>
  <si>
    <t>Zlotsky Yulia</t>
  </si>
  <si>
    <t>starting 6/22 dacha</t>
  </si>
  <si>
    <t>7/24 TO 23 , 31 to 30, 8/7 to 6 Misha</t>
  </si>
  <si>
    <t>крылья Картошка</t>
  </si>
  <si>
    <t>табака  Фасоль</t>
  </si>
  <si>
    <t>крылья  FF</t>
  </si>
  <si>
    <t>крылья Фасоль</t>
  </si>
  <si>
    <t>Пельмени Туш. кап.</t>
  </si>
  <si>
    <t>menu for the date 3/2 Monday, 2nd shift</t>
  </si>
  <si>
    <t>menu for the date 3/9 Monday, 2nd shift</t>
  </si>
  <si>
    <t>menu for the date 3/10 Tusday, 2nd shift</t>
  </si>
  <si>
    <t>menu for the date 3/11  Wednesday, 2nd shift</t>
  </si>
  <si>
    <t>menu for the date 3/12 Thursday, 2nd shift</t>
  </si>
  <si>
    <t>menu for the date 3/13 Friday, 2nd shift</t>
  </si>
  <si>
    <t>menu for the date 3/16 Monday, 2nd shift</t>
  </si>
  <si>
    <t>menu for the date 3/17 Tusday, 2nd shift</t>
  </si>
  <si>
    <t>menu for the date 3/18  Wednesday, 2nd shift</t>
  </si>
  <si>
    <t>menu for the date 3/19 Thursday, 2nd shift</t>
  </si>
  <si>
    <t>menu for the date 3/20 Friday, 2nd shift</t>
  </si>
  <si>
    <t>menu for the date 3/23 Monday, 2nd shift</t>
  </si>
  <si>
    <t>menu for the date 3/24 Tusday, 2nd shift</t>
  </si>
  <si>
    <t>menu for the date 3/26 Thursday, 2nd shift</t>
  </si>
  <si>
    <t>menu for the date 3/27 Friday, 2nd shift</t>
  </si>
  <si>
    <t>menu for the date 3/30 Monday, 2nd shift</t>
  </si>
  <si>
    <t>menu for the date 3/31 Tusday, 2nd shift</t>
  </si>
  <si>
    <t>menu for the date 4/1  Wednesday, 2nd shift</t>
  </si>
  <si>
    <t>menu for the date 4/2 Thursday, 2nd shift</t>
  </si>
  <si>
    <t>menu for the date 4/3 Friday, 2nd shift</t>
  </si>
  <si>
    <t>menu for the date 4/6 Monday, 2nd shift</t>
  </si>
  <si>
    <t>menu for the date 4/7 Tusday, 2nd shift</t>
  </si>
  <si>
    <t>menu for the date 4/8  Wednesday, 2nd shift</t>
  </si>
  <si>
    <t>menu for the date 4/9 Thursday, 2nd shift</t>
  </si>
  <si>
    <t>menu for the date 4/10 Friday, 2nd shift</t>
  </si>
  <si>
    <t>menu for the date 4/13 Monday, 2nd shift</t>
  </si>
  <si>
    <t>menu for the date 4/14 Tusday, 2nd shift</t>
  </si>
  <si>
    <t>menu for the date 4/15  Wednesday, 2nd shift</t>
  </si>
  <si>
    <t>menu for the date 4/16 Thursday, 2nd shift</t>
  </si>
  <si>
    <t>menu for the date 4/17 Friday, 2nd shift</t>
  </si>
  <si>
    <t>menu for the date 4/20 Monday, 2nd shift</t>
  </si>
  <si>
    <t>menu for the date 4/28 Tusday, 2nd shift</t>
  </si>
  <si>
    <t>menu for the date 4/29  Wednesday, 2nd shift</t>
  </si>
  <si>
    <t>menu for the date 4/30 Thursday, 2nd shift</t>
  </si>
  <si>
    <t xml:space="preserve">Вар.Кар Гр  </t>
  </si>
  <si>
    <t>menu for the date 5/1 Friday, 2nd shift</t>
  </si>
  <si>
    <t>menu for the date 5/4 Monday, 2nd shift</t>
  </si>
  <si>
    <t>menu for the date 5/5 Tusday, 2nd shift</t>
  </si>
  <si>
    <t>menu for the date 5/6  Wednesday, 2nd shift</t>
  </si>
  <si>
    <t>menu for the date 5/7 Thursday, 2nd shift</t>
  </si>
  <si>
    <t>menu for the date 5/8 Friday, 2nd shift</t>
  </si>
  <si>
    <t>menu for the date 5/11 Monday, 2nd shift</t>
  </si>
  <si>
    <t>menu for the date 5/12 Tusday, 2nd shift</t>
  </si>
  <si>
    <t>menu for the date 5/13  Wednesday, 2nd shift</t>
  </si>
  <si>
    <t>menu for the date 5/14 Thursday, 2nd shift</t>
  </si>
  <si>
    <t>menu for the date 5/15 Friday, 2nd shift</t>
  </si>
  <si>
    <t>menu for the date 5/18 Monday, 2nd shift</t>
  </si>
  <si>
    <t>menu for the date 5/19 Tusday, 2nd shift</t>
  </si>
  <si>
    <t>menu for the date 5/20  Wednesday, 2nd shift</t>
  </si>
  <si>
    <t>menu for the date 5/21 Thursday, 2nd shift</t>
  </si>
  <si>
    <t>menu for the date 5/22 Friday, 2nd shift</t>
  </si>
  <si>
    <t>menu for the date 5/25 Monday, 2nd shift</t>
  </si>
  <si>
    <t>menu for the date 5/26 Tusday, 2nd shift</t>
  </si>
  <si>
    <t>menu for the date 5/27  Wednesday, 2nd shift</t>
  </si>
  <si>
    <t>menu for the date 5/28 Thursday, 2nd shift</t>
  </si>
  <si>
    <t>menu for the date 5/29 Friday, 2nd shift</t>
  </si>
  <si>
    <t>menu for the date 6/1 Monday, 2nd shift</t>
  </si>
  <si>
    <t>menu for the date 6/2 Tusday, 2nd shift</t>
  </si>
  <si>
    <t>menu for the date 6/3  Wednesday, 2nd shift</t>
  </si>
  <si>
    <t>menu for the date 6/4 Thursday, 2nd shift</t>
  </si>
  <si>
    <t>menu for the date 6/5 Friday, 2nd shift</t>
  </si>
  <si>
    <t>menu for the date 6/8 Monday, 2nd shift</t>
  </si>
  <si>
    <t>menu for the date 6/9 Tusday, 2nd shift</t>
  </si>
  <si>
    <t>menu for the date 6/10  Wednesday, 2nd shift</t>
  </si>
  <si>
    <t>menu for the date 6/11 Thursday, 2nd shift</t>
  </si>
  <si>
    <t>menu for the date 6/12 Friday, 2nd shift</t>
  </si>
  <si>
    <t>menu for the date 6/15 Monday, 2nd shift</t>
  </si>
  <si>
    <t>menu for the date 6/16 Tusday, 2nd shift</t>
  </si>
  <si>
    <t>menu for the date 6/17  Wednesday, 2nd shift</t>
  </si>
  <si>
    <t>menu for the date 6/18 Thursday, 2nd shift</t>
  </si>
  <si>
    <t>menu for the date 6/19 Friday, 2nd shift</t>
  </si>
  <si>
    <t>menu for the date 6/22 Monday, 2nd shift</t>
  </si>
  <si>
    <t>menu for the date 6/23 Tusday, 2nd shift</t>
  </si>
  <si>
    <t>menu for the date 6/24  Wednesday, 2nd shift</t>
  </si>
  <si>
    <t>menu for the date 6/25 Thursday, 2nd shift</t>
  </si>
  <si>
    <t>menu for the date 6/26 Friday, 2nd shift</t>
  </si>
  <si>
    <t>menu for the date 6/29 Monday, 2nd shift</t>
  </si>
  <si>
    <t>menu for the date 6/30 Tusday, 2nd shift</t>
  </si>
  <si>
    <t>Бл. мясо Картошка</t>
  </si>
  <si>
    <t>Вар.Кар Фасоль</t>
  </si>
  <si>
    <t xml:space="preserve">Чебуреки  Гр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</si>
</sst>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5">
    <font>
      <sz val="10.0"/>
      <color rgb="FF000000"/>
      <name val="Arial"/>
      <scheme val="minor"/>
    </font>
    <font>
      <sz val="18.0"/>
      <color theme="1"/>
      <name val="Calibri"/>
    </font>
    <font>
      <sz val="16.0"/>
      <color theme="1"/>
      <name val="Calibri"/>
    </font>
    <font>
      <i/>
      <sz val="18.0"/>
      <color theme="1"/>
      <name val="Calibri"/>
    </font>
    <font>
      <sz val="12.0"/>
      <color theme="1"/>
      <name val="Calibri"/>
    </font>
    <font>
      <i/>
      <sz val="18.0"/>
      <color theme="1"/>
      <name val="Arial"/>
    </font>
    <font>
      <b/>
      <sz val="14.0"/>
      <color theme="1"/>
      <name val="Arial"/>
    </font>
    <font>
      <color theme="1"/>
      <name val="Arial"/>
    </font>
    <font>
      <sz val="14.0"/>
      <color theme="1"/>
      <name val="Arial"/>
    </font>
    <font>
      <i/>
      <sz val="11.0"/>
      <color theme="1"/>
      <name val="Calibri"/>
    </font>
    <font>
      <b/>
      <sz val="18.0"/>
      <color rgb="FF000000"/>
      <name val="Calibri"/>
    </font>
    <font>
      <i/>
      <color theme="1"/>
      <name val="Arial"/>
      <scheme val="minor"/>
    </font>
    <font>
      <sz val="18.0"/>
      <color rgb="FF000000"/>
      <name val="Calibri"/>
    </font>
    <font>
      <b/>
      <i/>
      <sz val="18.0"/>
      <color rgb="FF000000"/>
      <name val="Arial"/>
    </font>
    <font>
      <b/>
      <sz val="18.0"/>
      <color theme="1"/>
      <name val="Calibri"/>
    </font>
    <font>
      <b/>
      <i/>
      <sz val="18.0"/>
      <color theme="1"/>
      <name val="Arial"/>
    </font>
    <font>
      <b/>
      <i/>
      <sz val="18.0"/>
      <color theme="1"/>
      <name val="Calibri"/>
    </font>
    <font>
      <b/>
      <i/>
      <sz val="18.0"/>
      <color rgb="FF000000"/>
      <name val="Calibri"/>
    </font>
    <font>
      <sz val="11.0"/>
      <color theme="1"/>
      <name val="Calibri"/>
    </font>
    <font>
      <sz val="14.0"/>
      <color theme="1"/>
      <name val="Calibri"/>
    </font>
    <font>
      <i/>
      <sz val="14.0"/>
      <color theme="1"/>
      <name val="Arial"/>
    </font>
    <font>
      <sz val="16.0"/>
      <color rgb="FF1F1F1F"/>
      <name val="Calibri"/>
    </font>
    <font>
      <i/>
      <sz val="11.0"/>
      <color rgb="FF000000"/>
      <name val="Inconsolata"/>
    </font>
    <font>
      <sz val="16.0"/>
      <color rgb="FF000000"/>
      <name val="Calibri"/>
    </font>
    <font>
      <sz val="12.0"/>
      <color rgb="FF000000"/>
      <name val="Calibri"/>
    </font>
    <font>
      <i/>
      <sz val="12.0"/>
      <color rgb="FF000000"/>
      <name val="Calibri"/>
    </font>
    <font>
      <i/>
      <color theme="1"/>
      <name val="Calibri"/>
    </font>
    <font>
      <color theme="1"/>
      <name val="Arial"/>
      <scheme val="minor"/>
    </font>
    <font>
      <color theme="1"/>
      <name val="Calibri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000000"/>
      <name val="Arial"/>
    </font>
    <font>
      <sz val="14.0"/>
      <color rgb="FF000000"/>
      <name val="Calibri"/>
    </font>
    <font>
      <sz val="18.0"/>
      <color theme="1"/>
      <name val="Arial"/>
    </font>
    <font>
      <sz val="2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rgb="FF1F1F1F"/>
      <name val="&quot;Google Sans&quot;"/>
    </font>
    <font>
      <i/>
      <sz val="10.0"/>
      <color theme="1"/>
      <name val="Calibri"/>
    </font>
    <font>
      <i/>
      <sz val="12.0"/>
      <color theme="1"/>
      <name val="Calibri"/>
    </font>
    <font>
      <i/>
      <sz val="10.0"/>
      <color rgb="FF1F1F1F"/>
      <name val="&quot;Google Sans&quot;"/>
    </font>
    <font>
      <sz val="18.0"/>
      <color theme="1"/>
      <name val="Arial"/>
      <scheme val="minor"/>
    </font>
    <font>
      <sz val="11.0"/>
      <color rgb="FF1F1F1F"/>
      <name val="&quot;Google Sans&quot;"/>
    </font>
    <font>
      <b/>
      <sz val="12.0"/>
      <color theme="1"/>
      <name val="Calibri"/>
    </font>
    <font>
      <b/>
      <sz val="14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1" fillId="2" fontId="6" numFmtId="0" xfId="0" applyAlignment="1" applyBorder="1" applyFont="1">
      <alignment readingOrder="0" vertical="bottom"/>
    </xf>
    <xf borderId="0" fillId="2" fontId="7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0" fillId="2" fontId="4" numFmtId="0" xfId="0" applyFont="1"/>
    <xf borderId="0" fillId="2" fontId="5" numFmtId="0" xfId="0" applyAlignment="1" applyFont="1">
      <alignment vertical="bottom"/>
    </xf>
    <xf borderId="0" fillId="2" fontId="1" numFmtId="0" xfId="0" applyFont="1"/>
    <xf borderId="0" fillId="0" fontId="7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horizontal="left" readingOrder="0" vertical="bottom"/>
    </xf>
    <xf borderId="0" fillId="2" fontId="11" numFmtId="0" xfId="0" applyFont="1"/>
    <xf borderId="1" fillId="2" fontId="2" numFmtId="0" xfId="0" applyAlignment="1" applyBorder="1" applyFont="1">
      <alignment vertical="bottom"/>
    </xf>
    <xf borderId="0" fillId="2" fontId="12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3" numFmtId="0" xfId="0" applyAlignment="1" applyBorder="1" applyFont="1">
      <alignment readingOrder="0" shrinkToFit="0" vertical="bottom" wrapText="0"/>
    </xf>
    <xf borderId="0" fillId="2" fontId="14" numFmtId="0" xfId="0" applyAlignment="1" applyFont="1">
      <alignment readingOrder="0"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readingOrder="0" vertical="bottom"/>
    </xf>
    <xf borderId="1" fillId="2" fontId="15" numFmtId="0" xfId="0" applyAlignment="1" applyBorder="1" applyFont="1">
      <alignment readingOrder="0" vertical="bottom"/>
    </xf>
    <xf borderId="1" fillId="2" fontId="14" numFmtId="0" xfId="0" applyAlignment="1" applyBorder="1" applyFont="1">
      <alignment vertical="bottom"/>
    </xf>
    <xf borderId="1" fillId="2" fontId="8" numFmtId="0" xfId="0" applyBorder="1" applyFont="1"/>
    <xf borderId="1" fillId="2" fontId="10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0" fillId="2" fontId="15" numFmtId="0" xfId="0" applyAlignment="1" applyFont="1">
      <alignment vertical="bottom"/>
    </xf>
    <xf borderId="1" fillId="2" fontId="16" numFmtId="0" xfId="0" applyAlignment="1" applyBorder="1" applyFont="1">
      <alignment vertical="bottom"/>
    </xf>
    <xf borderId="0" fillId="2" fontId="7" numFmtId="0" xfId="0" applyAlignment="1" applyFont="1">
      <alignment vertical="bottom"/>
    </xf>
    <xf borderId="1" fillId="2" fontId="17" numFmtId="0" xfId="0" applyAlignment="1" applyBorder="1" applyFont="1">
      <alignment vertical="bottom"/>
    </xf>
    <xf borderId="0" fillId="2" fontId="18" numFmtId="0" xfId="0" applyAlignment="1" applyFont="1">
      <alignment vertical="bottom"/>
    </xf>
    <xf borderId="1" fillId="2" fontId="19" numFmtId="0" xfId="0" applyBorder="1" applyFont="1"/>
    <xf borderId="1" fillId="2" fontId="9" numFmtId="0" xfId="0" applyAlignment="1" applyBorder="1" applyFont="1">
      <alignment vertical="bottom"/>
    </xf>
    <xf borderId="1" fillId="2" fontId="18" numFmtId="0" xfId="0" applyAlignment="1" applyBorder="1" applyFont="1">
      <alignment shrinkToFit="0" vertical="bottom" wrapText="0"/>
    </xf>
    <xf borderId="0" fillId="2" fontId="2" numFmtId="0" xfId="0" applyAlignment="1" applyFont="1">
      <alignment vertical="bottom"/>
    </xf>
    <xf borderId="1" fillId="2" fontId="19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1" fillId="2" fontId="9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vertical="bottom"/>
    </xf>
    <xf borderId="1" fillId="2" fontId="20" numFmtId="0" xfId="0" applyBorder="1" applyFont="1"/>
    <xf borderId="1" fillId="2" fontId="21" numFmtId="0" xfId="0" applyAlignment="1" applyBorder="1" applyFont="1">
      <alignment vertical="bottom"/>
    </xf>
    <xf borderId="1" fillId="2" fontId="1" numFmtId="0" xfId="0" applyAlignment="1" applyBorder="1" applyFont="1">
      <alignment readingOrder="0" shrinkToFit="0" vertical="bottom" wrapText="0"/>
    </xf>
    <xf borderId="0" fillId="2" fontId="22" numFmtId="0" xfId="0" applyFont="1"/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shrinkToFit="0" vertical="bottom" wrapText="0"/>
    </xf>
    <xf borderId="1" fillId="2" fontId="1" numFmtId="1" xfId="0" applyAlignment="1" applyBorder="1" applyFont="1" applyNumberFormat="1">
      <alignment readingOrder="0" vertical="bottom"/>
    </xf>
    <xf borderId="1" fillId="2" fontId="21" numFmtId="0" xfId="0" applyAlignment="1" applyBorder="1" applyFont="1">
      <alignment vertical="bottom"/>
    </xf>
    <xf borderId="1" fillId="2" fontId="3" numFmtId="1" xfId="0" applyAlignment="1" applyBorder="1" applyFont="1" applyNumberFormat="1">
      <alignment readingOrder="0" vertical="bottom"/>
    </xf>
    <xf borderId="3" fillId="2" fontId="23" numFmtId="0" xfId="0" applyAlignment="1" applyBorder="1" applyFont="1">
      <alignment vertical="bottom"/>
    </xf>
    <xf borderId="1" fillId="2" fontId="24" numFmtId="0" xfId="0" applyBorder="1" applyFont="1"/>
    <xf borderId="1" fillId="2" fontId="25" numFmtId="0" xfId="0" applyBorder="1" applyFont="1"/>
    <xf borderId="1" fillId="2" fontId="24" numFmtId="0" xfId="0" applyAlignment="1" applyBorder="1" applyFont="1">
      <alignment readingOrder="0" vertical="bottom"/>
    </xf>
    <xf borderId="1" fillId="2" fontId="25" numFmtId="0" xfId="0" applyAlignment="1" applyBorder="1" applyFont="1">
      <alignment readingOrder="0" vertical="bottom"/>
    </xf>
    <xf borderId="0" fillId="2" fontId="26" numFmtId="0" xfId="0" applyFont="1"/>
    <xf borderId="0" fillId="2" fontId="26" numFmtId="0" xfId="0" applyAlignment="1" applyFont="1">
      <alignment readingOrder="0"/>
    </xf>
    <xf borderId="0" fillId="2" fontId="21" numFmtId="0" xfId="0" applyAlignment="1" applyFont="1">
      <alignment vertical="bottom"/>
    </xf>
    <xf borderId="4" fillId="2" fontId="1" numFmtId="1" xfId="0" applyAlignment="1" applyBorder="1" applyFont="1" applyNumberFormat="1">
      <alignment readingOrder="0" vertical="bottom"/>
    </xf>
    <xf borderId="1" fillId="2" fontId="3" numFmtId="0" xfId="0" applyAlignment="1" applyBorder="1" applyFont="1">
      <alignment readingOrder="0" vertical="bottom"/>
    </xf>
    <xf borderId="0" fillId="2" fontId="27" numFmtId="0" xfId="0" applyFont="1"/>
    <xf borderId="4" fillId="2" fontId="3" numFmtId="1" xfId="0" applyAlignment="1" applyBorder="1" applyFont="1" applyNumberFormat="1">
      <alignment readingOrder="0" vertical="bottom"/>
    </xf>
    <xf borderId="1" fillId="0" fontId="7" numFmtId="0" xfId="0" applyAlignment="1" applyBorder="1" applyFont="1">
      <alignment vertical="bottom"/>
    </xf>
    <xf borderId="4" fillId="2" fontId="3" numFmtId="1" xfId="0" applyAlignment="1" applyBorder="1" applyFont="1" applyNumberFormat="1">
      <alignment vertical="bottom"/>
    </xf>
    <xf borderId="0" fillId="2" fontId="28" numFmtId="0" xfId="0" applyFont="1"/>
    <xf borderId="1" fillId="2" fontId="7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1" fillId="2" fontId="1" numFmtId="0" xfId="0" applyAlignment="1" applyBorder="1" applyFont="1">
      <alignment shrinkToFit="0" vertical="bottom" wrapText="1"/>
    </xf>
    <xf borderId="1" fillId="2" fontId="20" numFmtId="0" xfId="0" applyAlignment="1" applyBorder="1" applyFont="1">
      <alignment vertical="bottom"/>
    </xf>
    <xf borderId="0" fillId="0" fontId="27" numFmtId="0" xfId="0" applyFont="1"/>
    <xf borderId="1" fillId="2" fontId="3" numFmtId="0" xfId="0" applyAlignment="1" applyBorder="1" applyFont="1">
      <alignment readingOrder="0"/>
    </xf>
    <xf borderId="1" fillId="0" fontId="8" numFmtId="0" xfId="0" applyBorder="1" applyFont="1"/>
    <xf borderId="1" fillId="2" fontId="1" numFmtId="0" xfId="0" applyAlignment="1" applyBorder="1" applyFont="1">
      <alignment readingOrder="0"/>
    </xf>
    <xf borderId="1" fillId="0" fontId="29" numFmtId="0" xfId="0" applyBorder="1" applyFont="1"/>
    <xf borderId="1" fillId="0" fontId="8" numFmtId="0" xfId="0" applyAlignment="1" applyBorder="1" applyFont="1">
      <alignment readingOrder="0"/>
    </xf>
    <xf borderId="0" fillId="2" fontId="30" numFmtId="0" xfId="0" applyFont="1"/>
    <xf borderId="5" fillId="2" fontId="1" numFmtId="0" xfId="0" applyAlignment="1" applyBorder="1" applyFont="1">
      <alignment readingOrder="0" vertical="bottom"/>
    </xf>
    <xf borderId="1" fillId="0" fontId="29" numFmtId="0" xfId="0" applyAlignment="1" applyBorder="1" applyFont="1">
      <alignment readingOrder="0"/>
    </xf>
    <xf borderId="1" fillId="3" fontId="28" numFmtId="0" xfId="0" applyAlignment="1" applyBorder="1" applyFill="1" applyFont="1">
      <alignment vertical="bottom"/>
    </xf>
    <xf borderId="6" fillId="2" fontId="1" numFmtId="1" xfId="0" applyAlignment="1" applyBorder="1" applyFont="1" applyNumberFormat="1">
      <alignment readingOrder="0" vertical="bottom"/>
    </xf>
    <xf borderId="0" fillId="2" fontId="14" numFmtId="0" xfId="0" applyAlignment="1" applyFont="1">
      <alignment vertical="bottom"/>
    </xf>
    <xf borderId="0" fillId="2" fontId="24" numFmtId="0" xfId="0" applyFont="1"/>
    <xf borderId="1" fillId="2" fontId="1" numFmtId="0" xfId="0" applyAlignment="1" applyBorder="1" applyFont="1">
      <alignment horizontal="right" readingOrder="0" vertical="bottom"/>
    </xf>
    <xf borderId="1" fillId="2" fontId="24" numFmtId="0" xfId="0" applyAlignment="1" applyBorder="1" applyFont="1">
      <alignment vertical="bottom"/>
    </xf>
    <xf borderId="1" fillId="2" fontId="19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4" fillId="2" fontId="1" numFmtId="1" xfId="0" applyAlignment="1" applyBorder="1" applyFont="1" applyNumberFormat="1">
      <alignment vertical="bottom"/>
    </xf>
    <xf borderId="0" fillId="2" fontId="1" numFmtId="1" xfId="0" applyAlignment="1" applyFont="1" applyNumberFormat="1">
      <alignment readingOrder="0" vertical="bottom"/>
    </xf>
    <xf borderId="5" fillId="2" fontId="3" numFmtId="0" xfId="0" applyAlignment="1" applyBorder="1" applyFont="1">
      <alignment readingOrder="0" vertical="bottom"/>
    </xf>
    <xf borderId="1" fillId="2" fontId="31" numFmtId="0" xfId="0" applyBorder="1" applyFont="1"/>
    <xf borderId="1" fillId="2" fontId="32" numFmtId="0" xfId="0" applyBorder="1" applyFont="1"/>
    <xf borderId="0" fillId="2" fontId="1" numFmtId="0" xfId="0" applyAlignment="1" applyFont="1">
      <alignment readingOrder="0"/>
    </xf>
    <xf borderId="1" fillId="2" fontId="1" numFmtId="164" xfId="0" applyAlignment="1" applyBorder="1" applyFont="1" applyNumberFormat="1">
      <alignment readingOrder="0" vertical="bottom"/>
    </xf>
    <xf borderId="1" fillId="2" fontId="3" numFmtId="0" xfId="0" applyAlignment="1" applyBorder="1" applyFont="1">
      <alignment shrinkToFit="0" vertical="bottom" wrapText="1"/>
    </xf>
    <xf borderId="1" fillId="4" fontId="1" numFmtId="1" xfId="0" applyAlignment="1" applyBorder="1" applyFill="1" applyFont="1" applyNumberFormat="1">
      <alignment readingOrder="0" vertical="bottom"/>
    </xf>
    <xf borderId="7" fillId="2" fontId="1" numFmtId="1" xfId="0" applyAlignment="1" applyBorder="1" applyFont="1" applyNumberFormat="1">
      <alignment readingOrder="0" vertical="bottom"/>
    </xf>
    <xf borderId="1" fillId="2" fontId="3" numFmtId="0" xfId="0" applyAlignment="1" applyBorder="1" applyFont="1">
      <alignment readingOrder="0" shrinkToFit="0" vertical="bottom" wrapText="1"/>
    </xf>
    <xf borderId="1" fillId="2" fontId="1" numFmtId="1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1" fillId="2" fontId="3" numFmtId="1" xfId="0" applyAlignment="1" applyBorder="1" applyFont="1" applyNumberFormat="1">
      <alignment vertical="bottom"/>
    </xf>
    <xf borderId="0" fillId="2" fontId="28" numFmtId="0" xfId="0" applyAlignment="1" applyFont="1">
      <alignment readingOrder="0"/>
    </xf>
    <xf borderId="6" fillId="2" fontId="3" numFmtId="1" xfId="0" applyAlignment="1" applyBorder="1" applyFont="1" applyNumberFormat="1">
      <alignment readingOrder="0" vertical="bottom"/>
    </xf>
    <xf borderId="7" fillId="2" fontId="3" numFmtId="1" xfId="0" applyAlignment="1" applyBorder="1" applyFont="1" applyNumberFormat="1">
      <alignment readingOrder="0" vertical="bottom"/>
    </xf>
    <xf borderId="1" fillId="2" fontId="33" numFmtId="0" xfId="0" applyAlignment="1" applyBorder="1" applyFont="1">
      <alignment vertical="bottom"/>
    </xf>
    <xf borderId="0" fillId="2" fontId="34" numFmtId="0" xfId="0" applyFont="1"/>
    <xf borderId="0" fillId="2" fontId="29" numFmtId="0" xfId="0" applyFont="1"/>
    <xf borderId="1" fillId="2" fontId="1" numFmtId="0" xfId="0" applyAlignment="1" applyBorder="1" applyFont="1">
      <alignment readingOrder="0" shrinkToFit="0" vertical="bottom" wrapText="1"/>
    </xf>
    <xf borderId="1" fillId="2" fontId="35" numFmtId="0" xfId="0" applyAlignment="1" applyBorder="1" applyFont="1">
      <alignment horizontal="left" readingOrder="0" vertical="bottom"/>
    </xf>
    <xf borderId="1" fillId="2" fontId="36" numFmtId="0" xfId="0" applyAlignment="1" applyBorder="1" applyFont="1">
      <alignment readingOrder="0" shrinkToFit="0" vertical="bottom" wrapText="0"/>
    </xf>
    <xf borderId="1" fillId="3" fontId="37" numFmtId="0" xfId="0" applyAlignment="1" applyBorder="1" applyFont="1">
      <alignment readingOrder="0"/>
    </xf>
    <xf borderId="1" fillId="2" fontId="28" numFmtId="0" xfId="0" applyAlignment="1" applyBorder="1" applyFont="1">
      <alignment vertical="bottom"/>
    </xf>
    <xf borderId="0" fillId="2" fontId="38" numFmtId="0" xfId="0" applyFont="1"/>
    <xf borderId="5" fillId="2" fontId="1" numFmtId="0" xfId="0" applyAlignment="1" applyBorder="1" applyFont="1">
      <alignment vertical="bottom"/>
    </xf>
    <xf borderId="6" fillId="2" fontId="11" numFmtId="0" xfId="0" applyBorder="1" applyFont="1"/>
    <xf borderId="0" fillId="2" fontId="3" numFmtId="0" xfId="0" applyAlignment="1" applyFont="1">
      <alignment readingOrder="0"/>
    </xf>
    <xf borderId="0" fillId="2" fontId="39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vertical="bottom"/>
    </xf>
    <xf borderId="1" fillId="2" fontId="38" numFmtId="0" xfId="0" applyAlignment="1" applyBorder="1" applyFont="1">
      <alignment readingOrder="0" shrinkToFit="0" vertical="bottom" wrapText="0"/>
    </xf>
    <xf borderId="1" fillId="2" fontId="40" numFmtId="0" xfId="0" applyAlignment="1" applyBorder="1" applyFont="1">
      <alignment readingOrder="0"/>
    </xf>
    <xf borderId="1" fillId="2" fontId="28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/>
    </xf>
    <xf borderId="0" fillId="2" fontId="8" numFmtId="0" xfId="0" applyFont="1"/>
    <xf borderId="4" fillId="4" fontId="1" numFmtId="1" xfId="0" applyAlignment="1" applyBorder="1" applyFont="1" applyNumberFormat="1">
      <alignment readingOrder="0" vertical="bottom"/>
    </xf>
    <xf borderId="1" fillId="2" fontId="29" numFmtId="0" xfId="0" applyBorder="1" applyFont="1"/>
    <xf borderId="1" fillId="2" fontId="12" numFmtId="0" xfId="0" applyAlignment="1" applyBorder="1" applyFont="1">
      <alignment readingOrder="0" shrinkToFit="0" vertical="bottom" wrapText="1"/>
    </xf>
    <xf borderId="0" fillId="2" fontId="7" numFmtId="0" xfId="0" applyAlignment="1" applyFont="1">
      <alignment readingOrder="0" vertical="bottom"/>
    </xf>
    <xf borderId="0" fillId="2" fontId="41" numFmtId="0" xfId="0" applyFont="1"/>
    <xf borderId="0" fillId="2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1" fillId="5" fontId="35" numFmtId="0" xfId="0" applyAlignment="1" applyBorder="1" applyFill="1" applyFont="1">
      <alignment readingOrder="0"/>
    </xf>
    <xf borderId="1" fillId="2" fontId="14" numFmtId="0" xfId="0" applyAlignment="1" applyBorder="1" applyFont="1">
      <alignment readingOrder="0" vertical="bottom"/>
    </xf>
    <xf borderId="1" fillId="6" fontId="1" numFmtId="1" xfId="0" applyAlignment="1" applyBorder="1" applyFill="1" applyFont="1" applyNumberFormat="1">
      <alignment readingOrder="0" vertical="bottom"/>
    </xf>
    <xf borderId="1" fillId="3" fontId="35" numFmtId="0" xfId="0" applyAlignment="1" applyBorder="1" applyFont="1">
      <alignment readingOrder="0"/>
    </xf>
    <xf borderId="1" fillId="2" fontId="35" numFmtId="0" xfId="0" applyAlignment="1" applyBorder="1" applyFont="1">
      <alignment readingOrder="0"/>
    </xf>
    <xf borderId="0" fillId="2" fontId="42" numFmtId="0" xfId="0" applyAlignment="1" applyFont="1">
      <alignment readingOrder="0"/>
    </xf>
    <xf borderId="0" fillId="2" fontId="43" numFmtId="0" xfId="0" applyFont="1"/>
    <xf borderId="0" fillId="2" fontId="14" numFmtId="0" xfId="0" applyFont="1"/>
    <xf borderId="1" fillId="2" fontId="12" numFmtId="0" xfId="0" applyBorder="1" applyFont="1"/>
    <xf borderId="1" fillId="2" fontId="12" numFmtId="0" xfId="0" applyAlignment="1" applyBorder="1" applyFont="1">
      <alignment readingOrder="0" vertical="bottom"/>
    </xf>
    <xf borderId="1" fillId="2" fontId="6" numFmtId="0" xfId="0" applyAlignment="1" applyBorder="1" applyFont="1">
      <alignment vertical="bottom"/>
    </xf>
    <xf borderId="1" fillId="2" fontId="44" numFmtId="0" xfId="0" applyAlignment="1" applyBorder="1" applyFont="1">
      <alignment horizontal="left" readingOrder="0" vertical="bottom"/>
    </xf>
    <xf borderId="0" fillId="0" fontId="8" numFmtId="0" xfId="0" applyAlignment="1" applyFont="1">
      <alignment vertical="bottom"/>
    </xf>
    <xf borderId="4" fillId="2" fontId="7" numFmtId="1" xfId="0" applyAlignment="1" applyBorder="1" applyFont="1" applyNumberFormat="1">
      <alignment vertical="bottom"/>
    </xf>
    <xf borderId="1" fillId="2" fontId="4" numFmtId="0" xfId="0" applyBorder="1" applyFont="1"/>
    <xf borderId="1" fillId="0" fontId="6" numFmtId="0" xfId="0" applyAlignment="1" applyBorder="1" applyFont="1">
      <alignment readingOrder="0"/>
    </xf>
    <xf borderId="1" fillId="2" fontId="19" numFmtId="0" xfId="0" applyAlignment="1" applyBorder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3.63"/>
    <col customWidth="1" min="3" max="3" width="34.25"/>
  </cols>
  <sheetData>
    <row r="1">
      <c r="A1" s="2" t="s">
        <v>1</v>
      </c>
      <c r="B1" s="8"/>
      <c r="C1" s="13"/>
    </row>
    <row r="2">
      <c r="A2" s="17" t="s">
        <v>10</v>
      </c>
      <c r="B2" s="19" t="s">
        <v>16</v>
      </c>
      <c r="C2" s="13"/>
    </row>
    <row r="3">
      <c r="A3" s="20" t="s">
        <v>19</v>
      </c>
      <c r="B3" s="20" t="s">
        <v>20</v>
      </c>
      <c r="C3" s="13"/>
    </row>
    <row r="4">
      <c r="A4" s="20" t="s">
        <v>22</v>
      </c>
      <c r="B4" s="20" t="s">
        <v>25</v>
      </c>
      <c r="C4" s="13"/>
    </row>
    <row r="5">
      <c r="A5" s="19" t="s">
        <v>27</v>
      </c>
      <c r="B5" s="19" t="s">
        <v>28</v>
      </c>
      <c r="C5" s="24"/>
    </row>
    <row r="6">
      <c r="A6" s="20" t="s">
        <v>30</v>
      </c>
      <c r="B6" s="20" t="s">
        <v>31</v>
      </c>
      <c r="C6" s="24"/>
    </row>
    <row r="7">
      <c r="A7" s="20" t="s">
        <v>32</v>
      </c>
      <c r="B7" s="20" t="s">
        <v>33</v>
      </c>
      <c r="C7" s="13"/>
      <c r="D7" s="20" t="s">
        <v>22</v>
      </c>
      <c r="E7" s="20" t="s">
        <v>25</v>
      </c>
    </row>
    <row r="8">
      <c r="A8" s="20" t="s">
        <v>35</v>
      </c>
      <c r="B8" s="20" t="s">
        <v>35</v>
      </c>
      <c r="C8" s="24"/>
      <c r="D8" s="20" t="s">
        <v>36</v>
      </c>
      <c r="E8" s="17" t="s">
        <v>37</v>
      </c>
    </row>
    <row r="9">
      <c r="A9" s="20" t="s">
        <v>39</v>
      </c>
      <c r="B9" s="20" t="s">
        <v>40</v>
      </c>
      <c r="C9" s="24"/>
      <c r="D9" s="17" t="s">
        <v>42</v>
      </c>
      <c r="E9" s="17" t="s">
        <v>43</v>
      </c>
    </row>
    <row r="10">
      <c r="A10" s="20" t="s">
        <v>45</v>
      </c>
      <c r="B10" s="20" t="s">
        <v>45</v>
      </c>
      <c r="C10" s="24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8"/>
    </row>
    <row r="18">
      <c r="A18" s="13"/>
      <c r="B18" s="13"/>
      <c r="C18" s="34"/>
    </row>
    <row r="19">
      <c r="A19" s="13"/>
      <c r="B19" s="13"/>
      <c r="C19" s="34"/>
      <c r="D19" s="20"/>
      <c r="E19" s="20"/>
    </row>
    <row r="20">
      <c r="A20" s="20" t="s">
        <v>47</v>
      </c>
      <c r="B20" s="20" t="s">
        <v>48</v>
      </c>
      <c r="C20" s="34"/>
      <c r="D20" s="40"/>
      <c r="E20" s="20"/>
    </row>
    <row r="21">
      <c r="A21" s="17" t="s">
        <v>49</v>
      </c>
      <c r="B21" s="17" t="s">
        <v>50</v>
      </c>
      <c r="C21" s="34"/>
      <c r="D21" s="42"/>
      <c r="E21" s="40"/>
    </row>
    <row r="22">
      <c r="A22" s="19" t="s">
        <v>51</v>
      </c>
      <c r="B22" s="19" t="s">
        <v>52</v>
      </c>
      <c r="C22" s="34"/>
      <c r="D22" s="20"/>
      <c r="E22" s="20"/>
    </row>
    <row r="23">
      <c r="A23" s="19" t="s">
        <v>54</v>
      </c>
      <c r="B23" s="46" t="s">
        <v>55</v>
      </c>
      <c r="C23" s="34"/>
      <c r="D23" s="19"/>
      <c r="E23" s="20"/>
    </row>
    <row r="24">
      <c r="A24" s="17" t="s">
        <v>56</v>
      </c>
      <c r="B24" s="17" t="s">
        <v>57</v>
      </c>
      <c r="C24" s="34"/>
      <c r="D24" s="20"/>
      <c r="E24" s="20"/>
    </row>
    <row r="25">
      <c r="A25" s="20" t="s">
        <v>58</v>
      </c>
      <c r="B25" s="17" t="s">
        <v>59</v>
      </c>
      <c r="C25" s="8"/>
      <c r="D25" s="19"/>
      <c r="E25" s="19"/>
    </row>
    <row r="26">
      <c r="A26" s="20" t="s">
        <v>60</v>
      </c>
      <c r="B26" s="20" t="s">
        <v>61</v>
      </c>
      <c r="C26" s="8"/>
      <c r="D26" s="19"/>
      <c r="E26" s="19"/>
    </row>
    <row r="27">
      <c r="A27" s="13"/>
      <c r="B27" s="13"/>
      <c r="C27" s="8"/>
      <c r="D27" s="20"/>
      <c r="E27" s="20"/>
    </row>
    <row r="28">
      <c r="A28" s="13"/>
      <c r="B28" s="13"/>
      <c r="C28" s="13"/>
      <c r="D28" s="19"/>
      <c r="E28" s="52"/>
    </row>
    <row r="29">
      <c r="A29" s="13"/>
      <c r="B29" s="13"/>
      <c r="C29" s="13"/>
      <c r="D29" s="20"/>
      <c r="E29" s="20"/>
    </row>
    <row r="30">
      <c r="A30" s="13"/>
      <c r="B30" s="13"/>
      <c r="C30" s="13"/>
      <c r="D30" s="19"/>
      <c r="E30" s="19"/>
    </row>
    <row r="31">
      <c r="A31" s="13"/>
      <c r="B31" s="13"/>
      <c r="C31" s="13"/>
    </row>
    <row r="32">
      <c r="A32" s="13"/>
      <c r="B32" s="13"/>
      <c r="C32" s="13"/>
    </row>
    <row r="33">
      <c r="A33" s="8"/>
      <c r="B33" s="8"/>
      <c r="C33" s="13"/>
    </row>
    <row r="34">
      <c r="A34" s="8"/>
      <c r="B34" s="8"/>
      <c r="C34" s="24"/>
    </row>
    <row r="35">
      <c r="A35" s="8"/>
      <c r="B35" s="8"/>
      <c r="C35" s="24"/>
    </row>
    <row r="36">
      <c r="A36" s="20" t="s">
        <v>66</v>
      </c>
      <c r="B36" s="20" t="s">
        <v>67</v>
      </c>
      <c r="C36" s="13"/>
      <c r="D36" s="54"/>
    </row>
    <row r="37">
      <c r="A37" s="20" t="s">
        <v>69</v>
      </c>
      <c r="B37" s="20" t="s">
        <v>63</v>
      </c>
      <c r="C37" s="24"/>
    </row>
    <row r="38">
      <c r="A38" s="40" t="s">
        <v>70</v>
      </c>
      <c r="B38" s="40" t="s">
        <v>71</v>
      </c>
      <c r="C38" s="24"/>
    </row>
    <row r="39">
      <c r="A39" s="20" t="s">
        <v>72</v>
      </c>
      <c r="B39" s="20" t="s">
        <v>73</v>
      </c>
      <c r="C39" s="24"/>
    </row>
    <row r="40">
      <c r="A40" s="20" t="s">
        <v>74</v>
      </c>
      <c r="B40" s="20" t="s">
        <v>65</v>
      </c>
      <c r="C40" s="24"/>
    </row>
    <row r="41">
      <c r="A41" s="20" t="s">
        <v>75</v>
      </c>
      <c r="B41" s="20" t="s">
        <v>75</v>
      </c>
      <c r="C41" s="24"/>
    </row>
    <row r="42">
      <c r="A42" s="20" t="s">
        <v>76</v>
      </c>
      <c r="B42" s="20" t="s">
        <v>76</v>
      </c>
      <c r="C42" s="24"/>
    </row>
    <row r="43">
      <c r="A43" s="19" t="s">
        <v>77</v>
      </c>
      <c r="B43" s="19" t="s">
        <v>77</v>
      </c>
      <c r="C43" s="24"/>
    </row>
    <row r="44">
      <c r="A44" s="20" t="s">
        <v>78</v>
      </c>
      <c r="B44" s="20" t="s">
        <v>78</v>
      </c>
      <c r="C44" s="24"/>
    </row>
    <row r="45">
      <c r="A45" s="19" t="s">
        <v>79</v>
      </c>
      <c r="B45" s="19" t="s">
        <v>80</v>
      </c>
      <c r="C45" s="24"/>
    </row>
    <row r="46">
      <c r="A46" s="20" t="s">
        <v>81</v>
      </c>
      <c r="B46" s="20" t="s">
        <v>82</v>
      </c>
      <c r="C46" s="24"/>
    </row>
    <row r="47">
      <c r="A47" s="61" t="s">
        <v>83</v>
      </c>
      <c r="B47" s="61" t="s">
        <v>83</v>
      </c>
      <c r="C47" s="24"/>
    </row>
    <row r="48">
      <c r="A48" s="19" t="s">
        <v>85</v>
      </c>
      <c r="B48" s="19" t="s">
        <v>85</v>
      </c>
      <c r="C48" s="24"/>
    </row>
    <row r="49">
      <c r="A49" s="20" t="s">
        <v>86</v>
      </c>
      <c r="B49" s="20" t="s">
        <v>88</v>
      </c>
      <c r="C49" s="24"/>
    </row>
    <row r="50">
      <c r="A50" s="20" t="s">
        <v>89</v>
      </c>
      <c r="B50" s="20" t="s">
        <v>91</v>
      </c>
      <c r="C50" s="24"/>
    </row>
    <row r="51">
      <c r="A51" s="20" t="s">
        <v>92</v>
      </c>
      <c r="B51" s="19" t="s">
        <v>93</v>
      </c>
      <c r="C51" s="24"/>
    </row>
    <row r="52">
      <c r="A52" s="20" t="s">
        <v>94</v>
      </c>
      <c r="B52" s="20" t="s">
        <v>94</v>
      </c>
      <c r="C52" s="24"/>
    </row>
    <row r="53">
      <c r="A53" s="20" t="s">
        <v>95</v>
      </c>
      <c r="B53" s="19" t="s">
        <v>95</v>
      </c>
      <c r="C53" s="2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</row>
    <row r="54">
      <c r="A54" s="19" t="s">
        <v>97</v>
      </c>
      <c r="B54" s="19" t="s">
        <v>97</v>
      </c>
      <c r="C54" s="8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</row>
    <row r="55">
      <c r="A55" s="66"/>
      <c r="B55" s="66"/>
      <c r="C55" s="8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</row>
    <row r="56">
      <c r="A56" s="13"/>
      <c r="B56" s="13"/>
      <c r="C56" s="8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</row>
    <row r="57">
      <c r="A57" s="13"/>
      <c r="B57" s="13"/>
      <c r="C57" s="8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</row>
    <row r="58">
      <c r="A58" s="13"/>
      <c r="B58" s="13"/>
      <c r="C58" s="8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</row>
    <row r="59">
      <c r="A59" s="13"/>
      <c r="B59" s="13"/>
      <c r="C59" s="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</row>
    <row r="60">
      <c r="A60" s="66"/>
      <c r="B60" s="66"/>
      <c r="C60" s="8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</row>
    <row r="61">
      <c r="A61" s="69"/>
      <c r="B61" s="66"/>
      <c r="C61" s="8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</row>
    <row r="62">
      <c r="A62" s="13"/>
      <c r="B62" s="13"/>
      <c r="C62" s="8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</row>
    <row r="63">
      <c r="A63" s="13"/>
      <c r="B63" s="8"/>
      <c r="C63" s="8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</row>
    <row r="64">
      <c r="A64" s="8"/>
      <c r="B64" s="8"/>
      <c r="C64" s="8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</row>
    <row r="65">
      <c r="A65" s="8"/>
      <c r="B65" s="8"/>
      <c r="C65" s="8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</row>
    <row r="66">
      <c r="A66" s="8"/>
      <c r="B66" s="8"/>
      <c r="C66" s="8"/>
    </row>
    <row r="67">
      <c r="A67" s="8"/>
      <c r="B67" s="8"/>
      <c r="C67" s="13"/>
    </row>
    <row r="68">
      <c r="A68" s="8"/>
      <c r="B68" s="8"/>
      <c r="C68" s="24"/>
    </row>
    <row r="69">
      <c r="A69" s="8"/>
      <c r="B69" s="8"/>
      <c r="C69" s="24"/>
    </row>
    <row r="70">
      <c r="A70" s="8"/>
      <c r="B70" s="8"/>
      <c r="C70" s="24"/>
    </row>
    <row r="71">
      <c r="A71" s="8"/>
      <c r="B71" s="8"/>
      <c r="C71" s="24"/>
    </row>
    <row r="72">
      <c r="A72" s="8"/>
      <c r="B72" s="8"/>
      <c r="C72" s="24"/>
    </row>
    <row r="73">
      <c r="A73" s="8"/>
      <c r="B73" s="8"/>
      <c r="C73" s="24"/>
    </row>
    <row r="74">
      <c r="A74" s="19" t="s">
        <v>108</v>
      </c>
      <c r="B74" s="19" t="s">
        <v>64</v>
      </c>
      <c r="C74" s="13"/>
    </row>
    <row r="75">
      <c r="A75" s="20" t="s">
        <v>109</v>
      </c>
      <c r="B75" s="20" t="s">
        <v>111</v>
      </c>
      <c r="C75" s="24"/>
    </row>
    <row r="76">
      <c r="A76" s="20" t="s">
        <v>112</v>
      </c>
      <c r="B76" s="20" t="s">
        <v>103</v>
      </c>
      <c r="C76" s="24"/>
    </row>
    <row r="77">
      <c r="A77" s="20" t="s">
        <v>113</v>
      </c>
      <c r="B77" s="20" t="s">
        <v>68</v>
      </c>
      <c r="C77" s="13"/>
    </row>
    <row r="78">
      <c r="A78" s="20" t="s">
        <v>114</v>
      </c>
      <c r="B78" s="20" t="s">
        <v>100</v>
      </c>
    </row>
    <row r="79">
      <c r="A79" s="20" t="s">
        <v>115</v>
      </c>
      <c r="B79" s="20" t="s">
        <v>90</v>
      </c>
    </row>
    <row r="80">
      <c r="A80" s="19" t="s">
        <v>116</v>
      </c>
      <c r="B80" s="19" t="s">
        <v>117</v>
      </c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66"/>
      <c r="B84" s="66"/>
    </row>
    <row r="85">
      <c r="A85" s="66"/>
      <c r="B85" s="66"/>
    </row>
    <row r="86">
      <c r="A86" s="66"/>
      <c r="B86" s="66"/>
    </row>
    <row r="87">
      <c r="A87" s="66"/>
      <c r="B87" s="66"/>
    </row>
    <row r="121">
      <c r="H121" s="74"/>
    </row>
  </sheetData>
  <dataValidations>
    <dataValidation type="list" allowBlank="1" sqref="H121">
      <formula1>Menu!$A$1</formula1>
    </dataValidation>
  </dataValidations>
  <printOptions gridLines="1"/>
  <pageMargins bottom="0.75" footer="0.0" header="0.0" left="0.33379310344827584" right="0.2" top="0.75"/>
  <pageSetup fitToHeight="0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8.63"/>
    <col hidden="1" min="2" max="2" width="12.63"/>
    <col customWidth="1" hidden="1" min="3" max="3" width="38.63"/>
    <col hidden="1" min="4" max="4" width="12.63"/>
    <col customWidth="1" hidden="1" min="5" max="5" width="38.63"/>
    <col hidden="1" min="6" max="6" width="12.63"/>
    <col customWidth="1" hidden="1" min="7" max="7" width="38.63"/>
    <col hidden="1" min="8" max="8" width="12.63"/>
    <col customWidth="1" hidden="1" min="9" max="9" width="38.63"/>
    <col hidden="1" min="10" max="10" width="12.63"/>
    <col customWidth="1" hidden="1" min="11" max="11" width="38.63"/>
    <col hidden="1" min="12" max="12" width="12.63"/>
    <col customWidth="1" hidden="1" min="13" max="13" width="38.63"/>
    <col hidden="1" min="14" max="14" width="12.63"/>
    <col customWidth="1" hidden="1" min="15" max="15" width="38.63"/>
    <col hidden="1" min="16" max="16" width="12.63"/>
    <col customWidth="1" hidden="1" min="17" max="17" width="38.63"/>
    <col hidden="1" min="18" max="18" width="12.63"/>
    <col customWidth="1" hidden="1" min="19" max="19" width="38.63"/>
    <col hidden="1" min="20" max="20" width="12.63"/>
    <col customWidth="1" hidden="1" min="21" max="21" width="38.63"/>
    <col hidden="1" min="22" max="22" width="12.63"/>
    <col customWidth="1" hidden="1" min="23" max="23" width="38.63"/>
    <col hidden="1" min="24" max="24" width="12.63"/>
    <col customWidth="1" hidden="1" min="25" max="25" width="38.63"/>
    <col hidden="1" min="26" max="26" width="12.63"/>
    <col customWidth="1" hidden="1" min="27" max="27" width="38.63"/>
    <col hidden="1" min="28" max="28" width="12.63"/>
    <col customWidth="1" hidden="1" min="29" max="29" width="38.63"/>
    <col hidden="1" min="30" max="30" width="12.63"/>
    <col customWidth="1" hidden="1" min="31" max="31" width="38.63"/>
    <col hidden="1" min="32" max="32" width="12.63"/>
    <col customWidth="1" hidden="1" min="33" max="33" width="38.63"/>
    <col hidden="1" min="34" max="34" width="12.63"/>
    <col customWidth="1" min="35" max="35" width="38.63"/>
    <col customWidth="1" min="37" max="37" width="38.63"/>
  </cols>
  <sheetData>
    <row r="1">
      <c r="A1" s="7" t="s">
        <v>2</v>
      </c>
      <c r="B1" s="9"/>
      <c r="C1" s="7" t="s">
        <v>3</v>
      </c>
      <c r="D1" s="9"/>
      <c r="E1" s="7" t="s">
        <v>4</v>
      </c>
      <c r="F1" s="9"/>
      <c r="G1" s="7" t="s">
        <v>5</v>
      </c>
      <c r="H1" s="9"/>
      <c r="I1" s="7" t="s">
        <v>6</v>
      </c>
      <c r="J1" s="9"/>
      <c r="K1" s="7" t="s">
        <v>7</v>
      </c>
      <c r="L1" s="9"/>
      <c r="M1" s="7" t="s">
        <v>8</v>
      </c>
      <c r="N1" s="9"/>
      <c r="O1" s="7" t="s">
        <v>11</v>
      </c>
      <c r="P1" s="9"/>
      <c r="Q1" s="7" t="s">
        <v>12</v>
      </c>
      <c r="R1" s="9"/>
      <c r="S1" s="7" t="s">
        <v>13</v>
      </c>
      <c r="T1" s="9"/>
      <c r="U1" s="7" t="s">
        <v>14</v>
      </c>
      <c r="V1" s="9"/>
      <c r="W1" s="7" t="s">
        <v>15</v>
      </c>
      <c r="X1" s="9"/>
      <c r="Y1" s="7" t="s">
        <v>17</v>
      </c>
      <c r="Z1" s="9"/>
      <c r="AA1" s="7" t="s">
        <v>18</v>
      </c>
      <c r="AB1" s="9"/>
      <c r="AC1" s="7" t="s">
        <v>9</v>
      </c>
      <c r="AD1" s="9"/>
      <c r="AE1" s="7" t="s">
        <v>21</v>
      </c>
      <c r="AF1" s="9"/>
      <c r="AG1" s="7" t="s">
        <v>24</v>
      </c>
      <c r="AH1" s="23"/>
      <c r="AI1" s="25" t="s">
        <v>29</v>
      </c>
      <c r="AJ1" s="23"/>
      <c r="AK1" s="25" t="s">
        <v>23</v>
      </c>
      <c r="AL1" s="23"/>
    </row>
    <row r="2">
      <c r="A2" s="28" t="s">
        <v>20</v>
      </c>
      <c r="B2" s="28">
        <v>7.0</v>
      </c>
      <c r="C2" s="28" t="s">
        <v>20</v>
      </c>
      <c r="D2" s="28">
        <v>6.0</v>
      </c>
      <c r="E2" s="28" t="s">
        <v>20</v>
      </c>
      <c r="F2" s="28">
        <v>8.0</v>
      </c>
      <c r="G2" s="28" t="s">
        <v>20</v>
      </c>
      <c r="H2" s="28">
        <v>8.0</v>
      </c>
      <c r="I2" s="31" t="s">
        <v>20</v>
      </c>
      <c r="J2" s="28">
        <v>3.0</v>
      </c>
      <c r="K2" s="28" t="s">
        <v>20</v>
      </c>
      <c r="L2" s="28">
        <v>7.0</v>
      </c>
      <c r="M2" s="28" t="s">
        <v>20</v>
      </c>
      <c r="N2" s="28">
        <v>2.0</v>
      </c>
      <c r="O2" s="28" t="s">
        <v>20</v>
      </c>
      <c r="P2" s="28">
        <v>11.0</v>
      </c>
      <c r="Q2" s="28" t="s">
        <v>20</v>
      </c>
      <c r="R2" s="28">
        <v>6.0</v>
      </c>
      <c r="S2" s="31" t="s">
        <v>20</v>
      </c>
      <c r="T2" s="28">
        <v>4.0</v>
      </c>
      <c r="U2" s="37" t="s">
        <v>20</v>
      </c>
      <c r="V2" s="37">
        <v>9.0</v>
      </c>
      <c r="W2" s="28" t="s">
        <v>20</v>
      </c>
      <c r="X2" s="28">
        <v>3.0</v>
      </c>
      <c r="Y2" s="28" t="s">
        <v>20</v>
      </c>
      <c r="Z2" s="28">
        <v>11.0</v>
      </c>
      <c r="AA2" s="28" t="s">
        <v>20</v>
      </c>
      <c r="AB2" s="28">
        <v>8.0</v>
      </c>
      <c r="AC2" s="41" t="s">
        <v>20</v>
      </c>
      <c r="AD2" s="37">
        <v>3.0</v>
      </c>
      <c r="AE2" s="28" t="s">
        <v>20</v>
      </c>
      <c r="AF2" s="28">
        <v>9.0</v>
      </c>
      <c r="AG2" s="28" t="s">
        <v>20</v>
      </c>
      <c r="AH2" s="28">
        <v>2.0</v>
      </c>
      <c r="AI2" s="28" t="s">
        <v>20</v>
      </c>
      <c r="AJ2" s="28">
        <v>12.0</v>
      </c>
      <c r="AK2" s="45" t="s">
        <v>20</v>
      </c>
      <c r="AL2" s="45">
        <v>8.0</v>
      </c>
    </row>
    <row r="3">
      <c r="A3" s="28" t="s">
        <v>25</v>
      </c>
      <c r="B3" s="28">
        <v>21.0</v>
      </c>
      <c r="C3" s="28" t="s">
        <v>25</v>
      </c>
      <c r="D3" s="28">
        <v>19.0</v>
      </c>
      <c r="E3" s="28" t="s">
        <v>25</v>
      </c>
      <c r="F3" s="28">
        <v>32.0</v>
      </c>
      <c r="G3" s="28" t="s">
        <v>25</v>
      </c>
      <c r="H3" s="28">
        <v>11.0</v>
      </c>
      <c r="I3" s="28" t="s">
        <v>25</v>
      </c>
      <c r="J3" s="28">
        <v>16.0</v>
      </c>
      <c r="K3" s="28" t="s">
        <v>25</v>
      </c>
      <c r="L3" s="28">
        <v>23.0</v>
      </c>
      <c r="M3" s="28" t="s">
        <v>25</v>
      </c>
      <c r="N3" s="28">
        <v>16.0</v>
      </c>
      <c r="O3" s="28" t="s">
        <v>25</v>
      </c>
      <c r="P3" s="28">
        <v>14.0</v>
      </c>
      <c r="Q3" s="28" t="s">
        <v>25</v>
      </c>
      <c r="R3" s="28">
        <v>16.0</v>
      </c>
      <c r="S3" s="28" t="s">
        <v>25</v>
      </c>
      <c r="T3" s="28">
        <v>15.0</v>
      </c>
      <c r="U3" s="37" t="s">
        <v>25</v>
      </c>
      <c r="V3" s="37">
        <v>18.0</v>
      </c>
      <c r="W3" s="28" t="s">
        <v>25</v>
      </c>
      <c r="X3" s="28">
        <v>14.0</v>
      </c>
      <c r="Y3" s="28" t="s">
        <v>25</v>
      </c>
      <c r="Z3" s="28">
        <v>18.0</v>
      </c>
      <c r="AA3" s="28" t="s">
        <v>25</v>
      </c>
      <c r="AB3" s="28">
        <v>11.0</v>
      </c>
      <c r="AC3" s="37" t="s">
        <v>25</v>
      </c>
      <c r="AD3" s="37">
        <v>14.0</v>
      </c>
      <c r="AE3" s="28" t="s">
        <v>25</v>
      </c>
      <c r="AF3" s="28">
        <v>16.0</v>
      </c>
      <c r="AG3" s="28" t="s">
        <v>25</v>
      </c>
      <c r="AH3" s="28">
        <v>17.0</v>
      </c>
      <c r="AI3" s="28" t="s">
        <v>25</v>
      </c>
      <c r="AJ3" s="28">
        <v>20.0</v>
      </c>
      <c r="AK3" s="45" t="s">
        <v>25</v>
      </c>
      <c r="AL3" s="45">
        <v>10.0</v>
      </c>
    </row>
    <row r="4">
      <c r="A4" s="28" t="s">
        <v>28</v>
      </c>
      <c r="B4" s="28">
        <v>10.0</v>
      </c>
      <c r="C4" s="28" t="s">
        <v>28</v>
      </c>
      <c r="D4" s="28">
        <v>3.0</v>
      </c>
      <c r="E4" s="28" t="s">
        <v>28</v>
      </c>
      <c r="F4" s="28">
        <v>6.0</v>
      </c>
      <c r="G4" s="28" t="s">
        <v>28</v>
      </c>
      <c r="H4" s="28">
        <v>5.0</v>
      </c>
      <c r="I4" s="28" t="s">
        <v>28</v>
      </c>
      <c r="J4" s="28">
        <v>1.0</v>
      </c>
      <c r="K4" s="28" t="s">
        <v>28</v>
      </c>
      <c r="L4" s="28">
        <v>11.0</v>
      </c>
      <c r="M4" s="28" t="s">
        <v>28</v>
      </c>
      <c r="N4" s="28">
        <v>8.0</v>
      </c>
      <c r="O4" s="28" t="s">
        <v>28</v>
      </c>
      <c r="P4" s="28">
        <v>9.0</v>
      </c>
      <c r="Q4" s="28" t="s">
        <v>28</v>
      </c>
      <c r="R4" s="28">
        <v>4.0</v>
      </c>
      <c r="S4" s="28" t="s">
        <v>28</v>
      </c>
      <c r="T4" s="28">
        <v>5.0</v>
      </c>
      <c r="U4" s="37" t="s">
        <v>28</v>
      </c>
      <c r="V4" s="37">
        <v>10.0</v>
      </c>
      <c r="W4" s="28" t="s">
        <v>28</v>
      </c>
      <c r="X4" s="28">
        <v>9.0</v>
      </c>
      <c r="Y4" s="28" t="s">
        <v>28</v>
      </c>
      <c r="Z4" s="28">
        <v>14.0</v>
      </c>
      <c r="AA4" s="28" t="s">
        <v>28</v>
      </c>
      <c r="AB4" s="28">
        <v>4.0</v>
      </c>
      <c r="AC4" s="37" t="s">
        <v>33</v>
      </c>
      <c r="AD4" s="37">
        <v>4.0</v>
      </c>
      <c r="AE4" s="28" t="s">
        <v>28</v>
      </c>
      <c r="AF4" s="28">
        <v>12.0</v>
      </c>
      <c r="AG4" s="28" t="s">
        <v>28</v>
      </c>
      <c r="AH4" s="28">
        <v>10.0</v>
      </c>
      <c r="AI4" s="28" t="s">
        <v>28</v>
      </c>
      <c r="AJ4" s="28">
        <v>11.0</v>
      </c>
      <c r="AK4" s="45" t="s">
        <v>28</v>
      </c>
      <c r="AL4" s="45">
        <v>4.0</v>
      </c>
    </row>
    <row r="5">
      <c r="A5" s="28" t="s">
        <v>33</v>
      </c>
      <c r="B5" s="28">
        <v>11.0</v>
      </c>
      <c r="C5" s="28" t="s">
        <v>33</v>
      </c>
      <c r="D5" s="28">
        <v>4.0</v>
      </c>
      <c r="E5" s="28" t="s">
        <v>33</v>
      </c>
      <c r="F5" s="28">
        <v>7.0</v>
      </c>
      <c r="G5" s="28" t="s">
        <v>33</v>
      </c>
      <c r="H5" s="28">
        <v>9.0</v>
      </c>
      <c r="I5" s="31" t="s">
        <v>33</v>
      </c>
      <c r="J5" s="28">
        <v>5.0</v>
      </c>
      <c r="K5" s="28" t="s">
        <v>33</v>
      </c>
      <c r="L5" s="28">
        <v>8.0</v>
      </c>
      <c r="M5" s="28" t="s">
        <v>33</v>
      </c>
      <c r="N5" s="28">
        <v>7.0</v>
      </c>
      <c r="O5" s="28" t="s">
        <v>33</v>
      </c>
      <c r="P5" s="28">
        <v>10.0</v>
      </c>
      <c r="Q5" s="28" t="s">
        <v>33</v>
      </c>
      <c r="R5" s="28">
        <v>8.0</v>
      </c>
      <c r="S5" s="31" t="s">
        <v>33</v>
      </c>
      <c r="T5" s="28">
        <v>8.0</v>
      </c>
      <c r="U5" s="37" t="s">
        <v>33</v>
      </c>
      <c r="V5" s="37">
        <v>8.0</v>
      </c>
      <c r="W5" s="28" t="s">
        <v>33</v>
      </c>
      <c r="X5" s="28">
        <v>4.0</v>
      </c>
      <c r="Y5" s="28" t="s">
        <v>33</v>
      </c>
      <c r="Z5" s="28">
        <v>10.0</v>
      </c>
      <c r="AA5" s="28" t="s">
        <v>33</v>
      </c>
      <c r="AB5" s="28">
        <v>5.0</v>
      </c>
      <c r="AC5" s="41" t="s">
        <v>35</v>
      </c>
      <c r="AD5" s="37">
        <v>10.0</v>
      </c>
      <c r="AE5" s="28" t="s">
        <v>33</v>
      </c>
      <c r="AF5" s="28">
        <v>8.0</v>
      </c>
      <c r="AG5" s="28" t="s">
        <v>33</v>
      </c>
      <c r="AH5" s="28">
        <v>5.0</v>
      </c>
      <c r="AI5" s="28" t="s">
        <v>33</v>
      </c>
      <c r="AJ5" s="28">
        <v>10.0</v>
      </c>
      <c r="AK5" s="45" t="s">
        <v>33</v>
      </c>
      <c r="AL5" s="45">
        <v>5.0</v>
      </c>
    </row>
    <row r="6">
      <c r="A6" s="28" t="s">
        <v>35</v>
      </c>
      <c r="B6" s="28">
        <v>11.0</v>
      </c>
      <c r="C6" s="28" t="s">
        <v>35</v>
      </c>
      <c r="D6" s="28">
        <v>6.0</v>
      </c>
      <c r="E6" s="28" t="s">
        <v>35</v>
      </c>
      <c r="F6" s="28">
        <v>14.0</v>
      </c>
      <c r="G6" s="28" t="s">
        <v>35</v>
      </c>
      <c r="H6" s="28">
        <v>10.0</v>
      </c>
      <c r="I6" s="31" t="s">
        <v>35</v>
      </c>
      <c r="J6" s="28">
        <v>9.0</v>
      </c>
      <c r="K6" s="28" t="s">
        <v>35</v>
      </c>
      <c r="L6" s="28">
        <v>9.0</v>
      </c>
      <c r="M6" s="28" t="s">
        <v>35</v>
      </c>
      <c r="N6" s="28">
        <v>2.0</v>
      </c>
      <c r="O6" s="28" t="s">
        <v>35</v>
      </c>
      <c r="P6" s="28">
        <v>12.0</v>
      </c>
      <c r="Q6" s="28" t="s">
        <v>35</v>
      </c>
      <c r="R6" s="28">
        <v>9.0</v>
      </c>
      <c r="S6" s="31" t="s">
        <v>35</v>
      </c>
      <c r="T6" s="28">
        <v>9.0</v>
      </c>
      <c r="U6" s="37" t="s">
        <v>35</v>
      </c>
      <c r="V6" s="37">
        <v>11.0</v>
      </c>
      <c r="W6" s="28" t="s">
        <v>35</v>
      </c>
      <c r="X6" s="28">
        <v>4.0</v>
      </c>
      <c r="Y6" s="28" t="s">
        <v>35</v>
      </c>
      <c r="Z6" s="28">
        <v>11.0</v>
      </c>
      <c r="AA6" s="28" t="s">
        <v>35</v>
      </c>
      <c r="AB6" s="28">
        <v>11.0</v>
      </c>
      <c r="AC6" s="41" t="s">
        <v>40</v>
      </c>
      <c r="AD6" s="37">
        <v>13.0</v>
      </c>
      <c r="AE6" s="28" t="s">
        <v>35</v>
      </c>
      <c r="AF6" s="28">
        <v>10.0</v>
      </c>
      <c r="AG6" s="28" t="s">
        <v>35</v>
      </c>
      <c r="AH6" s="28">
        <v>3.0</v>
      </c>
      <c r="AI6" s="28" t="s">
        <v>35</v>
      </c>
      <c r="AJ6" s="28">
        <v>13.0</v>
      </c>
      <c r="AK6" s="45" t="s">
        <v>35</v>
      </c>
      <c r="AL6" s="45">
        <v>9.0</v>
      </c>
    </row>
    <row r="7">
      <c r="A7" s="28" t="s">
        <v>40</v>
      </c>
      <c r="B7" s="28">
        <v>15.0</v>
      </c>
      <c r="C7" s="28" t="s">
        <v>40</v>
      </c>
      <c r="D7" s="28">
        <v>14.0</v>
      </c>
      <c r="E7" s="28" t="s">
        <v>40</v>
      </c>
      <c r="F7" s="28">
        <v>18.0</v>
      </c>
      <c r="G7" s="28" t="s">
        <v>40</v>
      </c>
      <c r="H7" s="28">
        <v>7.0</v>
      </c>
      <c r="I7" s="28" t="s">
        <v>40</v>
      </c>
      <c r="J7" s="28">
        <v>12.0</v>
      </c>
      <c r="K7" s="28" t="s">
        <v>40</v>
      </c>
      <c r="L7" s="28">
        <v>15.0</v>
      </c>
      <c r="M7" s="28" t="s">
        <v>40</v>
      </c>
      <c r="N7" s="28">
        <v>12.0</v>
      </c>
      <c r="O7" s="28" t="s">
        <v>40</v>
      </c>
      <c r="P7" s="28">
        <v>21.0</v>
      </c>
      <c r="Q7" s="28" t="s">
        <v>40</v>
      </c>
      <c r="R7" s="28">
        <v>6.0</v>
      </c>
      <c r="S7" s="28" t="s">
        <v>40</v>
      </c>
      <c r="T7" s="28">
        <v>8.0</v>
      </c>
      <c r="U7" s="37" t="s">
        <v>40</v>
      </c>
      <c r="V7" s="37">
        <v>13.0</v>
      </c>
      <c r="W7" s="28" t="s">
        <v>40</v>
      </c>
      <c r="X7" s="28">
        <v>8.0</v>
      </c>
      <c r="Y7" s="28" t="s">
        <v>40</v>
      </c>
      <c r="Z7" s="28">
        <v>20.0</v>
      </c>
      <c r="AA7" s="28" t="s">
        <v>40</v>
      </c>
      <c r="AB7" s="28">
        <v>12.0</v>
      </c>
      <c r="AC7" s="37" t="s">
        <v>45</v>
      </c>
      <c r="AD7" s="37">
        <v>6.0</v>
      </c>
      <c r="AE7" s="28" t="s">
        <v>40</v>
      </c>
      <c r="AF7" s="28">
        <v>14.0</v>
      </c>
      <c r="AG7" s="28" t="s">
        <v>40</v>
      </c>
      <c r="AH7" s="28">
        <v>8.0</v>
      </c>
      <c r="AI7" s="28" t="s">
        <v>40</v>
      </c>
      <c r="AJ7" s="28">
        <v>16.0</v>
      </c>
      <c r="AK7" s="45" t="s">
        <v>40</v>
      </c>
      <c r="AL7" s="45">
        <v>12.0</v>
      </c>
    </row>
    <row r="8">
      <c r="A8" s="28" t="s">
        <v>45</v>
      </c>
      <c r="B8" s="28">
        <v>6.0</v>
      </c>
      <c r="C8" s="28" t="s">
        <v>45</v>
      </c>
      <c r="D8" s="28">
        <v>2.0</v>
      </c>
      <c r="E8" s="28" t="s">
        <v>45</v>
      </c>
      <c r="F8" s="28">
        <v>7.0</v>
      </c>
      <c r="G8" s="28" t="s">
        <v>45</v>
      </c>
      <c r="H8" s="28">
        <v>2.0</v>
      </c>
      <c r="I8" s="28" t="s">
        <v>45</v>
      </c>
      <c r="J8" s="28">
        <v>4.0</v>
      </c>
      <c r="K8" s="28" t="s">
        <v>45</v>
      </c>
      <c r="L8" s="28">
        <v>4.0</v>
      </c>
      <c r="M8" s="28" t="s">
        <v>45</v>
      </c>
      <c r="N8" s="28">
        <v>4.0</v>
      </c>
      <c r="O8" s="28" t="s">
        <v>45</v>
      </c>
      <c r="P8" s="28">
        <v>9.0</v>
      </c>
      <c r="Q8" s="28" t="s">
        <v>45</v>
      </c>
      <c r="R8" s="28">
        <v>7.0</v>
      </c>
      <c r="S8" s="28" t="s">
        <v>45</v>
      </c>
      <c r="T8" s="28">
        <v>3.0</v>
      </c>
      <c r="U8" s="37" t="s">
        <v>45</v>
      </c>
      <c r="V8" s="37">
        <v>4.0</v>
      </c>
      <c r="W8" s="28" t="s">
        <v>45</v>
      </c>
      <c r="X8" s="28">
        <v>5.0</v>
      </c>
      <c r="Y8" s="28" t="s">
        <v>45</v>
      </c>
      <c r="Z8" s="28">
        <v>5.0</v>
      </c>
      <c r="AA8" s="28" t="s">
        <v>45</v>
      </c>
      <c r="AB8" s="28">
        <v>7.0</v>
      </c>
      <c r="AC8" s="37" t="s">
        <v>16</v>
      </c>
      <c r="AD8" s="37">
        <v>3.0</v>
      </c>
      <c r="AE8" s="28" t="s">
        <v>45</v>
      </c>
      <c r="AF8" s="28">
        <v>4.0</v>
      </c>
      <c r="AG8" s="28" t="s">
        <v>45</v>
      </c>
      <c r="AH8" s="28">
        <v>4.0</v>
      </c>
      <c r="AI8" s="28" t="s">
        <v>45</v>
      </c>
      <c r="AJ8" s="28">
        <v>7.0</v>
      </c>
      <c r="AK8" s="45" t="s">
        <v>45</v>
      </c>
      <c r="AL8" s="45">
        <v>7.0</v>
      </c>
    </row>
    <row r="9">
      <c r="A9" s="28" t="s">
        <v>16</v>
      </c>
      <c r="B9" s="28">
        <v>9.0</v>
      </c>
      <c r="C9" s="28" t="s">
        <v>16</v>
      </c>
      <c r="D9" s="28">
        <v>6.0</v>
      </c>
      <c r="E9" s="28" t="s">
        <v>16</v>
      </c>
      <c r="F9" s="28">
        <v>5.0</v>
      </c>
      <c r="G9" s="28" t="s">
        <v>16</v>
      </c>
      <c r="H9" s="28">
        <v>3.0</v>
      </c>
      <c r="I9" s="28" t="s">
        <v>16</v>
      </c>
      <c r="J9" s="28">
        <v>3.0</v>
      </c>
      <c r="K9" s="31" t="s">
        <v>16</v>
      </c>
      <c r="L9" s="28">
        <v>8.0</v>
      </c>
      <c r="M9" s="28" t="s">
        <v>16</v>
      </c>
      <c r="N9" s="28">
        <v>5.0</v>
      </c>
      <c r="O9" s="28" t="s">
        <v>16</v>
      </c>
      <c r="P9" s="28">
        <v>10.0</v>
      </c>
      <c r="Q9" s="28" t="s">
        <v>16</v>
      </c>
      <c r="R9" s="28">
        <v>6.0</v>
      </c>
      <c r="S9" s="28" t="s">
        <v>16</v>
      </c>
      <c r="T9" s="28">
        <v>1.0</v>
      </c>
      <c r="U9" s="37" t="s">
        <v>16</v>
      </c>
      <c r="V9" s="37">
        <v>8.0</v>
      </c>
      <c r="W9" s="28" t="s">
        <v>16</v>
      </c>
      <c r="X9" s="28">
        <v>8.0</v>
      </c>
      <c r="Y9" s="28" t="s">
        <v>16</v>
      </c>
      <c r="Z9" s="28">
        <v>11.0</v>
      </c>
      <c r="AA9" s="28" t="s">
        <v>16</v>
      </c>
      <c r="AB9" s="28">
        <v>5.0</v>
      </c>
      <c r="AC9" s="37" t="s">
        <v>31</v>
      </c>
      <c r="AD9" s="37">
        <v>3.0</v>
      </c>
      <c r="AE9" s="31" t="s">
        <v>16</v>
      </c>
      <c r="AF9" s="28">
        <v>10.0</v>
      </c>
      <c r="AG9" s="28" t="s">
        <v>16</v>
      </c>
      <c r="AH9" s="28">
        <v>4.0</v>
      </c>
      <c r="AI9" s="28" t="s">
        <v>16</v>
      </c>
      <c r="AJ9" s="28">
        <v>13.0</v>
      </c>
      <c r="AK9" s="45" t="s">
        <v>16</v>
      </c>
      <c r="AL9" s="45">
        <v>2.0</v>
      </c>
    </row>
    <row r="10">
      <c r="A10" s="31" t="s">
        <v>31</v>
      </c>
      <c r="B10" s="28">
        <v>3.0</v>
      </c>
      <c r="C10" s="28" t="s">
        <v>31</v>
      </c>
      <c r="D10" s="28">
        <v>6.0</v>
      </c>
      <c r="E10" s="28" t="s">
        <v>31</v>
      </c>
      <c r="F10" s="28">
        <v>11.0</v>
      </c>
      <c r="G10" s="28" t="s">
        <v>31</v>
      </c>
      <c r="H10" s="28">
        <v>6.0</v>
      </c>
      <c r="I10" s="28" t="s">
        <v>31</v>
      </c>
      <c r="J10" s="28">
        <v>3.0</v>
      </c>
      <c r="K10" s="31" t="s">
        <v>31</v>
      </c>
      <c r="L10" s="28">
        <v>4.0</v>
      </c>
      <c r="M10" s="28" t="s">
        <v>31</v>
      </c>
      <c r="N10" s="28">
        <v>5.0</v>
      </c>
      <c r="O10" s="28" t="s">
        <v>31</v>
      </c>
      <c r="P10" s="28">
        <v>10.0</v>
      </c>
      <c r="Q10" s="28" t="s">
        <v>31</v>
      </c>
      <c r="R10" s="28">
        <v>6.0</v>
      </c>
      <c r="S10" s="28" t="s">
        <v>31</v>
      </c>
      <c r="T10" s="28">
        <v>2.0</v>
      </c>
      <c r="U10" s="41" t="s">
        <v>31</v>
      </c>
      <c r="V10" s="37">
        <v>7.0</v>
      </c>
      <c r="W10" s="28" t="s">
        <v>31</v>
      </c>
      <c r="X10" s="28">
        <v>6.0</v>
      </c>
      <c r="Y10" s="28" t="s">
        <v>31</v>
      </c>
      <c r="Z10" s="28">
        <v>10.0</v>
      </c>
      <c r="AA10" s="31" t="s">
        <v>31</v>
      </c>
      <c r="AB10" s="28">
        <v>5.0</v>
      </c>
      <c r="AC10" s="28"/>
      <c r="AD10" s="28"/>
      <c r="AE10" s="31" t="s">
        <v>31</v>
      </c>
      <c r="AF10" s="28">
        <v>4.0</v>
      </c>
      <c r="AG10" s="28" t="s">
        <v>31</v>
      </c>
      <c r="AH10" s="28">
        <v>7.0</v>
      </c>
      <c r="AI10" s="28" t="s">
        <v>31</v>
      </c>
      <c r="AJ10" s="28">
        <v>8.0</v>
      </c>
      <c r="AK10" s="73" t="s">
        <v>31</v>
      </c>
      <c r="AL10" s="45">
        <v>5.0</v>
      </c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8"/>
      <c r="V11" s="78"/>
      <c r="W11" s="76"/>
      <c r="X11" s="76"/>
      <c r="Y11" s="76"/>
      <c r="Z11" s="76"/>
      <c r="AA11" s="76"/>
      <c r="AB11" s="76"/>
      <c r="AC11" s="76"/>
      <c r="AD11" s="79">
        <v>56.0</v>
      </c>
      <c r="AE11" s="79"/>
      <c r="AF11" s="79"/>
      <c r="AG11" s="79"/>
      <c r="AH11" s="79"/>
      <c r="AI11" s="79"/>
      <c r="AJ11" s="79"/>
      <c r="AK11" s="79"/>
      <c r="AL11" s="79"/>
    </row>
    <row r="12">
      <c r="A12" s="76"/>
      <c r="B12" s="79">
        <v>93.0</v>
      </c>
      <c r="C12" s="76"/>
      <c r="D12" s="79">
        <v>66.0</v>
      </c>
      <c r="E12" s="76"/>
      <c r="F12" s="79">
        <v>108.0</v>
      </c>
      <c r="G12" s="76"/>
      <c r="H12" s="79">
        <v>61.0</v>
      </c>
      <c r="I12" s="76"/>
      <c r="J12" s="79">
        <v>56.0</v>
      </c>
      <c r="K12" s="76"/>
      <c r="L12" s="79">
        <v>89.0</v>
      </c>
      <c r="M12" s="76"/>
      <c r="N12" s="79">
        <v>63.0</v>
      </c>
      <c r="O12" s="76"/>
      <c r="P12" s="79">
        <v>106.0</v>
      </c>
      <c r="Q12" s="76"/>
      <c r="R12" s="79">
        <v>68.0</v>
      </c>
      <c r="S12" s="76"/>
      <c r="T12" s="79">
        <v>55.0</v>
      </c>
      <c r="U12" s="78"/>
      <c r="V12" s="82">
        <v>88.0</v>
      </c>
      <c r="W12" s="76"/>
      <c r="X12" s="79">
        <v>61.0</v>
      </c>
      <c r="Y12" s="76"/>
      <c r="Z12" s="79">
        <v>110.0</v>
      </c>
      <c r="AA12" s="79"/>
      <c r="AB12" s="79">
        <v>68.0</v>
      </c>
      <c r="AC12" s="79"/>
      <c r="AD12" s="79"/>
      <c r="AE12" s="79"/>
      <c r="AF12" s="79">
        <v>87.0</v>
      </c>
      <c r="AG12" s="79"/>
      <c r="AH12" s="79">
        <v>60.0</v>
      </c>
      <c r="AI12" s="79"/>
      <c r="AJ12" s="79">
        <v>110.0</v>
      </c>
      <c r="AK12" s="79"/>
      <c r="AL12" s="79">
        <v>62.0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8"/>
      <c r="V13" s="78"/>
      <c r="W13" s="76"/>
      <c r="X13" s="76"/>
      <c r="Y13" s="76"/>
      <c r="Z13" s="76"/>
      <c r="AA13" s="76"/>
      <c r="AB13" s="76"/>
      <c r="AC13" s="37" t="s">
        <v>48</v>
      </c>
      <c r="AD13" s="37">
        <v>15.0</v>
      </c>
      <c r="AE13" s="28"/>
      <c r="AF13" s="28"/>
      <c r="AG13" s="28"/>
      <c r="AH13" s="28"/>
      <c r="AI13" s="28"/>
      <c r="AJ13" s="28"/>
      <c r="AK13" s="28"/>
      <c r="AL13" s="28"/>
    </row>
    <row r="14">
      <c r="A14" s="28" t="s">
        <v>48</v>
      </c>
      <c r="B14" s="28">
        <v>16.0</v>
      </c>
      <c r="C14" s="28" t="s">
        <v>48</v>
      </c>
      <c r="D14" s="28">
        <v>6.0</v>
      </c>
      <c r="E14" s="28" t="s">
        <v>48</v>
      </c>
      <c r="F14" s="28">
        <v>11.0</v>
      </c>
      <c r="G14" s="28" t="s">
        <v>48</v>
      </c>
      <c r="H14" s="28">
        <v>15.0</v>
      </c>
      <c r="I14" s="28" t="s">
        <v>48</v>
      </c>
      <c r="J14" s="28">
        <v>17.0</v>
      </c>
      <c r="K14" s="28" t="s">
        <v>48</v>
      </c>
      <c r="L14" s="28">
        <v>19.0</v>
      </c>
      <c r="M14" s="28" t="s">
        <v>48</v>
      </c>
      <c r="N14" s="28">
        <v>11.0</v>
      </c>
      <c r="O14" s="28" t="s">
        <v>48</v>
      </c>
      <c r="P14" s="28">
        <v>9.0</v>
      </c>
      <c r="Q14" s="28" t="s">
        <v>48</v>
      </c>
      <c r="R14" s="28">
        <v>17.0</v>
      </c>
      <c r="S14" s="28" t="s">
        <v>48</v>
      </c>
      <c r="T14" s="28">
        <v>15.0</v>
      </c>
      <c r="U14" s="37" t="s">
        <v>48</v>
      </c>
      <c r="V14" s="37">
        <v>16.0</v>
      </c>
      <c r="W14" s="28" t="s">
        <v>48</v>
      </c>
      <c r="X14" s="28">
        <v>7.0</v>
      </c>
      <c r="Y14" s="28" t="s">
        <v>48</v>
      </c>
      <c r="Z14" s="28">
        <v>9.0</v>
      </c>
      <c r="AA14" s="28" t="s">
        <v>48</v>
      </c>
      <c r="AB14" s="28">
        <v>14.0</v>
      </c>
      <c r="AC14" s="37" t="s">
        <v>50</v>
      </c>
      <c r="AD14" s="37">
        <v>18.0</v>
      </c>
      <c r="AE14" s="28" t="s">
        <v>48</v>
      </c>
      <c r="AF14" s="28">
        <v>16.0</v>
      </c>
      <c r="AG14" s="28" t="s">
        <v>48</v>
      </c>
      <c r="AH14" s="28">
        <v>8.0</v>
      </c>
      <c r="AI14" s="28" t="s">
        <v>48</v>
      </c>
      <c r="AJ14" s="28">
        <v>8.0</v>
      </c>
      <c r="AK14" s="45" t="s">
        <v>48</v>
      </c>
      <c r="AL14" s="45">
        <v>13.0</v>
      </c>
    </row>
    <row r="15">
      <c r="A15" s="28" t="s">
        <v>50</v>
      </c>
      <c r="B15" s="28">
        <v>23.0</v>
      </c>
      <c r="C15" s="28" t="s">
        <v>50</v>
      </c>
      <c r="D15" s="28">
        <v>14.0</v>
      </c>
      <c r="E15" s="28" t="s">
        <v>50</v>
      </c>
      <c r="F15" s="28">
        <v>23.0</v>
      </c>
      <c r="G15" s="28" t="s">
        <v>50</v>
      </c>
      <c r="H15" s="28">
        <v>21.0</v>
      </c>
      <c r="I15" s="28" t="s">
        <v>50</v>
      </c>
      <c r="J15" s="28">
        <v>15.0</v>
      </c>
      <c r="K15" s="28" t="s">
        <v>50</v>
      </c>
      <c r="L15" s="28">
        <v>18.0</v>
      </c>
      <c r="M15" s="28" t="s">
        <v>50</v>
      </c>
      <c r="N15" s="28">
        <v>9.0</v>
      </c>
      <c r="O15" s="28" t="s">
        <v>50</v>
      </c>
      <c r="P15" s="28">
        <v>23.0</v>
      </c>
      <c r="Q15" s="28" t="s">
        <v>50</v>
      </c>
      <c r="R15" s="28">
        <v>19.0</v>
      </c>
      <c r="S15" s="28" t="s">
        <v>50</v>
      </c>
      <c r="T15" s="28">
        <v>19.0</v>
      </c>
      <c r="U15" s="37" t="s">
        <v>50</v>
      </c>
      <c r="V15" s="37">
        <v>20.0</v>
      </c>
      <c r="W15" s="28" t="s">
        <v>50</v>
      </c>
      <c r="X15" s="28">
        <v>12.0</v>
      </c>
      <c r="Y15" s="28" t="s">
        <v>50</v>
      </c>
      <c r="Z15" s="28">
        <v>29.0</v>
      </c>
      <c r="AA15" s="28" t="s">
        <v>50</v>
      </c>
      <c r="AB15" s="28">
        <v>19.0</v>
      </c>
      <c r="AC15" s="37" t="s">
        <v>52</v>
      </c>
      <c r="AD15" s="37">
        <v>5.0</v>
      </c>
      <c r="AE15" s="28" t="s">
        <v>50</v>
      </c>
      <c r="AF15" s="28">
        <v>17.0</v>
      </c>
      <c r="AG15" s="28" t="s">
        <v>50</v>
      </c>
      <c r="AH15" s="28">
        <v>12.0</v>
      </c>
      <c r="AI15" s="28" t="s">
        <v>50</v>
      </c>
      <c r="AJ15" s="28">
        <v>29.0</v>
      </c>
      <c r="AK15" s="45" t="s">
        <v>50</v>
      </c>
      <c r="AL15" s="45">
        <v>17.0</v>
      </c>
    </row>
    <row r="16">
      <c r="A16" s="28" t="s">
        <v>52</v>
      </c>
      <c r="B16" s="28">
        <v>16.0</v>
      </c>
      <c r="C16" s="28" t="s">
        <v>52</v>
      </c>
      <c r="D16" s="28">
        <v>9.0</v>
      </c>
      <c r="E16" s="28" t="s">
        <v>52</v>
      </c>
      <c r="F16" s="28">
        <v>17.0</v>
      </c>
      <c r="G16" s="28" t="s">
        <v>52</v>
      </c>
      <c r="H16" s="28">
        <v>6.0</v>
      </c>
      <c r="I16" s="28" t="s">
        <v>52</v>
      </c>
      <c r="J16" s="28">
        <v>5.0</v>
      </c>
      <c r="K16" s="28" t="s">
        <v>52</v>
      </c>
      <c r="L16" s="28">
        <v>10.0</v>
      </c>
      <c r="M16" s="28" t="s">
        <v>52</v>
      </c>
      <c r="N16" s="28">
        <v>8.0</v>
      </c>
      <c r="O16" s="28" t="s">
        <v>52</v>
      </c>
      <c r="P16" s="28">
        <v>18.0</v>
      </c>
      <c r="Q16" s="28" t="s">
        <v>52</v>
      </c>
      <c r="R16" s="28">
        <v>6.0</v>
      </c>
      <c r="S16" s="28" t="s">
        <v>52</v>
      </c>
      <c r="T16" s="28">
        <v>6.0</v>
      </c>
      <c r="U16" s="37" t="s">
        <v>52</v>
      </c>
      <c r="V16" s="37">
        <v>9.0</v>
      </c>
      <c r="W16" s="28" t="s">
        <v>52</v>
      </c>
      <c r="X16" s="28">
        <v>8.0</v>
      </c>
      <c r="Y16" s="28" t="s">
        <v>52</v>
      </c>
      <c r="Z16" s="28">
        <v>19.0</v>
      </c>
      <c r="AA16" s="28" t="s">
        <v>52</v>
      </c>
      <c r="AB16" s="28">
        <v>7.0</v>
      </c>
      <c r="AC16" s="37" t="s">
        <v>55</v>
      </c>
      <c r="AD16" s="37">
        <v>7.0</v>
      </c>
      <c r="AE16" s="28" t="s">
        <v>52</v>
      </c>
      <c r="AF16" s="28">
        <v>11.0</v>
      </c>
      <c r="AG16" s="28" t="s">
        <v>52</v>
      </c>
      <c r="AH16" s="28">
        <v>8.0</v>
      </c>
      <c r="AI16" s="28" t="s">
        <v>52</v>
      </c>
      <c r="AJ16" s="28">
        <v>16.0</v>
      </c>
      <c r="AK16" s="45" t="s">
        <v>52</v>
      </c>
      <c r="AL16" s="45">
        <v>6.0</v>
      </c>
    </row>
    <row r="17">
      <c r="A17" s="28" t="s">
        <v>55</v>
      </c>
      <c r="B17" s="28">
        <v>8.0</v>
      </c>
      <c r="C17" s="28" t="s">
        <v>55</v>
      </c>
      <c r="D17" s="28">
        <v>16.0</v>
      </c>
      <c r="E17" s="28" t="s">
        <v>55</v>
      </c>
      <c r="F17" s="28">
        <v>11.0</v>
      </c>
      <c r="G17" s="28" t="s">
        <v>55</v>
      </c>
      <c r="H17" s="28">
        <v>3.0</v>
      </c>
      <c r="I17" s="28" t="s">
        <v>55</v>
      </c>
      <c r="J17" s="28">
        <v>7.0</v>
      </c>
      <c r="K17" s="28" t="s">
        <v>55</v>
      </c>
      <c r="L17" s="28">
        <v>12.0</v>
      </c>
      <c r="M17" s="28" t="s">
        <v>55</v>
      </c>
      <c r="N17" s="28">
        <v>13.0</v>
      </c>
      <c r="O17" s="28" t="s">
        <v>55</v>
      </c>
      <c r="P17" s="28">
        <v>15.0</v>
      </c>
      <c r="Q17" s="28" t="s">
        <v>55</v>
      </c>
      <c r="R17" s="28">
        <v>5.0</v>
      </c>
      <c r="S17" s="28" t="s">
        <v>55</v>
      </c>
      <c r="T17" s="28">
        <v>9.0</v>
      </c>
      <c r="U17" s="37" t="s">
        <v>55</v>
      </c>
      <c r="V17" s="37">
        <v>12.0</v>
      </c>
      <c r="W17" s="28" t="s">
        <v>55</v>
      </c>
      <c r="X17" s="28">
        <v>16.0</v>
      </c>
      <c r="Y17" s="28" t="s">
        <v>55</v>
      </c>
      <c r="Z17" s="28">
        <v>10.0</v>
      </c>
      <c r="AA17" s="28" t="s">
        <v>55</v>
      </c>
      <c r="AB17" s="28">
        <v>7.0</v>
      </c>
      <c r="AC17" s="37" t="s">
        <v>57</v>
      </c>
      <c r="AD17" s="89">
        <v>3.0</v>
      </c>
      <c r="AE17" s="28" t="s">
        <v>55</v>
      </c>
      <c r="AF17" s="28">
        <v>10.0</v>
      </c>
      <c r="AG17" s="28" t="s">
        <v>55</v>
      </c>
      <c r="AH17" s="28">
        <v>14.0</v>
      </c>
      <c r="AI17" s="28" t="s">
        <v>55</v>
      </c>
      <c r="AJ17" s="28">
        <v>14.0</v>
      </c>
      <c r="AK17" s="45" t="s">
        <v>55</v>
      </c>
      <c r="AL17" s="45">
        <v>6.0</v>
      </c>
    </row>
    <row r="18">
      <c r="A18" s="28" t="s">
        <v>57</v>
      </c>
      <c r="B18" s="28">
        <v>16.0</v>
      </c>
      <c r="C18" s="28" t="s">
        <v>57</v>
      </c>
      <c r="D18" s="28">
        <v>17.0</v>
      </c>
      <c r="E18" s="28" t="s">
        <v>57</v>
      </c>
      <c r="F18" s="28">
        <v>27.0</v>
      </c>
      <c r="G18" s="28" t="s">
        <v>57</v>
      </c>
      <c r="H18" s="28">
        <v>8.0</v>
      </c>
      <c r="I18" s="28" t="s">
        <v>57</v>
      </c>
      <c r="J18" s="28">
        <v>5.0</v>
      </c>
      <c r="K18" s="28" t="s">
        <v>57</v>
      </c>
      <c r="L18" s="28">
        <v>14.0</v>
      </c>
      <c r="M18" s="28" t="s">
        <v>57</v>
      </c>
      <c r="N18" s="28">
        <v>17.0</v>
      </c>
      <c r="O18" s="28" t="s">
        <v>57</v>
      </c>
      <c r="P18" s="28">
        <v>21.0</v>
      </c>
      <c r="Q18" s="28" t="s">
        <v>57</v>
      </c>
      <c r="R18" s="28">
        <v>12.0</v>
      </c>
      <c r="S18" s="28" t="s">
        <v>57</v>
      </c>
      <c r="T18" s="28">
        <v>3.0</v>
      </c>
      <c r="U18" s="37" t="s">
        <v>57</v>
      </c>
      <c r="V18" s="37">
        <v>18.0</v>
      </c>
      <c r="W18" s="28" t="s">
        <v>57</v>
      </c>
      <c r="X18" s="28">
        <v>13.0</v>
      </c>
      <c r="Y18" s="28" t="s">
        <v>57</v>
      </c>
      <c r="Z18" s="28">
        <v>22.0</v>
      </c>
      <c r="AA18" s="28" t="s">
        <v>57</v>
      </c>
      <c r="AB18" s="28">
        <v>12.0</v>
      </c>
      <c r="AC18" s="37" t="s">
        <v>59</v>
      </c>
      <c r="AD18" s="89">
        <v>4.0</v>
      </c>
      <c r="AE18" s="28" t="s">
        <v>57</v>
      </c>
      <c r="AF18" s="28">
        <v>18.0</v>
      </c>
      <c r="AG18" s="28" t="s">
        <v>57</v>
      </c>
      <c r="AH18" s="28">
        <v>16.0</v>
      </c>
      <c r="AI18" s="28" t="s">
        <v>57</v>
      </c>
      <c r="AJ18" s="28">
        <v>21.0</v>
      </c>
      <c r="AK18" s="45" t="s">
        <v>57</v>
      </c>
      <c r="AL18" s="45">
        <v>12.0</v>
      </c>
    </row>
    <row r="19">
      <c r="A19" s="28" t="s">
        <v>59</v>
      </c>
      <c r="B19" s="28">
        <v>6.0</v>
      </c>
      <c r="C19" s="28" t="s">
        <v>59</v>
      </c>
      <c r="D19" s="28">
        <v>3.0</v>
      </c>
      <c r="E19" s="28" t="s">
        <v>59</v>
      </c>
      <c r="F19" s="28">
        <v>8.0</v>
      </c>
      <c r="G19" s="28" t="s">
        <v>59</v>
      </c>
      <c r="H19" s="28">
        <v>5.0</v>
      </c>
      <c r="I19" s="28" t="s">
        <v>59</v>
      </c>
      <c r="J19" s="90">
        <v>4.0</v>
      </c>
      <c r="K19" s="28" t="s">
        <v>59</v>
      </c>
      <c r="L19" s="28">
        <v>6.0</v>
      </c>
      <c r="M19" s="28" t="s">
        <v>59</v>
      </c>
      <c r="N19" s="28">
        <v>4.0</v>
      </c>
      <c r="O19" s="28" t="s">
        <v>59</v>
      </c>
      <c r="P19" s="28">
        <v>11.0</v>
      </c>
      <c r="Q19" s="28" t="s">
        <v>59</v>
      </c>
      <c r="R19" s="28">
        <v>6.0</v>
      </c>
      <c r="S19" s="28" t="s">
        <v>59</v>
      </c>
      <c r="T19" s="90">
        <v>3.0</v>
      </c>
      <c r="U19" s="37" t="s">
        <v>59</v>
      </c>
      <c r="V19" s="37">
        <v>7.0</v>
      </c>
      <c r="W19" s="28" t="s">
        <v>59</v>
      </c>
      <c r="X19" s="28">
        <v>4.0</v>
      </c>
      <c r="Y19" s="28" t="s">
        <v>59</v>
      </c>
      <c r="Z19" s="28">
        <v>13.0</v>
      </c>
      <c r="AA19" s="28" t="s">
        <v>59</v>
      </c>
      <c r="AB19" s="28">
        <v>8.0</v>
      </c>
      <c r="AC19" s="37" t="s">
        <v>61</v>
      </c>
      <c r="AD19" s="37">
        <v>4.0</v>
      </c>
      <c r="AE19" s="28" t="s">
        <v>59</v>
      </c>
      <c r="AF19" s="28">
        <v>7.0</v>
      </c>
      <c r="AG19" s="28" t="s">
        <v>59</v>
      </c>
      <c r="AH19" s="28">
        <v>2.0</v>
      </c>
      <c r="AI19" s="28" t="s">
        <v>59</v>
      </c>
      <c r="AJ19" s="28">
        <v>11.0</v>
      </c>
      <c r="AK19" s="45" t="s">
        <v>59</v>
      </c>
      <c r="AL19" s="45">
        <v>7.0</v>
      </c>
    </row>
    <row r="20">
      <c r="A20" s="28" t="s">
        <v>61</v>
      </c>
      <c r="B20" s="28">
        <v>7.0</v>
      </c>
      <c r="C20" s="28" t="s">
        <v>61</v>
      </c>
      <c r="D20" s="28">
        <v>2.0</v>
      </c>
      <c r="E20" s="28" t="s">
        <v>61</v>
      </c>
      <c r="F20" s="28">
        <v>11.0</v>
      </c>
      <c r="G20" s="28" t="s">
        <v>61</v>
      </c>
      <c r="H20" s="28">
        <v>4.0</v>
      </c>
      <c r="I20" s="28" t="s">
        <v>61</v>
      </c>
      <c r="J20" s="90">
        <v>4.0</v>
      </c>
      <c r="K20" s="28" t="s">
        <v>61</v>
      </c>
      <c r="L20" s="28">
        <v>9.0</v>
      </c>
      <c r="M20" s="28" t="s">
        <v>61</v>
      </c>
      <c r="N20" s="28">
        <v>2.0</v>
      </c>
      <c r="O20" s="28" t="s">
        <v>61</v>
      </c>
      <c r="P20" s="28">
        <v>7.0</v>
      </c>
      <c r="Q20" s="28" t="s">
        <v>61</v>
      </c>
      <c r="R20" s="28">
        <v>4.0</v>
      </c>
      <c r="S20" s="28" t="s">
        <v>61</v>
      </c>
      <c r="T20" s="90">
        <v>1.0</v>
      </c>
      <c r="U20" s="37" t="s">
        <v>61</v>
      </c>
      <c r="V20" s="37">
        <v>5.0</v>
      </c>
      <c r="W20" s="28" t="s">
        <v>61</v>
      </c>
      <c r="X20" s="28">
        <v>2.0</v>
      </c>
      <c r="Y20" s="28" t="s">
        <v>61</v>
      </c>
      <c r="Z20" s="28">
        <v>7.0</v>
      </c>
      <c r="AA20" s="28" t="s">
        <v>61</v>
      </c>
      <c r="AB20" s="28">
        <v>3.0</v>
      </c>
      <c r="AC20" s="28"/>
      <c r="AD20" s="28"/>
      <c r="AE20" s="28" t="s">
        <v>61</v>
      </c>
      <c r="AF20" s="28">
        <v>7.0</v>
      </c>
      <c r="AG20" s="28" t="s">
        <v>61</v>
      </c>
      <c r="AH20" s="28">
        <v>3.0</v>
      </c>
      <c r="AI20" s="28" t="s">
        <v>61</v>
      </c>
      <c r="AJ20" s="28">
        <v>10.0</v>
      </c>
      <c r="AK20" s="45" t="s">
        <v>61</v>
      </c>
      <c r="AL20" s="45">
        <v>3.0</v>
      </c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8"/>
      <c r="V21" s="78"/>
      <c r="W21" s="76"/>
      <c r="X21" s="76"/>
      <c r="Y21" s="76"/>
      <c r="Z21" s="76"/>
      <c r="AA21" s="76"/>
      <c r="AB21" s="76"/>
      <c r="AC21" s="76"/>
      <c r="AD21" s="79">
        <v>56.0</v>
      </c>
      <c r="AE21" s="79"/>
      <c r="AF21" s="79"/>
      <c r="AG21" s="79"/>
      <c r="AH21" s="79"/>
      <c r="AI21" s="79"/>
      <c r="AJ21" s="79"/>
      <c r="AK21" s="79"/>
      <c r="AL21" s="79"/>
    </row>
    <row r="22">
      <c r="A22" s="76"/>
      <c r="B22" s="79">
        <v>92.0</v>
      </c>
      <c r="C22" s="76"/>
      <c r="D22" s="79">
        <v>67.0</v>
      </c>
      <c r="E22" s="76"/>
      <c r="F22" s="79">
        <v>108.0</v>
      </c>
      <c r="G22" s="76"/>
      <c r="H22" s="79">
        <v>62.0</v>
      </c>
      <c r="I22" s="76"/>
      <c r="J22" s="79">
        <v>57.0</v>
      </c>
      <c r="K22" s="76"/>
      <c r="L22" s="79">
        <v>88.0</v>
      </c>
      <c r="M22" s="76"/>
      <c r="N22" s="79">
        <v>64.0</v>
      </c>
      <c r="O22" s="76"/>
      <c r="P22" s="79">
        <v>104.0</v>
      </c>
      <c r="Q22" s="76"/>
      <c r="R22" s="79">
        <v>69.0</v>
      </c>
      <c r="S22" s="76"/>
      <c r="T22" s="79">
        <v>56.0</v>
      </c>
      <c r="U22" s="78"/>
      <c r="V22" s="82">
        <v>87.0</v>
      </c>
      <c r="W22" s="76"/>
      <c r="X22" s="79">
        <v>62.0</v>
      </c>
      <c r="Y22" s="76"/>
      <c r="Z22" s="79">
        <v>109.0</v>
      </c>
      <c r="AA22" s="79"/>
      <c r="AB22" s="79">
        <v>70.0</v>
      </c>
      <c r="AC22" s="79"/>
      <c r="AD22" s="79"/>
      <c r="AE22" s="79"/>
      <c r="AF22" s="79">
        <v>86.0</v>
      </c>
      <c r="AG22" s="79"/>
      <c r="AH22" s="79">
        <v>63.0</v>
      </c>
      <c r="AI22" s="79"/>
      <c r="AJ22" s="79">
        <v>109.0</v>
      </c>
      <c r="AK22" s="79"/>
      <c r="AL22" s="79">
        <v>64.0</v>
      </c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8"/>
      <c r="V23" s="78"/>
      <c r="W23" s="76"/>
      <c r="X23" s="76"/>
      <c r="Y23" s="76"/>
      <c r="Z23" s="76"/>
      <c r="AA23" s="76"/>
      <c r="AB23" s="76"/>
      <c r="AC23" s="41" t="s">
        <v>174</v>
      </c>
      <c r="AD23" s="37">
        <v>1.0</v>
      </c>
      <c r="AE23" s="28"/>
      <c r="AF23" s="28"/>
      <c r="AG23" s="28"/>
      <c r="AH23" s="28"/>
      <c r="AI23" s="28"/>
      <c r="AJ23" s="28"/>
      <c r="AK23" s="28"/>
      <c r="AL23" s="28"/>
    </row>
    <row r="24">
      <c r="A24" s="95" t="s">
        <v>176</v>
      </c>
      <c r="B24" s="28">
        <v>4.0</v>
      </c>
      <c r="C24" s="28" t="s">
        <v>176</v>
      </c>
      <c r="D24" s="28">
        <v>1.0</v>
      </c>
      <c r="E24" s="28" t="s">
        <v>176</v>
      </c>
      <c r="F24" s="28">
        <v>1.0</v>
      </c>
      <c r="G24" s="28" t="s">
        <v>176</v>
      </c>
      <c r="H24" s="28">
        <v>1.0</v>
      </c>
      <c r="I24" s="31" t="s">
        <v>174</v>
      </c>
      <c r="J24" s="28">
        <v>1.0</v>
      </c>
      <c r="K24" s="95" t="s">
        <v>176</v>
      </c>
      <c r="L24" s="28">
        <v>4.0</v>
      </c>
      <c r="M24" s="28" t="s">
        <v>174</v>
      </c>
      <c r="N24" s="28">
        <v>1.0</v>
      </c>
      <c r="O24" s="28" t="s">
        <v>176</v>
      </c>
      <c r="P24" s="28">
        <v>3.0</v>
      </c>
      <c r="Q24" s="28" t="s">
        <v>176</v>
      </c>
      <c r="R24" s="28">
        <v>1.0</v>
      </c>
      <c r="S24" s="31" t="s">
        <v>180</v>
      </c>
      <c r="T24" s="28">
        <v>1.0</v>
      </c>
      <c r="U24" s="96" t="s">
        <v>176</v>
      </c>
      <c r="V24" s="37">
        <v>4.0</v>
      </c>
      <c r="W24" s="28" t="s">
        <v>174</v>
      </c>
      <c r="X24" s="28">
        <v>1.0</v>
      </c>
      <c r="Y24" s="28" t="s">
        <v>176</v>
      </c>
      <c r="Z24" s="28">
        <v>1.0</v>
      </c>
      <c r="AA24" s="28" t="s">
        <v>176</v>
      </c>
      <c r="AB24" s="28">
        <v>1.0</v>
      </c>
      <c r="AC24" s="41" t="s">
        <v>183</v>
      </c>
      <c r="AD24" s="37">
        <v>1.0</v>
      </c>
      <c r="AE24" s="95" t="s">
        <v>176</v>
      </c>
      <c r="AF24" s="28">
        <v>3.0</v>
      </c>
      <c r="AG24" s="28" t="s">
        <v>174</v>
      </c>
      <c r="AH24" s="28">
        <v>1.0</v>
      </c>
      <c r="AI24" s="28" t="s">
        <v>176</v>
      </c>
      <c r="AJ24" s="28">
        <v>3.0</v>
      </c>
      <c r="AK24" s="45" t="s">
        <v>176</v>
      </c>
      <c r="AL24" s="45">
        <v>1.0</v>
      </c>
    </row>
    <row r="25">
      <c r="A25" s="95" t="s">
        <v>183</v>
      </c>
      <c r="B25" s="28">
        <v>3.0</v>
      </c>
      <c r="C25" s="28" t="s">
        <v>183</v>
      </c>
      <c r="D25" s="28">
        <v>3.0</v>
      </c>
      <c r="E25" s="28" t="s">
        <v>183</v>
      </c>
      <c r="F25" s="28">
        <v>4.0</v>
      </c>
      <c r="G25" s="28" t="s">
        <v>183</v>
      </c>
      <c r="H25" s="28">
        <v>1.0</v>
      </c>
      <c r="I25" s="31" t="s">
        <v>183</v>
      </c>
      <c r="J25" s="28">
        <v>1.0</v>
      </c>
      <c r="K25" s="95" t="s">
        <v>183</v>
      </c>
      <c r="L25" s="28">
        <v>3.0</v>
      </c>
      <c r="M25" s="28" t="s">
        <v>183</v>
      </c>
      <c r="N25" s="28">
        <v>2.0</v>
      </c>
      <c r="O25" s="28" t="s">
        <v>183</v>
      </c>
      <c r="P25" s="28">
        <v>2.0</v>
      </c>
      <c r="Q25" s="28" t="s">
        <v>180</v>
      </c>
      <c r="R25" s="28">
        <v>1.0</v>
      </c>
      <c r="S25" s="31" t="s">
        <v>186</v>
      </c>
      <c r="T25" s="28">
        <v>1.0</v>
      </c>
      <c r="U25" s="96" t="s">
        <v>174</v>
      </c>
      <c r="V25" s="37">
        <v>2.0</v>
      </c>
      <c r="W25" s="28" t="s">
        <v>183</v>
      </c>
      <c r="X25" s="28">
        <v>2.0</v>
      </c>
      <c r="Y25" s="28" t="s">
        <v>183</v>
      </c>
      <c r="Z25" s="28">
        <v>3.0</v>
      </c>
      <c r="AA25" s="28" t="s">
        <v>186</v>
      </c>
      <c r="AB25" s="28">
        <v>1.0</v>
      </c>
      <c r="AC25" s="37" t="s">
        <v>186</v>
      </c>
      <c r="AD25" s="37">
        <v>1.0</v>
      </c>
      <c r="AE25" s="95" t="s">
        <v>174</v>
      </c>
      <c r="AF25" s="28">
        <v>1.0</v>
      </c>
      <c r="AG25" s="28" t="s">
        <v>183</v>
      </c>
      <c r="AH25" s="28">
        <v>2.0</v>
      </c>
      <c r="AI25" s="28" t="s">
        <v>183</v>
      </c>
      <c r="AJ25" s="28">
        <v>4.0</v>
      </c>
      <c r="AK25" s="45" t="s">
        <v>186</v>
      </c>
      <c r="AL25" s="45">
        <v>1.0</v>
      </c>
    </row>
    <row r="26">
      <c r="A26" s="28" t="s">
        <v>180</v>
      </c>
      <c r="B26" s="28">
        <v>5.0</v>
      </c>
      <c r="C26" s="28" t="s">
        <v>180</v>
      </c>
      <c r="D26" s="28">
        <v>4.0</v>
      </c>
      <c r="E26" s="28" t="s">
        <v>180</v>
      </c>
      <c r="F26" s="28">
        <v>7.0</v>
      </c>
      <c r="G26" s="28" t="s">
        <v>180</v>
      </c>
      <c r="H26" s="28">
        <v>1.0</v>
      </c>
      <c r="I26" s="28" t="s">
        <v>186</v>
      </c>
      <c r="J26" s="28">
        <v>1.0</v>
      </c>
      <c r="K26" s="95" t="s">
        <v>180</v>
      </c>
      <c r="L26" s="28">
        <v>3.0</v>
      </c>
      <c r="M26" s="28" t="s">
        <v>180</v>
      </c>
      <c r="N26" s="28">
        <v>3.0</v>
      </c>
      <c r="O26" s="28" t="s">
        <v>180</v>
      </c>
      <c r="P26" s="28">
        <v>5.0</v>
      </c>
      <c r="Q26" s="28" t="s">
        <v>186</v>
      </c>
      <c r="R26" s="28">
        <v>1.0</v>
      </c>
      <c r="S26" s="28" t="s">
        <v>192</v>
      </c>
      <c r="T26" s="28">
        <v>2.0</v>
      </c>
      <c r="U26" s="96" t="s">
        <v>183</v>
      </c>
      <c r="V26" s="37">
        <v>5.0</v>
      </c>
      <c r="W26" s="28" t="s">
        <v>180</v>
      </c>
      <c r="X26" s="28">
        <v>2.0</v>
      </c>
      <c r="Y26" s="28" t="s">
        <v>180</v>
      </c>
      <c r="Z26" s="28">
        <v>6.0</v>
      </c>
      <c r="AA26" s="28" t="s">
        <v>192</v>
      </c>
      <c r="AB26" s="28">
        <v>1.0</v>
      </c>
      <c r="AC26" s="37" t="s">
        <v>192</v>
      </c>
      <c r="AD26" s="37">
        <v>1.0</v>
      </c>
      <c r="AE26" s="95" t="s">
        <v>183</v>
      </c>
      <c r="AF26" s="28">
        <v>3.0</v>
      </c>
      <c r="AG26" s="28" t="s">
        <v>180</v>
      </c>
      <c r="AH26" s="28">
        <v>4.0</v>
      </c>
      <c r="AI26" s="28" t="s">
        <v>180</v>
      </c>
      <c r="AJ26" s="28">
        <v>6.0</v>
      </c>
      <c r="AK26" s="45" t="s">
        <v>192</v>
      </c>
      <c r="AL26" s="45">
        <v>1.0</v>
      </c>
    </row>
    <row r="27">
      <c r="A27" s="28" t="s">
        <v>195</v>
      </c>
      <c r="B27" s="28">
        <v>2.0</v>
      </c>
      <c r="C27" s="28" t="s">
        <v>192</v>
      </c>
      <c r="D27" s="28">
        <v>1.0</v>
      </c>
      <c r="E27" s="28" t="s">
        <v>195</v>
      </c>
      <c r="F27" s="28">
        <v>2.0</v>
      </c>
      <c r="G27" s="28" t="s">
        <v>186</v>
      </c>
      <c r="H27" s="28">
        <v>1.0</v>
      </c>
      <c r="I27" s="28" t="s">
        <v>192</v>
      </c>
      <c r="J27" s="28">
        <v>1.0</v>
      </c>
      <c r="K27" s="28" t="s">
        <v>195</v>
      </c>
      <c r="L27" s="28">
        <v>1.0</v>
      </c>
      <c r="M27" s="28" t="s">
        <v>195</v>
      </c>
      <c r="N27" s="28">
        <v>1.0</v>
      </c>
      <c r="O27" s="28" t="s">
        <v>195</v>
      </c>
      <c r="P27" s="28">
        <v>3.0</v>
      </c>
      <c r="Q27" s="28" t="s">
        <v>192</v>
      </c>
      <c r="R27" s="28">
        <v>1.0</v>
      </c>
      <c r="S27" s="28" t="s">
        <v>197</v>
      </c>
      <c r="T27" s="28">
        <v>1.0</v>
      </c>
      <c r="U27" s="96" t="s">
        <v>180</v>
      </c>
      <c r="V27" s="37">
        <v>4.0</v>
      </c>
      <c r="W27" s="28" t="s">
        <v>195</v>
      </c>
      <c r="X27" s="28">
        <v>1.0</v>
      </c>
      <c r="Y27" s="28" t="s">
        <v>195</v>
      </c>
      <c r="Z27" s="28">
        <v>3.0</v>
      </c>
      <c r="AA27" s="28" t="s">
        <v>197</v>
      </c>
      <c r="AB27" s="28">
        <v>1.0</v>
      </c>
      <c r="AC27" s="37" t="s">
        <v>197</v>
      </c>
      <c r="AD27" s="37">
        <v>2.0</v>
      </c>
      <c r="AE27" s="95" t="s">
        <v>180</v>
      </c>
      <c r="AF27" s="28">
        <v>4.0</v>
      </c>
      <c r="AG27" s="28" t="s">
        <v>195</v>
      </c>
      <c r="AH27" s="28">
        <v>1.0</v>
      </c>
      <c r="AI27" s="28" t="s">
        <v>195</v>
      </c>
      <c r="AJ27" s="28">
        <v>3.0</v>
      </c>
      <c r="AK27" s="45" t="s">
        <v>197</v>
      </c>
      <c r="AL27" s="45">
        <v>1.0</v>
      </c>
    </row>
    <row r="28">
      <c r="A28" s="28" t="s">
        <v>192</v>
      </c>
      <c r="B28" s="28">
        <v>6.0</v>
      </c>
      <c r="C28" s="28" t="s">
        <v>197</v>
      </c>
      <c r="D28" s="28">
        <v>2.0</v>
      </c>
      <c r="E28" s="28" t="s">
        <v>192</v>
      </c>
      <c r="F28" s="28">
        <v>3.0</v>
      </c>
      <c r="G28" s="28" t="s">
        <v>192</v>
      </c>
      <c r="H28" s="28">
        <v>2.0</v>
      </c>
      <c r="I28" s="28" t="s">
        <v>197</v>
      </c>
      <c r="J28" s="28">
        <v>2.0</v>
      </c>
      <c r="K28" s="28" t="s">
        <v>192</v>
      </c>
      <c r="L28" s="28">
        <v>3.0</v>
      </c>
      <c r="M28" s="28" t="s">
        <v>192</v>
      </c>
      <c r="N28" s="28">
        <v>2.0</v>
      </c>
      <c r="O28" s="28" t="s">
        <v>186</v>
      </c>
      <c r="P28" s="28">
        <v>1.0</v>
      </c>
      <c r="Q28" s="28" t="s">
        <v>197</v>
      </c>
      <c r="R28" s="28">
        <v>2.0</v>
      </c>
      <c r="S28" s="28" t="s">
        <v>202</v>
      </c>
      <c r="T28" s="28">
        <v>2.0</v>
      </c>
      <c r="U28" s="37" t="s">
        <v>195</v>
      </c>
      <c r="V28" s="37">
        <v>1.0</v>
      </c>
      <c r="W28" s="28" t="s">
        <v>192</v>
      </c>
      <c r="X28" s="28">
        <v>1.0</v>
      </c>
      <c r="Y28" s="28" t="s">
        <v>186</v>
      </c>
      <c r="Z28" s="28">
        <v>1.0</v>
      </c>
      <c r="AA28" s="28" t="s">
        <v>203</v>
      </c>
      <c r="AB28" s="28">
        <v>2.0</v>
      </c>
      <c r="AC28" s="37" t="s">
        <v>202</v>
      </c>
      <c r="AD28" s="37">
        <v>4.0</v>
      </c>
      <c r="AE28" s="28" t="s">
        <v>195</v>
      </c>
      <c r="AF28" s="28">
        <v>1.0</v>
      </c>
      <c r="AG28" s="28" t="s">
        <v>192</v>
      </c>
      <c r="AH28" s="28">
        <v>2.0</v>
      </c>
      <c r="AI28" s="28" t="s">
        <v>186</v>
      </c>
      <c r="AJ28" s="28">
        <v>1.0</v>
      </c>
      <c r="AK28" s="45" t="s">
        <v>203</v>
      </c>
      <c r="AL28" s="45">
        <v>1.0</v>
      </c>
    </row>
    <row r="29">
      <c r="A29" s="28" t="s">
        <v>202</v>
      </c>
      <c r="B29" s="28">
        <v>1.0</v>
      </c>
      <c r="C29" s="28" t="s">
        <v>207</v>
      </c>
      <c r="D29" s="28">
        <v>2.0</v>
      </c>
      <c r="E29" s="28" t="s">
        <v>197</v>
      </c>
      <c r="F29" s="28">
        <v>2.0</v>
      </c>
      <c r="G29" s="28" t="s">
        <v>197</v>
      </c>
      <c r="H29" s="28">
        <v>1.0</v>
      </c>
      <c r="I29" s="28" t="s">
        <v>202</v>
      </c>
      <c r="J29" s="28">
        <v>4.0</v>
      </c>
      <c r="K29" s="28" t="s">
        <v>197</v>
      </c>
      <c r="L29" s="28">
        <v>1.0</v>
      </c>
      <c r="M29" s="28" t="s">
        <v>197</v>
      </c>
      <c r="N29" s="28">
        <v>1.0</v>
      </c>
      <c r="O29" s="28" t="s">
        <v>192</v>
      </c>
      <c r="P29" s="28">
        <v>7.0</v>
      </c>
      <c r="Q29" s="28" t="s">
        <v>202</v>
      </c>
      <c r="R29" s="28">
        <v>1.0</v>
      </c>
      <c r="S29" s="28" t="s">
        <v>203</v>
      </c>
      <c r="T29" s="28">
        <v>2.0</v>
      </c>
      <c r="U29" s="37" t="s">
        <v>192</v>
      </c>
      <c r="V29" s="37">
        <v>3.0</v>
      </c>
      <c r="W29" s="28" t="s">
        <v>210</v>
      </c>
      <c r="X29" s="28">
        <v>3.0</v>
      </c>
      <c r="Y29" s="28" t="s">
        <v>192</v>
      </c>
      <c r="Z29" s="28">
        <v>8.0</v>
      </c>
      <c r="AA29" s="28" t="s">
        <v>207</v>
      </c>
      <c r="AB29" s="28">
        <v>1.0</v>
      </c>
      <c r="AC29" s="37" t="s">
        <v>203</v>
      </c>
      <c r="AD29" s="37">
        <v>1.0</v>
      </c>
      <c r="AE29" s="28" t="s">
        <v>192</v>
      </c>
      <c r="AF29" s="28">
        <v>4.0</v>
      </c>
      <c r="AG29" s="28" t="s">
        <v>210</v>
      </c>
      <c r="AH29" s="28">
        <v>3.0</v>
      </c>
      <c r="AI29" s="28" t="s">
        <v>192</v>
      </c>
      <c r="AJ29" s="28">
        <v>6.0</v>
      </c>
      <c r="AK29" s="45" t="s">
        <v>207</v>
      </c>
      <c r="AL29" s="45">
        <v>1.0</v>
      </c>
    </row>
    <row r="30">
      <c r="A30" s="28" t="s">
        <v>212</v>
      </c>
      <c r="B30" s="28">
        <v>1.0</v>
      </c>
      <c r="C30" s="28" t="s">
        <v>210</v>
      </c>
      <c r="D30" s="28">
        <v>2.0</v>
      </c>
      <c r="E30" s="28" t="s">
        <v>202</v>
      </c>
      <c r="F30" s="28">
        <v>1.0</v>
      </c>
      <c r="G30" s="28" t="s">
        <v>202</v>
      </c>
      <c r="H30" s="28">
        <v>1.0</v>
      </c>
      <c r="I30" s="28" t="s">
        <v>203</v>
      </c>
      <c r="J30" s="28">
        <v>1.0</v>
      </c>
      <c r="K30" s="28" t="s">
        <v>202</v>
      </c>
      <c r="L30" s="28">
        <v>1.0</v>
      </c>
      <c r="M30" s="28" t="s">
        <v>210</v>
      </c>
      <c r="N30" s="28">
        <v>3.0</v>
      </c>
      <c r="O30" s="28" t="s">
        <v>197</v>
      </c>
      <c r="P30" s="28">
        <v>3.0</v>
      </c>
      <c r="Q30" s="28" t="s">
        <v>203</v>
      </c>
      <c r="R30" s="28">
        <v>2.0</v>
      </c>
      <c r="S30" s="28" t="s">
        <v>210</v>
      </c>
      <c r="T30" s="28">
        <v>2.0</v>
      </c>
      <c r="U30" s="37" t="s">
        <v>202</v>
      </c>
      <c r="V30" s="37">
        <v>1.0</v>
      </c>
      <c r="W30" s="28" t="s">
        <v>216</v>
      </c>
      <c r="X30" s="28">
        <v>3.0</v>
      </c>
      <c r="Y30" s="28" t="s">
        <v>197</v>
      </c>
      <c r="Z30" s="28">
        <v>2.0</v>
      </c>
      <c r="AA30" s="28" t="s">
        <v>210</v>
      </c>
      <c r="AB30" s="28">
        <v>1.0</v>
      </c>
      <c r="AC30" s="37" t="s">
        <v>210</v>
      </c>
      <c r="AD30" s="37">
        <v>1.0</v>
      </c>
      <c r="AE30" s="28" t="s">
        <v>202</v>
      </c>
      <c r="AF30" s="28">
        <v>2.0</v>
      </c>
      <c r="AG30" s="28" t="s">
        <v>216</v>
      </c>
      <c r="AH30" s="28">
        <v>5.0</v>
      </c>
      <c r="AI30" s="28" t="s">
        <v>197</v>
      </c>
      <c r="AJ30" s="28">
        <v>3.0</v>
      </c>
      <c r="AK30" s="45" t="s">
        <v>210</v>
      </c>
      <c r="AL30" s="45">
        <v>1.0</v>
      </c>
    </row>
    <row r="31">
      <c r="A31" s="28" t="s">
        <v>216</v>
      </c>
      <c r="B31" s="28">
        <v>3.0</v>
      </c>
      <c r="C31" s="28" t="s">
        <v>216</v>
      </c>
      <c r="D31" s="28">
        <v>3.0</v>
      </c>
      <c r="E31" s="28" t="s">
        <v>207</v>
      </c>
      <c r="F31" s="28">
        <v>1.0</v>
      </c>
      <c r="G31" s="28" t="s">
        <v>203</v>
      </c>
      <c r="H31" s="28">
        <v>2.0</v>
      </c>
      <c r="I31" s="28" t="s">
        <v>210</v>
      </c>
      <c r="J31" s="28">
        <v>1.0</v>
      </c>
      <c r="K31" s="28" t="s">
        <v>207</v>
      </c>
      <c r="L31" s="28">
        <v>1.0</v>
      </c>
      <c r="M31" s="28" t="s">
        <v>216</v>
      </c>
      <c r="N31" s="28">
        <v>5.0</v>
      </c>
      <c r="O31" s="28" t="s">
        <v>210</v>
      </c>
      <c r="P31" s="28">
        <v>2.0</v>
      </c>
      <c r="Q31" s="28" t="s">
        <v>207</v>
      </c>
      <c r="R31" s="28">
        <v>1.0</v>
      </c>
      <c r="S31" s="28" t="s">
        <v>221</v>
      </c>
      <c r="T31" s="28">
        <v>1.0</v>
      </c>
      <c r="U31" s="37" t="s">
        <v>207</v>
      </c>
      <c r="V31" s="37">
        <v>1.0</v>
      </c>
      <c r="W31" s="28" t="s">
        <v>222</v>
      </c>
      <c r="X31" s="28">
        <v>1.0</v>
      </c>
      <c r="Y31" s="28" t="s">
        <v>202</v>
      </c>
      <c r="Z31" s="28">
        <v>1.0</v>
      </c>
      <c r="AA31" s="28" t="s">
        <v>212</v>
      </c>
      <c r="AB31" s="28">
        <v>1.0</v>
      </c>
      <c r="AC31" s="37" t="s">
        <v>223</v>
      </c>
      <c r="AD31" s="37">
        <v>1.0</v>
      </c>
      <c r="AE31" s="28" t="s">
        <v>207</v>
      </c>
      <c r="AF31" s="28">
        <v>1.0</v>
      </c>
      <c r="AG31" s="28" t="s">
        <v>225</v>
      </c>
      <c r="AH31" s="28">
        <v>5.0</v>
      </c>
      <c r="AI31" s="28" t="s">
        <v>202</v>
      </c>
      <c r="AJ31" s="28">
        <v>1.0</v>
      </c>
      <c r="AK31" s="45" t="s">
        <v>212</v>
      </c>
      <c r="AL31" s="45">
        <v>1.0</v>
      </c>
    </row>
    <row r="32">
      <c r="A32" s="28" t="s">
        <v>225</v>
      </c>
      <c r="B32" s="28">
        <v>3.0</v>
      </c>
      <c r="C32" s="28" t="s">
        <v>225</v>
      </c>
      <c r="D32" s="28">
        <v>4.0</v>
      </c>
      <c r="E32" s="28" t="s">
        <v>210</v>
      </c>
      <c r="F32" s="28">
        <v>2.0</v>
      </c>
      <c r="G32" s="28" t="s">
        <v>207</v>
      </c>
      <c r="H32" s="28">
        <v>1.0</v>
      </c>
      <c r="I32" s="28" t="s">
        <v>223</v>
      </c>
      <c r="J32" s="28">
        <v>1.0</v>
      </c>
      <c r="K32" s="28" t="s">
        <v>223</v>
      </c>
      <c r="L32" s="28">
        <v>2.0</v>
      </c>
      <c r="M32" s="28" t="s">
        <v>225</v>
      </c>
      <c r="N32" s="28">
        <v>4.0</v>
      </c>
      <c r="O32" s="28" t="s">
        <v>223</v>
      </c>
      <c r="P32" s="28">
        <v>1.0</v>
      </c>
      <c r="Q32" s="28" t="s">
        <v>210</v>
      </c>
      <c r="R32" s="28">
        <v>1.0</v>
      </c>
      <c r="S32" s="28" t="s">
        <v>212</v>
      </c>
      <c r="T32" s="28">
        <v>2.0</v>
      </c>
      <c r="U32" s="37" t="s">
        <v>223</v>
      </c>
      <c r="V32" s="37">
        <v>2.0</v>
      </c>
      <c r="W32" s="28" t="s">
        <v>225</v>
      </c>
      <c r="X32" s="28">
        <v>4.0</v>
      </c>
      <c r="Y32" s="28" t="s">
        <v>210</v>
      </c>
      <c r="Z32" s="28">
        <v>3.0</v>
      </c>
      <c r="AA32" s="28" t="s">
        <v>216</v>
      </c>
      <c r="AB32" s="28">
        <v>6.0</v>
      </c>
      <c r="AC32" s="37" t="s">
        <v>221</v>
      </c>
      <c r="AD32" s="37">
        <v>1.0</v>
      </c>
      <c r="AE32" s="28" t="s">
        <v>210</v>
      </c>
      <c r="AF32" s="28">
        <v>1.0</v>
      </c>
      <c r="AG32" s="28" t="s">
        <v>230</v>
      </c>
      <c r="AH32" s="28">
        <v>7.0</v>
      </c>
      <c r="AI32" s="28" t="s">
        <v>210</v>
      </c>
      <c r="AJ32" s="28">
        <v>1.0</v>
      </c>
      <c r="AK32" s="45" t="s">
        <v>216</v>
      </c>
      <c r="AL32" s="45">
        <v>6.0</v>
      </c>
    </row>
    <row r="33">
      <c r="A33" s="28" t="s">
        <v>230</v>
      </c>
      <c r="B33" s="28">
        <v>4.0</v>
      </c>
      <c r="C33" s="28" t="s">
        <v>230</v>
      </c>
      <c r="D33" s="28">
        <v>8.0</v>
      </c>
      <c r="E33" s="28" t="s">
        <v>223</v>
      </c>
      <c r="F33" s="28">
        <v>1.0</v>
      </c>
      <c r="G33" s="28" t="s">
        <v>210</v>
      </c>
      <c r="H33" s="28">
        <v>1.0</v>
      </c>
      <c r="I33" s="28" t="s">
        <v>221</v>
      </c>
      <c r="J33" s="28">
        <v>1.0</v>
      </c>
      <c r="K33" s="28" t="s">
        <v>212</v>
      </c>
      <c r="L33" s="28">
        <v>1.0</v>
      </c>
      <c r="M33" s="28" t="s">
        <v>230</v>
      </c>
      <c r="N33" s="28">
        <v>7.0</v>
      </c>
      <c r="O33" s="28" t="s">
        <v>212</v>
      </c>
      <c r="P33" s="28">
        <v>2.0</v>
      </c>
      <c r="Q33" s="28" t="s">
        <v>212</v>
      </c>
      <c r="R33" s="28">
        <v>1.0</v>
      </c>
      <c r="S33" s="28" t="s">
        <v>216</v>
      </c>
      <c r="T33" s="28">
        <v>3.0</v>
      </c>
      <c r="U33" s="37" t="s">
        <v>216</v>
      </c>
      <c r="V33" s="37">
        <v>3.0</v>
      </c>
      <c r="W33" s="28" t="s">
        <v>230</v>
      </c>
      <c r="X33" s="28">
        <v>6.0</v>
      </c>
      <c r="Y33" s="28" t="s">
        <v>223</v>
      </c>
      <c r="Z33" s="28">
        <v>1.0</v>
      </c>
      <c r="AA33" s="28" t="s">
        <v>234</v>
      </c>
      <c r="AB33" s="28">
        <v>1.0</v>
      </c>
      <c r="AC33" s="37" t="s">
        <v>212</v>
      </c>
      <c r="AD33" s="37">
        <v>2.0</v>
      </c>
      <c r="AE33" s="28" t="s">
        <v>223</v>
      </c>
      <c r="AF33" s="28">
        <v>2.0</v>
      </c>
      <c r="AG33" s="28" t="s">
        <v>236</v>
      </c>
      <c r="AH33" s="28">
        <v>3.0</v>
      </c>
      <c r="AI33" s="28" t="s">
        <v>223</v>
      </c>
      <c r="AJ33" s="28">
        <v>1.0</v>
      </c>
      <c r="AK33" s="45" t="s">
        <v>234</v>
      </c>
      <c r="AL33" s="45">
        <v>1.0</v>
      </c>
    </row>
    <row r="34">
      <c r="A34" s="28" t="s">
        <v>236</v>
      </c>
      <c r="B34" s="28">
        <v>2.0</v>
      </c>
      <c r="C34" s="28" t="s">
        <v>236</v>
      </c>
      <c r="D34" s="28">
        <v>1.0</v>
      </c>
      <c r="E34" s="28" t="s">
        <v>212</v>
      </c>
      <c r="F34" s="28">
        <v>2.0</v>
      </c>
      <c r="G34" s="28" t="s">
        <v>212</v>
      </c>
      <c r="H34" s="28">
        <v>1.0</v>
      </c>
      <c r="I34" s="28" t="s">
        <v>212</v>
      </c>
      <c r="J34" s="28">
        <v>2.0</v>
      </c>
      <c r="K34" s="28" t="s">
        <v>216</v>
      </c>
      <c r="L34" s="28">
        <v>4.0</v>
      </c>
      <c r="M34" s="28" t="s">
        <v>236</v>
      </c>
      <c r="N34" s="28">
        <v>1.0</v>
      </c>
      <c r="O34" s="28" t="s">
        <v>216</v>
      </c>
      <c r="P34" s="28">
        <v>5.0</v>
      </c>
      <c r="Q34" s="28" t="s">
        <v>216</v>
      </c>
      <c r="R34" s="28">
        <v>4.0</v>
      </c>
      <c r="S34" s="28" t="s">
        <v>239</v>
      </c>
      <c r="T34" s="28">
        <v>1.0</v>
      </c>
      <c r="U34" s="37" t="s">
        <v>225</v>
      </c>
      <c r="V34" s="37">
        <v>2.0</v>
      </c>
      <c r="W34" s="28" t="s">
        <v>236</v>
      </c>
      <c r="X34" s="28">
        <v>4.0</v>
      </c>
      <c r="Y34" s="28" t="s">
        <v>212</v>
      </c>
      <c r="Z34" s="28">
        <v>2.0</v>
      </c>
      <c r="AA34" s="28" t="s">
        <v>239</v>
      </c>
      <c r="AB34" s="28">
        <v>1.0</v>
      </c>
      <c r="AC34" s="37" t="s">
        <v>216</v>
      </c>
      <c r="AD34" s="37">
        <v>3.0</v>
      </c>
      <c r="AE34" s="28" t="s">
        <v>216</v>
      </c>
      <c r="AF34" s="28">
        <v>3.0</v>
      </c>
      <c r="AG34" s="28" t="s">
        <v>241</v>
      </c>
      <c r="AH34" s="28">
        <v>2.0</v>
      </c>
      <c r="AI34" s="28" t="s">
        <v>212</v>
      </c>
      <c r="AJ34" s="28">
        <v>2.0</v>
      </c>
      <c r="AK34" s="45" t="s">
        <v>239</v>
      </c>
      <c r="AL34" s="45">
        <v>1.0</v>
      </c>
    </row>
    <row r="35">
      <c r="A35" s="28" t="s">
        <v>243</v>
      </c>
      <c r="B35" s="28">
        <v>1.0</v>
      </c>
      <c r="C35" s="28" t="s">
        <v>244</v>
      </c>
      <c r="D35" s="28">
        <v>1.0</v>
      </c>
      <c r="E35" s="28" t="s">
        <v>216</v>
      </c>
      <c r="F35" s="28">
        <v>4.0</v>
      </c>
      <c r="G35" s="28" t="s">
        <v>216</v>
      </c>
      <c r="H35" s="28">
        <v>4.0</v>
      </c>
      <c r="I35" s="28" t="s">
        <v>216</v>
      </c>
      <c r="J35" s="28">
        <v>4.0</v>
      </c>
      <c r="K35" s="28" t="s">
        <v>225</v>
      </c>
      <c r="L35" s="28">
        <v>3.0</v>
      </c>
      <c r="M35" s="28" t="s">
        <v>246</v>
      </c>
      <c r="N35" s="28">
        <v>1.0</v>
      </c>
      <c r="O35" s="28" t="s">
        <v>225</v>
      </c>
      <c r="P35" s="28">
        <v>6.0</v>
      </c>
      <c r="Q35" s="28" t="s">
        <v>234</v>
      </c>
      <c r="R35" s="28">
        <v>1.0</v>
      </c>
      <c r="S35" s="28" t="s">
        <v>225</v>
      </c>
      <c r="T35" s="28">
        <v>2.0</v>
      </c>
      <c r="U35" s="37" t="s">
        <v>230</v>
      </c>
      <c r="V35" s="37">
        <v>4.0</v>
      </c>
      <c r="W35" s="28" t="s">
        <v>243</v>
      </c>
      <c r="X35" s="28">
        <v>1.0</v>
      </c>
      <c r="Y35" s="28" t="s">
        <v>216</v>
      </c>
      <c r="Z35" s="28">
        <v>4.0</v>
      </c>
      <c r="AA35" s="28" t="s">
        <v>225</v>
      </c>
      <c r="AB35" s="28">
        <v>8.0</v>
      </c>
      <c r="AC35" s="37" t="s">
        <v>225</v>
      </c>
      <c r="AD35" s="37">
        <v>2.0</v>
      </c>
      <c r="AE35" s="28" t="s">
        <v>225</v>
      </c>
      <c r="AF35" s="28">
        <v>4.0</v>
      </c>
      <c r="AG35" s="28" t="s">
        <v>248</v>
      </c>
      <c r="AH35" s="28">
        <v>2.0</v>
      </c>
      <c r="AI35" s="28" t="s">
        <v>216</v>
      </c>
      <c r="AJ35" s="28">
        <v>4.0</v>
      </c>
      <c r="AK35" s="45" t="s">
        <v>225</v>
      </c>
      <c r="AL35" s="45">
        <v>8.0</v>
      </c>
    </row>
    <row r="36">
      <c r="A36" s="28" t="s">
        <v>249</v>
      </c>
      <c r="B36" s="28">
        <v>1.0</v>
      </c>
      <c r="C36" s="28" t="s">
        <v>241</v>
      </c>
      <c r="D36" s="28">
        <v>1.0</v>
      </c>
      <c r="E36" s="28" t="s">
        <v>225</v>
      </c>
      <c r="F36" s="28">
        <v>8.0</v>
      </c>
      <c r="G36" s="28" t="s">
        <v>225</v>
      </c>
      <c r="H36" s="28">
        <v>8.0</v>
      </c>
      <c r="I36" s="28" t="s">
        <v>225</v>
      </c>
      <c r="J36" s="28">
        <v>3.0</v>
      </c>
      <c r="K36" s="28" t="s">
        <v>230</v>
      </c>
      <c r="L36" s="28">
        <v>4.0</v>
      </c>
      <c r="M36" s="28" t="s">
        <v>241</v>
      </c>
      <c r="N36" s="28">
        <v>2.0</v>
      </c>
      <c r="O36" s="28" t="s">
        <v>230</v>
      </c>
      <c r="P36" s="28">
        <v>5.0</v>
      </c>
      <c r="Q36" s="28" t="s">
        <v>225</v>
      </c>
      <c r="R36" s="28">
        <v>6.0</v>
      </c>
      <c r="S36" s="28" t="s">
        <v>253</v>
      </c>
      <c r="T36" s="28">
        <v>1.0</v>
      </c>
      <c r="U36" s="37" t="s">
        <v>236</v>
      </c>
      <c r="V36" s="37">
        <v>1.0</v>
      </c>
      <c r="W36" s="28" t="s">
        <v>241</v>
      </c>
      <c r="X36" s="28">
        <v>1.0</v>
      </c>
      <c r="Y36" s="28" t="s">
        <v>225</v>
      </c>
      <c r="Z36" s="28">
        <v>7.0</v>
      </c>
      <c r="AA36" s="28" t="s">
        <v>230</v>
      </c>
      <c r="AB36" s="28">
        <v>6.0</v>
      </c>
      <c r="AC36" s="37" t="s">
        <v>254</v>
      </c>
      <c r="AD36" s="37">
        <v>1.0</v>
      </c>
      <c r="AE36" s="28" t="s">
        <v>254</v>
      </c>
      <c r="AF36" s="28">
        <v>1.0</v>
      </c>
      <c r="AG36" s="28" t="s">
        <v>255</v>
      </c>
      <c r="AH36" s="28">
        <v>1.0</v>
      </c>
      <c r="AI36" s="28" t="s">
        <v>239</v>
      </c>
      <c r="AJ36" s="28">
        <v>1.0</v>
      </c>
      <c r="AK36" s="45" t="s">
        <v>230</v>
      </c>
      <c r="AL36" s="45">
        <v>6.0</v>
      </c>
    </row>
    <row r="37">
      <c r="A37" s="28" t="s">
        <v>257</v>
      </c>
      <c r="B37" s="28">
        <v>2.0</v>
      </c>
      <c r="C37" s="28" t="s">
        <v>258</v>
      </c>
      <c r="D37" s="28">
        <v>1.0</v>
      </c>
      <c r="E37" s="28" t="s">
        <v>230</v>
      </c>
      <c r="F37" s="28">
        <v>7.0</v>
      </c>
      <c r="G37" s="28" t="s">
        <v>230</v>
      </c>
      <c r="H37" s="28">
        <v>2.0</v>
      </c>
      <c r="I37" s="28" t="s">
        <v>230</v>
      </c>
      <c r="J37" s="28">
        <v>4.0</v>
      </c>
      <c r="K37" s="28" t="s">
        <v>236</v>
      </c>
      <c r="L37" s="28">
        <v>3.0</v>
      </c>
      <c r="M37" s="28" t="s">
        <v>248</v>
      </c>
      <c r="N37" s="28">
        <v>1.0</v>
      </c>
      <c r="O37" s="28" t="s">
        <v>236</v>
      </c>
      <c r="P37" s="28">
        <v>2.0</v>
      </c>
      <c r="Q37" s="28" t="s">
        <v>230</v>
      </c>
      <c r="R37" s="28">
        <v>5.0</v>
      </c>
      <c r="S37" s="28" t="s">
        <v>230</v>
      </c>
      <c r="T37" s="28">
        <v>2.0</v>
      </c>
      <c r="U37" s="37" t="s">
        <v>246</v>
      </c>
      <c r="V37" s="37">
        <v>1.0</v>
      </c>
      <c r="W37" s="28" t="s">
        <v>248</v>
      </c>
      <c r="X37" s="28">
        <v>2.0</v>
      </c>
      <c r="Y37" s="28" t="s">
        <v>230</v>
      </c>
      <c r="Z37" s="28">
        <v>6.0</v>
      </c>
      <c r="AA37" s="28" t="s">
        <v>260</v>
      </c>
      <c r="AB37" s="28">
        <v>2.0</v>
      </c>
      <c r="AC37" s="37" t="s">
        <v>230</v>
      </c>
      <c r="AD37" s="37">
        <v>4.0</v>
      </c>
      <c r="AE37" s="28" t="s">
        <v>230</v>
      </c>
      <c r="AF37" s="28">
        <v>4.0</v>
      </c>
      <c r="AG37" s="28" t="s">
        <v>261</v>
      </c>
      <c r="AH37" s="28">
        <v>3.0</v>
      </c>
      <c r="AI37" s="28" t="s">
        <v>225</v>
      </c>
      <c r="AJ37" s="28">
        <v>6.0</v>
      </c>
      <c r="AK37" s="45" t="s">
        <v>260</v>
      </c>
      <c r="AL37" s="45">
        <v>2.0</v>
      </c>
    </row>
    <row r="38">
      <c r="A38" s="28" t="s">
        <v>262</v>
      </c>
      <c r="B38" s="28">
        <v>1.0</v>
      </c>
      <c r="C38" s="28" t="s">
        <v>263</v>
      </c>
      <c r="D38" s="28">
        <v>1.0</v>
      </c>
      <c r="E38" s="28" t="s">
        <v>236</v>
      </c>
      <c r="F38" s="28">
        <v>1.0</v>
      </c>
      <c r="G38" s="28" t="s">
        <v>236</v>
      </c>
      <c r="H38" s="28">
        <v>2.0</v>
      </c>
      <c r="I38" s="28" t="s">
        <v>236</v>
      </c>
      <c r="J38" s="28">
        <v>2.0</v>
      </c>
      <c r="K38" s="28" t="s">
        <v>248</v>
      </c>
      <c r="L38" s="28">
        <v>1.0</v>
      </c>
      <c r="M38" s="28" t="s">
        <v>255</v>
      </c>
      <c r="N38" s="28">
        <v>1.0</v>
      </c>
      <c r="O38" s="28" t="s">
        <v>246</v>
      </c>
      <c r="P38" s="28">
        <v>1.0</v>
      </c>
      <c r="Q38" s="28" t="s">
        <v>260</v>
      </c>
      <c r="R38" s="28">
        <v>1.0</v>
      </c>
      <c r="S38" s="28" t="s">
        <v>236</v>
      </c>
      <c r="T38" s="28">
        <v>1.0</v>
      </c>
      <c r="U38" s="37" t="s">
        <v>248</v>
      </c>
      <c r="V38" s="37">
        <v>1.0</v>
      </c>
      <c r="W38" s="28" t="s">
        <v>266</v>
      </c>
      <c r="X38" s="28">
        <v>1.0</v>
      </c>
      <c r="Y38" s="28" t="s">
        <v>236</v>
      </c>
      <c r="Z38" s="28">
        <v>1.0</v>
      </c>
      <c r="AA38" s="28" t="s">
        <v>269</v>
      </c>
      <c r="AB38" s="28">
        <v>1.0</v>
      </c>
      <c r="AC38" s="37" t="s">
        <v>236</v>
      </c>
      <c r="AD38" s="37">
        <v>1.0</v>
      </c>
      <c r="AE38" s="28" t="s">
        <v>236</v>
      </c>
      <c r="AF38" s="28">
        <v>1.0</v>
      </c>
      <c r="AG38" s="28" t="s">
        <v>271</v>
      </c>
      <c r="AH38" s="28">
        <v>1.0</v>
      </c>
      <c r="AI38" s="28" t="s">
        <v>230</v>
      </c>
      <c r="AJ38" s="28">
        <v>5.0</v>
      </c>
      <c r="AK38" s="45" t="s">
        <v>269</v>
      </c>
      <c r="AL38" s="45">
        <v>1.0</v>
      </c>
    </row>
    <row r="39">
      <c r="A39" s="28" t="s">
        <v>255</v>
      </c>
      <c r="B39" s="28">
        <v>1.0</v>
      </c>
      <c r="C39" s="28" t="s">
        <v>261</v>
      </c>
      <c r="D39" s="28">
        <v>4.0</v>
      </c>
      <c r="E39" s="28" t="s">
        <v>246</v>
      </c>
      <c r="F39" s="28">
        <v>1.0</v>
      </c>
      <c r="G39" s="28" t="s">
        <v>273</v>
      </c>
      <c r="H39" s="28">
        <v>1.0</v>
      </c>
      <c r="I39" s="28" t="s">
        <v>266</v>
      </c>
      <c r="J39" s="28">
        <v>1.0</v>
      </c>
      <c r="K39" s="28" t="s">
        <v>276</v>
      </c>
      <c r="L39" s="28">
        <v>1.0</v>
      </c>
      <c r="M39" s="28" t="s">
        <v>263</v>
      </c>
      <c r="N39" s="28">
        <v>1.0</v>
      </c>
      <c r="O39" s="28" t="s">
        <v>269</v>
      </c>
      <c r="P39" s="28">
        <v>1.0</v>
      </c>
      <c r="Q39" s="28" t="s">
        <v>236</v>
      </c>
      <c r="R39" s="28">
        <v>1.0</v>
      </c>
      <c r="S39" s="28" t="s">
        <v>257</v>
      </c>
      <c r="T39" s="28">
        <v>1.0</v>
      </c>
      <c r="U39" s="37" t="s">
        <v>277</v>
      </c>
      <c r="V39" s="37">
        <v>1.0</v>
      </c>
      <c r="W39" s="28" t="s">
        <v>279</v>
      </c>
      <c r="X39" s="28">
        <v>1.0</v>
      </c>
      <c r="Y39" s="28" t="s">
        <v>246</v>
      </c>
      <c r="Z39" s="28">
        <v>1.0</v>
      </c>
      <c r="AA39" s="28" t="s">
        <v>273</v>
      </c>
      <c r="AB39" s="28">
        <v>1.0</v>
      </c>
      <c r="AC39" s="37" t="s">
        <v>266</v>
      </c>
      <c r="AD39" s="37">
        <v>1.0</v>
      </c>
      <c r="AE39" s="28" t="s">
        <v>248</v>
      </c>
      <c r="AF39" s="28">
        <v>1.0</v>
      </c>
      <c r="AG39" s="28" t="s">
        <v>281</v>
      </c>
      <c r="AH39" s="28">
        <v>1.0</v>
      </c>
      <c r="AI39" s="28" t="s">
        <v>236</v>
      </c>
      <c r="AJ39" s="28">
        <v>2.0</v>
      </c>
      <c r="AK39" s="45" t="s">
        <v>273</v>
      </c>
      <c r="AL39" s="45">
        <v>1.0</v>
      </c>
    </row>
    <row r="40">
      <c r="A40" s="28" t="s">
        <v>283</v>
      </c>
      <c r="B40" s="28">
        <v>1.0</v>
      </c>
      <c r="C40" s="28" t="s">
        <v>285</v>
      </c>
      <c r="D40" s="28">
        <v>1.0</v>
      </c>
      <c r="E40" s="28" t="s">
        <v>287</v>
      </c>
      <c r="F40" s="28">
        <v>1.0</v>
      </c>
      <c r="G40" s="28" t="s">
        <v>288</v>
      </c>
      <c r="H40" s="28">
        <v>1.0</v>
      </c>
      <c r="I40" s="28" t="s">
        <v>277</v>
      </c>
      <c r="J40" s="28">
        <v>1.0</v>
      </c>
      <c r="K40" s="28" t="s">
        <v>262</v>
      </c>
      <c r="L40" s="28">
        <v>1.0</v>
      </c>
      <c r="M40" s="28" t="s">
        <v>261</v>
      </c>
      <c r="N40" s="28">
        <v>3.0</v>
      </c>
      <c r="O40" s="28" t="s">
        <v>241</v>
      </c>
      <c r="P40" s="28">
        <v>1.0</v>
      </c>
      <c r="Q40" s="28" t="s">
        <v>273</v>
      </c>
      <c r="R40" s="28">
        <v>2.0</v>
      </c>
      <c r="S40" s="28" t="s">
        <v>258</v>
      </c>
      <c r="T40" s="28">
        <v>1.0</v>
      </c>
      <c r="U40" s="37" t="s">
        <v>279</v>
      </c>
      <c r="V40" s="37">
        <v>1.0</v>
      </c>
      <c r="W40" s="28" t="s">
        <v>255</v>
      </c>
      <c r="X40" s="28">
        <v>1.0</v>
      </c>
      <c r="Y40" s="28" t="s">
        <v>269</v>
      </c>
      <c r="Z40" s="28">
        <v>1.0</v>
      </c>
      <c r="AA40" s="28" t="s">
        <v>291</v>
      </c>
      <c r="AB40" s="28">
        <v>1.0</v>
      </c>
      <c r="AC40" s="37" t="s">
        <v>292</v>
      </c>
      <c r="AD40" s="37">
        <v>1.0</v>
      </c>
      <c r="AE40" s="28" t="s">
        <v>277</v>
      </c>
      <c r="AF40" s="28">
        <v>1.0</v>
      </c>
      <c r="AG40" s="28" t="s">
        <v>294</v>
      </c>
      <c r="AH40" s="28">
        <v>4.0</v>
      </c>
      <c r="AI40" s="28" t="s">
        <v>246</v>
      </c>
      <c r="AJ40" s="28">
        <v>1.0</v>
      </c>
      <c r="AK40" s="45" t="s">
        <v>291</v>
      </c>
      <c r="AL40" s="45">
        <v>1.0</v>
      </c>
    </row>
    <row r="41">
      <c r="A41" s="28" t="s">
        <v>261</v>
      </c>
      <c r="B41" s="28">
        <v>3.0</v>
      </c>
      <c r="C41" s="28" t="s">
        <v>281</v>
      </c>
      <c r="D41" s="28">
        <v>2.0</v>
      </c>
      <c r="E41" s="28" t="s">
        <v>291</v>
      </c>
      <c r="F41" s="28">
        <v>1.0</v>
      </c>
      <c r="G41" s="28" t="s">
        <v>255</v>
      </c>
      <c r="H41" s="28">
        <v>3.0</v>
      </c>
      <c r="I41" s="28" t="s">
        <v>257</v>
      </c>
      <c r="J41" s="28">
        <v>2.0</v>
      </c>
      <c r="K41" s="28" t="s">
        <v>263</v>
      </c>
      <c r="L41" s="28">
        <v>1.0</v>
      </c>
      <c r="M41" s="28" t="s">
        <v>281</v>
      </c>
      <c r="N41" s="28">
        <v>2.0</v>
      </c>
      <c r="O41" s="28" t="s">
        <v>292</v>
      </c>
      <c r="P41" s="28">
        <v>1.0</v>
      </c>
      <c r="Q41" s="28" t="s">
        <v>291</v>
      </c>
      <c r="R41" s="28">
        <v>1.0</v>
      </c>
      <c r="S41" s="28" t="s">
        <v>255</v>
      </c>
      <c r="T41" s="28">
        <v>1.0</v>
      </c>
      <c r="U41" s="37" t="s">
        <v>262</v>
      </c>
      <c r="V41" s="37">
        <v>1.0</v>
      </c>
      <c r="W41" s="28" t="s">
        <v>263</v>
      </c>
      <c r="X41" s="28">
        <v>1.0</v>
      </c>
      <c r="Y41" s="28" t="s">
        <v>241</v>
      </c>
      <c r="Z41" s="28">
        <v>1.0</v>
      </c>
      <c r="AA41" s="28" t="s">
        <v>276</v>
      </c>
      <c r="AB41" s="28">
        <v>1.0</v>
      </c>
      <c r="AC41" s="37" t="s">
        <v>277</v>
      </c>
      <c r="AD41" s="37">
        <v>1.0</v>
      </c>
      <c r="AE41" s="28" t="s">
        <v>262</v>
      </c>
      <c r="AF41" s="28">
        <v>1.0</v>
      </c>
      <c r="AG41" s="28" t="s">
        <v>297</v>
      </c>
      <c r="AH41" s="28">
        <v>3.0</v>
      </c>
      <c r="AI41" s="28" t="s">
        <v>269</v>
      </c>
      <c r="AJ41" s="28">
        <v>1.0</v>
      </c>
      <c r="AK41" s="45" t="s">
        <v>276</v>
      </c>
      <c r="AL41" s="45">
        <v>1.0</v>
      </c>
    </row>
    <row r="42">
      <c r="A42" s="28" t="s">
        <v>285</v>
      </c>
      <c r="B42" s="28">
        <v>1.0</v>
      </c>
      <c r="C42" s="28" t="s">
        <v>294</v>
      </c>
      <c r="D42" s="28">
        <v>3.0</v>
      </c>
      <c r="E42" s="28" t="s">
        <v>241</v>
      </c>
      <c r="F42" s="28">
        <v>1.0</v>
      </c>
      <c r="G42" s="28" t="s">
        <v>299</v>
      </c>
      <c r="H42" s="28">
        <v>1.0</v>
      </c>
      <c r="I42" s="28" t="s">
        <v>258</v>
      </c>
      <c r="J42" s="28">
        <v>2.0</v>
      </c>
      <c r="K42" s="28" t="s">
        <v>261</v>
      </c>
      <c r="L42" s="28">
        <v>4.0</v>
      </c>
      <c r="M42" s="28" t="s">
        <v>294</v>
      </c>
      <c r="N42" s="28">
        <v>3.0</v>
      </c>
      <c r="O42" s="28" t="s">
        <v>277</v>
      </c>
      <c r="P42" s="28">
        <v>1.0</v>
      </c>
      <c r="Q42" s="28" t="s">
        <v>266</v>
      </c>
      <c r="R42" s="28">
        <v>1.0</v>
      </c>
      <c r="S42" s="28" t="s">
        <v>263</v>
      </c>
      <c r="T42" s="28">
        <v>1.0</v>
      </c>
      <c r="U42" s="37" t="s">
        <v>263</v>
      </c>
      <c r="V42" s="37">
        <v>1.0</v>
      </c>
      <c r="W42" s="28" t="s">
        <v>261</v>
      </c>
      <c r="X42" s="28">
        <v>3.0</v>
      </c>
      <c r="Y42" s="28" t="s">
        <v>277</v>
      </c>
      <c r="Z42" s="28">
        <v>1.0</v>
      </c>
      <c r="AA42" s="28" t="s">
        <v>255</v>
      </c>
      <c r="AB42" s="28">
        <v>2.0</v>
      </c>
      <c r="AC42" s="37" t="s">
        <v>257</v>
      </c>
      <c r="AD42" s="37">
        <v>2.0</v>
      </c>
      <c r="AE42" s="28" t="s">
        <v>263</v>
      </c>
      <c r="AF42" s="28">
        <v>1.0</v>
      </c>
      <c r="AG42" s="28" t="s">
        <v>300</v>
      </c>
      <c r="AH42" s="28">
        <v>1.0</v>
      </c>
      <c r="AI42" s="28" t="s">
        <v>291</v>
      </c>
      <c r="AJ42" s="28">
        <v>1.0</v>
      </c>
      <c r="AK42" s="45" t="s">
        <v>255</v>
      </c>
      <c r="AL42" s="45">
        <v>2.0</v>
      </c>
    </row>
    <row r="43">
      <c r="A43" s="28" t="s">
        <v>294</v>
      </c>
      <c r="B43" s="28">
        <v>2.0</v>
      </c>
      <c r="C43" s="28" t="s">
        <v>301</v>
      </c>
      <c r="D43" s="28">
        <v>2.0</v>
      </c>
      <c r="E43" s="28" t="s">
        <v>266</v>
      </c>
      <c r="F43" s="28">
        <v>1.0</v>
      </c>
      <c r="G43" s="28" t="s">
        <v>302</v>
      </c>
      <c r="H43" s="28">
        <v>1.0</v>
      </c>
      <c r="I43" s="28" t="s">
        <v>299</v>
      </c>
      <c r="J43" s="28">
        <v>3.0</v>
      </c>
      <c r="K43" s="28" t="s">
        <v>271</v>
      </c>
      <c r="L43" s="28">
        <v>1.0</v>
      </c>
      <c r="M43" s="28" t="s">
        <v>297</v>
      </c>
      <c r="N43" s="28">
        <v>2.0</v>
      </c>
      <c r="O43" s="28" t="s">
        <v>257</v>
      </c>
      <c r="P43" s="28">
        <v>1.0</v>
      </c>
      <c r="Q43" s="28" t="s">
        <v>288</v>
      </c>
      <c r="R43" s="28">
        <v>1.0</v>
      </c>
      <c r="S43" s="28" t="s">
        <v>299</v>
      </c>
      <c r="T43" s="28">
        <v>3.0</v>
      </c>
      <c r="U43" s="37" t="s">
        <v>299</v>
      </c>
      <c r="V43" s="37">
        <v>1.0</v>
      </c>
      <c r="W43" s="28" t="s">
        <v>271</v>
      </c>
      <c r="X43" s="28">
        <v>1.0</v>
      </c>
      <c r="Y43" s="28" t="s">
        <v>257</v>
      </c>
      <c r="Z43" s="28">
        <v>2.0</v>
      </c>
      <c r="AA43" s="28" t="s">
        <v>304</v>
      </c>
      <c r="AB43" s="28">
        <v>1.0</v>
      </c>
      <c r="AC43" s="37" t="s">
        <v>258</v>
      </c>
      <c r="AD43" s="37">
        <v>2.0</v>
      </c>
      <c r="AE43" s="28" t="s">
        <v>299</v>
      </c>
      <c r="AF43" s="28">
        <v>1.0</v>
      </c>
      <c r="AG43" s="28" t="s">
        <v>305</v>
      </c>
      <c r="AH43" s="28">
        <v>3.0</v>
      </c>
      <c r="AI43" s="28" t="s">
        <v>241</v>
      </c>
      <c r="AJ43" s="28">
        <v>1.0</v>
      </c>
      <c r="AK43" s="45" t="s">
        <v>304</v>
      </c>
      <c r="AL43" s="45">
        <v>1.0</v>
      </c>
    </row>
    <row r="44">
      <c r="A44" s="28" t="s">
        <v>306</v>
      </c>
      <c r="B44" s="28">
        <v>1.0</v>
      </c>
      <c r="C44" s="28" t="s">
        <v>297</v>
      </c>
      <c r="D44" s="28">
        <v>3.0</v>
      </c>
      <c r="E44" s="28" t="s">
        <v>261</v>
      </c>
      <c r="F44" s="28">
        <v>6.0</v>
      </c>
      <c r="G44" s="28" t="s">
        <v>261</v>
      </c>
      <c r="H44" s="28">
        <v>5.0</v>
      </c>
      <c r="I44" s="28" t="s">
        <v>261</v>
      </c>
      <c r="J44" s="28">
        <v>1.0</v>
      </c>
      <c r="K44" s="28" t="s">
        <v>285</v>
      </c>
      <c r="L44" s="28">
        <v>2.0</v>
      </c>
      <c r="M44" s="28" t="s">
        <v>307</v>
      </c>
      <c r="N44" s="28">
        <v>2.0</v>
      </c>
      <c r="O44" s="28" t="s">
        <v>258</v>
      </c>
      <c r="P44" s="28">
        <v>1.0</v>
      </c>
      <c r="Q44" s="28" t="s">
        <v>249</v>
      </c>
      <c r="R44" s="28">
        <v>1.0</v>
      </c>
      <c r="S44" s="28" t="s">
        <v>271</v>
      </c>
      <c r="T44" s="28">
        <v>1.0</v>
      </c>
      <c r="U44" s="37" t="s">
        <v>261</v>
      </c>
      <c r="V44" s="37">
        <v>4.0</v>
      </c>
      <c r="W44" s="28" t="s">
        <v>281</v>
      </c>
      <c r="X44" s="28">
        <v>2.0</v>
      </c>
      <c r="Y44" s="28" t="s">
        <v>258</v>
      </c>
      <c r="Z44" s="28">
        <v>1.0</v>
      </c>
      <c r="AA44" s="28" t="s">
        <v>299</v>
      </c>
      <c r="AB44" s="28">
        <v>2.0</v>
      </c>
      <c r="AC44" s="37" t="s">
        <v>261</v>
      </c>
      <c r="AD44" s="37">
        <v>1.0</v>
      </c>
      <c r="AE44" s="28" t="s">
        <v>261</v>
      </c>
      <c r="AF44" s="28">
        <v>4.0</v>
      </c>
      <c r="AG44" s="28" t="s">
        <v>309</v>
      </c>
      <c r="AH44" s="28">
        <v>1.0</v>
      </c>
      <c r="AI44" s="28" t="s">
        <v>266</v>
      </c>
      <c r="AJ44" s="28">
        <v>1.0</v>
      </c>
      <c r="AK44" s="45" t="s">
        <v>299</v>
      </c>
      <c r="AL44" s="45">
        <v>1.0</v>
      </c>
    </row>
    <row r="45">
      <c r="A45" s="28" t="s">
        <v>301</v>
      </c>
      <c r="B45" s="28">
        <v>3.0</v>
      </c>
      <c r="C45" s="28" t="s">
        <v>300</v>
      </c>
      <c r="D45" s="28">
        <v>1.0</v>
      </c>
      <c r="E45" s="28" t="s">
        <v>281</v>
      </c>
      <c r="F45" s="28">
        <v>2.0</v>
      </c>
      <c r="G45" s="28" t="s">
        <v>285</v>
      </c>
      <c r="H45" s="28">
        <v>1.0</v>
      </c>
      <c r="I45" s="28" t="s">
        <v>281</v>
      </c>
      <c r="J45" s="28">
        <v>3.0</v>
      </c>
      <c r="K45" s="28" t="s">
        <v>281</v>
      </c>
      <c r="L45" s="28">
        <v>2.0</v>
      </c>
      <c r="M45" s="28" t="s">
        <v>310</v>
      </c>
      <c r="N45" s="28">
        <v>1.0</v>
      </c>
      <c r="O45" s="28" t="s">
        <v>255</v>
      </c>
      <c r="P45" s="28">
        <v>1.0</v>
      </c>
      <c r="Q45" s="28" t="s">
        <v>255</v>
      </c>
      <c r="R45" s="28">
        <v>3.0</v>
      </c>
      <c r="S45" s="28" t="s">
        <v>281</v>
      </c>
      <c r="T45" s="28">
        <v>3.0</v>
      </c>
      <c r="U45" s="37" t="s">
        <v>271</v>
      </c>
      <c r="V45" s="37">
        <v>1.0</v>
      </c>
      <c r="W45" s="28" t="s">
        <v>294</v>
      </c>
      <c r="X45" s="28">
        <v>4.0</v>
      </c>
      <c r="Y45" s="28" t="s">
        <v>255</v>
      </c>
      <c r="Z45" s="28">
        <v>1.0</v>
      </c>
      <c r="AA45" s="28" t="s">
        <v>311</v>
      </c>
      <c r="AB45" s="28">
        <v>1.0</v>
      </c>
      <c r="AC45" s="37" t="s">
        <v>285</v>
      </c>
      <c r="AD45" s="37">
        <v>1.0</v>
      </c>
      <c r="AE45" s="28" t="s">
        <v>271</v>
      </c>
      <c r="AF45" s="28">
        <v>1.0</v>
      </c>
      <c r="AG45" s="28" t="s">
        <v>312</v>
      </c>
      <c r="AH45" s="28">
        <v>1.0</v>
      </c>
      <c r="AI45" s="28" t="s">
        <v>288</v>
      </c>
      <c r="AJ45" s="28">
        <v>1.0</v>
      </c>
      <c r="AK45" s="45" t="s">
        <v>311</v>
      </c>
      <c r="AL45" s="45">
        <v>1.0</v>
      </c>
    </row>
    <row r="46">
      <c r="A46" s="28" t="s">
        <v>297</v>
      </c>
      <c r="B46" s="28">
        <v>1.0</v>
      </c>
      <c r="C46" s="28" t="s">
        <v>307</v>
      </c>
      <c r="D46" s="28">
        <v>2.0</v>
      </c>
      <c r="E46" s="28" t="s">
        <v>294</v>
      </c>
      <c r="F46" s="28">
        <v>1.0</v>
      </c>
      <c r="G46" s="28" t="s">
        <v>294</v>
      </c>
      <c r="H46" s="28">
        <v>1.0</v>
      </c>
      <c r="I46" s="28" t="s">
        <v>294</v>
      </c>
      <c r="J46" s="28">
        <v>1.0</v>
      </c>
      <c r="K46" s="28" t="s">
        <v>294</v>
      </c>
      <c r="L46" s="28">
        <v>1.0</v>
      </c>
      <c r="M46" s="28" t="s">
        <v>305</v>
      </c>
      <c r="N46" s="28">
        <v>4.0</v>
      </c>
      <c r="O46" s="28" t="s">
        <v>302</v>
      </c>
      <c r="P46" s="28">
        <v>1.0</v>
      </c>
      <c r="Q46" s="28" t="s">
        <v>263</v>
      </c>
      <c r="R46" s="28">
        <v>1.0</v>
      </c>
      <c r="S46" s="28" t="s">
        <v>294</v>
      </c>
      <c r="T46" s="28">
        <v>1.0</v>
      </c>
      <c r="U46" s="37" t="s">
        <v>285</v>
      </c>
      <c r="V46" s="37">
        <v>1.0</v>
      </c>
      <c r="W46" s="28" t="s">
        <v>301</v>
      </c>
      <c r="X46" s="28">
        <v>2.0</v>
      </c>
      <c r="Y46" s="28" t="s">
        <v>302</v>
      </c>
      <c r="Z46" s="28">
        <v>1.0</v>
      </c>
      <c r="AA46" s="28" t="s">
        <v>261</v>
      </c>
      <c r="AB46" s="28">
        <v>1.0</v>
      </c>
      <c r="AC46" s="37" t="s">
        <v>281</v>
      </c>
      <c r="AD46" s="37">
        <v>3.0</v>
      </c>
      <c r="AE46" s="28" t="s">
        <v>294</v>
      </c>
      <c r="AF46" s="28">
        <v>1.0</v>
      </c>
      <c r="AG46" s="28" t="s">
        <v>314</v>
      </c>
      <c r="AH46" s="28">
        <v>1.0</v>
      </c>
      <c r="AI46" s="28" t="s">
        <v>257</v>
      </c>
      <c r="AJ46" s="28">
        <v>1.0</v>
      </c>
      <c r="AK46" s="45" t="s">
        <v>261</v>
      </c>
      <c r="AL46" s="45">
        <v>1.0</v>
      </c>
    </row>
    <row r="47">
      <c r="A47" s="28" t="s">
        <v>315</v>
      </c>
      <c r="B47" s="28">
        <v>1.0</v>
      </c>
      <c r="C47" s="28" t="s">
        <v>316</v>
      </c>
      <c r="D47" s="28">
        <v>1.0</v>
      </c>
      <c r="E47" s="28" t="s">
        <v>306</v>
      </c>
      <c r="F47" s="28">
        <v>1.0</v>
      </c>
      <c r="G47" s="28" t="s">
        <v>317</v>
      </c>
      <c r="H47" s="28">
        <v>1.0</v>
      </c>
      <c r="I47" s="28" t="s">
        <v>319</v>
      </c>
      <c r="J47" s="28">
        <v>2.0</v>
      </c>
      <c r="K47" s="28" t="s">
        <v>317</v>
      </c>
      <c r="L47" s="28">
        <v>1.0</v>
      </c>
      <c r="M47" s="28" t="s">
        <v>320</v>
      </c>
      <c r="N47" s="28">
        <v>1.0</v>
      </c>
      <c r="O47" s="28" t="s">
        <v>261</v>
      </c>
      <c r="P47" s="28">
        <v>4.0</v>
      </c>
      <c r="Q47" s="28" t="s">
        <v>304</v>
      </c>
      <c r="R47" s="28">
        <v>1.0</v>
      </c>
      <c r="S47" s="28" t="s">
        <v>319</v>
      </c>
      <c r="T47" s="28">
        <v>1.0</v>
      </c>
      <c r="U47" s="37" t="s">
        <v>281</v>
      </c>
      <c r="V47" s="37">
        <v>1.0</v>
      </c>
      <c r="W47" s="28" t="s">
        <v>297</v>
      </c>
      <c r="X47" s="28">
        <v>3.0</v>
      </c>
      <c r="Y47" s="28" t="s">
        <v>261</v>
      </c>
      <c r="Z47" s="28">
        <v>2.0</v>
      </c>
      <c r="AA47" s="28" t="s">
        <v>281</v>
      </c>
      <c r="AB47" s="28">
        <v>1.0</v>
      </c>
      <c r="AC47" s="37" t="s">
        <v>294</v>
      </c>
      <c r="AD47" s="37">
        <v>1.0</v>
      </c>
      <c r="AE47" s="28" t="s">
        <v>317</v>
      </c>
      <c r="AF47" s="28">
        <v>1.0</v>
      </c>
      <c r="AG47" s="28" t="s">
        <v>322</v>
      </c>
      <c r="AH47" s="28">
        <v>1.0</v>
      </c>
      <c r="AI47" s="28" t="s">
        <v>258</v>
      </c>
      <c r="AJ47" s="28">
        <v>1.0</v>
      </c>
      <c r="AK47" s="45" t="s">
        <v>281</v>
      </c>
      <c r="AL47" s="45">
        <v>1.0</v>
      </c>
    </row>
    <row r="48">
      <c r="A48" s="28" t="s">
        <v>323</v>
      </c>
      <c r="B48" s="28">
        <v>1.0</v>
      </c>
      <c r="C48" s="28" t="s">
        <v>305</v>
      </c>
      <c r="D48" s="28">
        <v>3.0</v>
      </c>
      <c r="E48" s="28" t="s">
        <v>301</v>
      </c>
      <c r="F48" s="28">
        <v>5.0</v>
      </c>
      <c r="G48" s="28" t="s">
        <v>319</v>
      </c>
      <c r="H48" s="28">
        <v>1.0</v>
      </c>
      <c r="I48" s="28" t="s">
        <v>306</v>
      </c>
      <c r="J48" s="28">
        <v>1.0</v>
      </c>
      <c r="K48" s="28" t="s">
        <v>319</v>
      </c>
      <c r="L48" s="28">
        <v>1.0</v>
      </c>
      <c r="M48" s="28" t="s">
        <v>309</v>
      </c>
      <c r="N48" s="28">
        <v>3.0</v>
      </c>
      <c r="O48" s="28" t="s">
        <v>271</v>
      </c>
      <c r="P48" s="28">
        <v>1.0</v>
      </c>
      <c r="Q48" s="28" t="s">
        <v>299</v>
      </c>
      <c r="R48" s="28">
        <v>1.0</v>
      </c>
      <c r="S48" s="28" t="s">
        <v>306</v>
      </c>
      <c r="T48" s="28">
        <v>1.0</v>
      </c>
      <c r="U48" s="37" t="s">
        <v>294</v>
      </c>
      <c r="V48" s="37">
        <v>2.0</v>
      </c>
      <c r="W48" s="28" t="s">
        <v>300</v>
      </c>
      <c r="X48" s="28">
        <v>1.0</v>
      </c>
      <c r="Y48" s="28" t="s">
        <v>271</v>
      </c>
      <c r="Z48" s="28">
        <v>1.0</v>
      </c>
      <c r="AA48" s="28" t="s">
        <v>294</v>
      </c>
      <c r="AB48" s="28">
        <v>1.0</v>
      </c>
      <c r="AC48" s="37" t="s">
        <v>319</v>
      </c>
      <c r="AD48" s="37">
        <v>2.0</v>
      </c>
      <c r="AE48" s="28" t="s">
        <v>319</v>
      </c>
      <c r="AF48" s="28">
        <v>1.0</v>
      </c>
      <c r="AG48" s="28" t="s">
        <v>327</v>
      </c>
      <c r="AH48" s="28">
        <v>1.0</v>
      </c>
      <c r="AI48" s="28" t="s">
        <v>255</v>
      </c>
      <c r="AJ48" s="28">
        <v>1.0</v>
      </c>
      <c r="AK48" s="45" t="s">
        <v>294</v>
      </c>
      <c r="AL48" s="45">
        <v>1.0</v>
      </c>
    </row>
    <row r="49">
      <c r="A49" s="28" t="s">
        <v>300</v>
      </c>
      <c r="B49" s="28">
        <v>1.0</v>
      </c>
      <c r="C49" s="28" t="s">
        <v>320</v>
      </c>
      <c r="D49" s="28">
        <v>2.0</v>
      </c>
      <c r="E49" s="28" t="s">
        <v>297</v>
      </c>
      <c r="F49" s="28">
        <v>2.0</v>
      </c>
      <c r="G49" s="28" t="s">
        <v>301</v>
      </c>
      <c r="H49" s="28">
        <v>1.0</v>
      </c>
      <c r="I49" s="28" t="s">
        <v>301</v>
      </c>
      <c r="J49" s="28">
        <v>1.0</v>
      </c>
      <c r="K49" s="28" t="s">
        <v>306</v>
      </c>
      <c r="L49" s="28">
        <v>1.0</v>
      </c>
      <c r="M49" s="28" t="s">
        <v>312</v>
      </c>
      <c r="N49" s="28">
        <v>1.0</v>
      </c>
      <c r="O49" s="28" t="s">
        <v>281</v>
      </c>
      <c r="P49" s="28">
        <v>1.0</v>
      </c>
      <c r="Q49" s="28" t="s">
        <v>311</v>
      </c>
      <c r="R49" s="28">
        <v>1.0</v>
      </c>
      <c r="S49" s="28" t="s">
        <v>301</v>
      </c>
      <c r="T49" s="28">
        <v>1.0</v>
      </c>
      <c r="U49" s="37" t="s">
        <v>317</v>
      </c>
      <c r="V49" s="37">
        <v>1.0</v>
      </c>
      <c r="W49" s="28" t="s">
        <v>305</v>
      </c>
      <c r="X49" s="28">
        <v>1.0</v>
      </c>
      <c r="Y49" s="28" t="s">
        <v>281</v>
      </c>
      <c r="Z49" s="28">
        <v>1.0</v>
      </c>
      <c r="AA49" s="28" t="s">
        <v>319</v>
      </c>
      <c r="AB49" s="28">
        <v>1.0</v>
      </c>
      <c r="AC49" s="37" t="s">
        <v>306</v>
      </c>
      <c r="AD49" s="37">
        <v>1.0</v>
      </c>
      <c r="AE49" s="28" t="s">
        <v>301</v>
      </c>
      <c r="AF49" s="28">
        <v>2.0</v>
      </c>
      <c r="AG49" s="28" t="s">
        <v>329</v>
      </c>
      <c r="AH49" s="28">
        <v>1.0</v>
      </c>
      <c r="AI49" s="28" t="s">
        <v>302</v>
      </c>
      <c r="AJ49" s="28">
        <v>1.0</v>
      </c>
      <c r="AK49" s="45" t="s">
        <v>319</v>
      </c>
      <c r="AL49" s="45">
        <v>1.0</v>
      </c>
    </row>
    <row r="50">
      <c r="A50" s="28" t="s">
        <v>316</v>
      </c>
      <c r="B50" s="28">
        <v>1.0</v>
      </c>
      <c r="C50" s="28" t="s">
        <v>309</v>
      </c>
      <c r="D50" s="28">
        <v>2.0</v>
      </c>
      <c r="E50" s="28" t="s">
        <v>307</v>
      </c>
      <c r="F50" s="28">
        <v>2.0</v>
      </c>
      <c r="G50" s="28" t="s">
        <v>297</v>
      </c>
      <c r="H50" s="28">
        <v>2.0</v>
      </c>
      <c r="I50" s="28" t="s">
        <v>331</v>
      </c>
      <c r="J50" s="28">
        <v>1.0</v>
      </c>
      <c r="K50" s="28" t="s">
        <v>301</v>
      </c>
      <c r="L50" s="28">
        <v>3.0</v>
      </c>
      <c r="M50" s="28" t="s">
        <v>314</v>
      </c>
      <c r="N50" s="28">
        <v>2.0</v>
      </c>
      <c r="O50" s="28" t="s">
        <v>319</v>
      </c>
      <c r="P50" s="28">
        <v>1.0</v>
      </c>
      <c r="Q50" s="28" t="s">
        <v>261</v>
      </c>
      <c r="R50" s="28">
        <v>2.0</v>
      </c>
      <c r="S50" s="28" t="s">
        <v>332</v>
      </c>
      <c r="T50" s="28">
        <v>1.0</v>
      </c>
      <c r="U50" s="37" t="s">
        <v>319</v>
      </c>
      <c r="V50" s="37">
        <v>2.0</v>
      </c>
      <c r="W50" s="28" t="s">
        <v>309</v>
      </c>
      <c r="X50" s="28">
        <v>1.0</v>
      </c>
      <c r="Y50" s="28" t="s">
        <v>294</v>
      </c>
      <c r="Z50" s="28">
        <v>1.0</v>
      </c>
      <c r="AA50" s="28" t="s">
        <v>301</v>
      </c>
      <c r="AB50" s="28">
        <v>3.0</v>
      </c>
      <c r="AC50" s="37" t="s">
        <v>301</v>
      </c>
      <c r="AD50" s="37">
        <v>2.0</v>
      </c>
      <c r="AE50" s="28" t="s">
        <v>297</v>
      </c>
      <c r="AF50" s="28">
        <v>1.0</v>
      </c>
      <c r="AG50" s="28" t="s">
        <v>334</v>
      </c>
      <c r="AH50" s="28">
        <v>1.0</v>
      </c>
      <c r="AI50" s="28" t="s">
        <v>261</v>
      </c>
      <c r="AJ50" s="28">
        <v>5.0</v>
      </c>
      <c r="AK50" s="45" t="s">
        <v>301</v>
      </c>
      <c r="AL50" s="45">
        <v>2.0</v>
      </c>
    </row>
    <row r="51">
      <c r="A51" s="28" t="s">
        <v>331</v>
      </c>
      <c r="B51" s="28">
        <v>2.0</v>
      </c>
      <c r="C51" s="28" t="s">
        <v>335</v>
      </c>
      <c r="D51" s="28">
        <v>1.0</v>
      </c>
      <c r="E51" s="28" t="s">
        <v>336</v>
      </c>
      <c r="F51" s="28">
        <v>1.0</v>
      </c>
      <c r="G51" s="28" t="s">
        <v>307</v>
      </c>
      <c r="H51" s="28">
        <v>1.0</v>
      </c>
      <c r="I51" s="28" t="s">
        <v>320</v>
      </c>
      <c r="J51" s="28">
        <v>1.0</v>
      </c>
      <c r="K51" s="28" t="s">
        <v>297</v>
      </c>
      <c r="L51" s="28">
        <v>1.0</v>
      </c>
      <c r="M51" s="28" t="s">
        <v>327</v>
      </c>
      <c r="N51" s="28">
        <v>1.0</v>
      </c>
      <c r="O51" s="28" t="s">
        <v>306</v>
      </c>
      <c r="P51" s="28">
        <v>1.0</v>
      </c>
      <c r="Q51" s="28" t="s">
        <v>285</v>
      </c>
      <c r="R51" s="28">
        <v>1.0</v>
      </c>
      <c r="S51" s="28" t="s">
        <v>331</v>
      </c>
      <c r="T51" s="28">
        <v>1.0</v>
      </c>
      <c r="U51" s="37" t="s">
        <v>301</v>
      </c>
      <c r="V51" s="37">
        <v>3.0</v>
      </c>
      <c r="W51" s="28" t="s">
        <v>312</v>
      </c>
      <c r="X51" s="28">
        <v>1.0</v>
      </c>
      <c r="Y51" s="28" t="s">
        <v>306</v>
      </c>
      <c r="Z51" s="28">
        <v>1.0</v>
      </c>
      <c r="AA51" s="28" t="s">
        <v>297</v>
      </c>
      <c r="AB51" s="28">
        <v>2.0</v>
      </c>
      <c r="AC51" s="37" t="s">
        <v>331</v>
      </c>
      <c r="AD51" s="37">
        <v>1.0</v>
      </c>
      <c r="AE51" s="28" t="s">
        <v>315</v>
      </c>
      <c r="AF51" s="28">
        <v>1.0</v>
      </c>
      <c r="AG51" s="28" t="s">
        <v>339</v>
      </c>
      <c r="AH51" s="28">
        <v>1.0</v>
      </c>
      <c r="AI51" s="28" t="s">
        <v>271</v>
      </c>
      <c r="AJ51" s="28">
        <v>1.0</v>
      </c>
      <c r="AK51" s="45" t="s">
        <v>297</v>
      </c>
      <c r="AL51" s="45">
        <v>2.0</v>
      </c>
    </row>
    <row r="52">
      <c r="A52" s="28" t="s">
        <v>340</v>
      </c>
      <c r="B52" s="28">
        <v>1.0</v>
      </c>
      <c r="C52" s="28" t="s">
        <v>314</v>
      </c>
      <c r="D52" s="28">
        <v>2.0</v>
      </c>
      <c r="E52" s="28" t="s">
        <v>340</v>
      </c>
      <c r="F52" s="28">
        <v>1.0</v>
      </c>
      <c r="G52" s="28" t="s">
        <v>331</v>
      </c>
      <c r="H52" s="28">
        <v>1.0</v>
      </c>
      <c r="I52" s="28" t="s">
        <v>309</v>
      </c>
      <c r="J52" s="28">
        <v>1.0</v>
      </c>
      <c r="K52" s="28" t="s">
        <v>315</v>
      </c>
      <c r="L52" s="28">
        <v>1.0</v>
      </c>
      <c r="M52" s="28" t="s">
        <v>329</v>
      </c>
      <c r="N52" s="28">
        <v>1.0</v>
      </c>
      <c r="O52" s="28" t="s">
        <v>301</v>
      </c>
      <c r="P52" s="28">
        <v>6.0</v>
      </c>
      <c r="Q52" s="28" t="s">
        <v>281</v>
      </c>
      <c r="R52" s="28">
        <v>1.0</v>
      </c>
      <c r="S52" s="28" t="s">
        <v>341</v>
      </c>
      <c r="T52" s="28">
        <v>1.0</v>
      </c>
      <c r="U52" s="37" t="s">
        <v>297</v>
      </c>
      <c r="V52" s="37">
        <v>1.0</v>
      </c>
      <c r="W52" s="28" t="s">
        <v>342</v>
      </c>
      <c r="X52" s="28">
        <v>1.0</v>
      </c>
      <c r="Y52" s="28" t="s">
        <v>301</v>
      </c>
      <c r="Z52" s="28">
        <v>5.0</v>
      </c>
      <c r="AA52" s="28" t="s">
        <v>343</v>
      </c>
      <c r="AB52" s="28">
        <v>1.0</v>
      </c>
      <c r="AC52" s="37" t="s">
        <v>344</v>
      </c>
      <c r="AD52" s="37">
        <v>1.0</v>
      </c>
      <c r="AE52" s="28" t="s">
        <v>323</v>
      </c>
      <c r="AF52" s="28">
        <v>1.0</v>
      </c>
      <c r="AG52" s="28" t="s">
        <v>346</v>
      </c>
      <c r="AH52" s="28">
        <v>1.0</v>
      </c>
      <c r="AI52" s="28" t="s">
        <v>281</v>
      </c>
      <c r="AJ52" s="28">
        <v>1.0</v>
      </c>
      <c r="AK52" s="45" t="s">
        <v>347</v>
      </c>
      <c r="AL52" s="45">
        <v>1.0</v>
      </c>
    </row>
    <row r="53">
      <c r="A53" s="28" t="s">
        <v>348</v>
      </c>
      <c r="B53" s="28">
        <v>1.0</v>
      </c>
      <c r="C53" s="28" t="s">
        <v>349</v>
      </c>
      <c r="D53" s="28">
        <v>1.0</v>
      </c>
      <c r="E53" s="28" t="s">
        <v>343</v>
      </c>
      <c r="F53" s="28">
        <v>3.0</v>
      </c>
      <c r="G53" s="28" t="s">
        <v>348</v>
      </c>
      <c r="H53" s="28">
        <v>1.0</v>
      </c>
      <c r="I53" s="28" t="s">
        <v>312</v>
      </c>
      <c r="J53" s="28">
        <v>2.0</v>
      </c>
      <c r="K53" s="28" t="s">
        <v>323</v>
      </c>
      <c r="L53" s="28">
        <v>1.0</v>
      </c>
      <c r="M53" s="28" t="s">
        <v>334</v>
      </c>
      <c r="N53" s="28">
        <v>1.0</v>
      </c>
      <c r="O53" s="28" t="s">
        <v>297</v>
      </c>
      <c r="P53" s="28">
        <v>1.0</v>
      </c>
      <c r="Q53" s="28" t="s">
        <v>294</v>
      </c>
      <c r="R53" s="28">
        <v>2.0</v>
      </c>
      <c r="S53" s="28" t="s">
        <v>350</v>
      </c>
      <c r="T53" s="28">
        <v>1.0</v>
      </c>
      <c r="U53" s="37" t="s">
        <v>315</v>
      </c>
      <c r="V53" s="37">
        <v>1.0</v>
      </c>
      <c r="W53" s="28" t="s">
        <v>314</v>
      </c>
      <c r="X53" s="28">
        <v>2.0</v>
      </c>
      <c r="Y53" s="28" t="s">
        <v>297</v>
      </c>
      <c r="Z53" s="28">
        <v>1.0</v>
      </c>
      <c r="AA53" s="28" t="s">
        <v>347</v>
      </c>
      <c r="AB53" s="28">
        <v>1.0</v>
      </c>
      <c r="AC53" s="37" t="s">
        <v>309</v>
      </c>
      <c r="AD53" s="37">
        <v>1.0</v>
      </c>
      <c r="AE53" s="28" t="s">
        <v>300</v>
      </c>
      <c r="AF53" s="28">
        <v>3.0</v>
      </c>
      <c r="AG53" s="28"/>
      <c r="AH53" s="28"/>
      <c r="AI53" s="28" t="s">
        <v>294</v>
      </c>
      <c r="AJ53" s="28">
        <v>1.0</v>
      </c>
      <c r="AK53" s="45" t="s">
        <v>352</v>
      </c>
      <c r="AL53" s="45">
        <v>3.0</v>
      </c>
    </row>
    <row r="54">
      <c r="A54" s="28" t="s">
        <v>341</v>
      </c>
      <c r="B54" s="28">
        <v>1.0</v>
      </c>
      <c r="C54" s="28" t="s">
        <v>353</v>
      </c>
      <c r="D54" s="28">
        <v>1.0</v>
      </c>
      <c r="E54" s="28" t="s">
        <v>352</v>
      </c>
      <c r="F54" s="28">
        <v>1.0</v>
      </c>
      <c r="G54" s="28" t="s">
        <v>343</v>
      </c>
      <c r="H54" s="28">
        <v>1.0</v>
      </c>
      <c r="I54" s="28" t="s">
        <v>354</v>
      </c>
      <c r="J54" s="28">
        <v>1.0</v>
      </c>
      <c r="K54" s="28" t="s">
        <v>300</v>
      </c>
      <c r="L54" s="28">
        <v>1.0</v>
      </c>
      <c r="M54" s="28" t="s">
        <v>339</v>
      </c>
      <c r="N54" s="28">
        <v>1.0</v>
      </c>
      <c r="O54" s="28" t="s">
        <v>331</v>
      </c>
      <c r="P54" s="28">
        <v>1.0</v>
      </c>
      <c r="Q54" s="28" t="s">
        <v>317</v>
      </c>
      <c r="R54" s="28">
        <v>1.0</v>
      </c>
      <c r="S54" s="28" t="s">
        <v>309</v>
      </c>
      <c r="T54" s="28">
        <v>1.0</v>
      </c>
      <c r="U54" s="37" t="s">
        <v>323</v>
      </c>
      <c r="V54" s="37">
        <v>1.0</v>
      </c>
      <c r="W54" s="28" t="s">
        <v>327</v>
      </c>
      <c r="X54" s="28">
        <v>1.0</v>
      </c>
      <c r="Y54" s="28" t="s">
        <v>331</v>
      </c>
      <c r="Z54" s="28">
        <v>1.0</v>
      </c>
      <c r="AA54" s="28" t="s">
        <v>352</v>
      </c>
      <c r="AB54" s="28">
        <v>3.0</v>
      </c>
      <c r="AC54" s="37" t="s">
        <v>312</v>
      </c>
      <c r="AD54" s="37">
        <v>2.0</v>
      </c>
      <c r="AE54" s="28" t="s">
        <v>307</v>
      </c>
      <c r="AF54" s="28">
        <v>1.0</v>
      </c>
      <c r="AG54" s="28"/>
      <c r="AH54" s="126">
        <v>63.0</v>
      </c>
      <c r="AI54" s="28" t="s">
        <v>319</v>
      </c>
      <c r="AJ54" s="28">
        <v>1.0</v>
      </c>
      <c r="AK54" s="45" t="s">
        <v>305</v>
      </c>
      <c r="AL54" s="45">
        <v>1.0</v>
      </c>
    </row>
    <row r="55">
      <c r="A55" s="28" t="s">
        <v>343</v>
      </c>
      <c r="B55" s="28">
        <v>1.0</v>
      </c>
      <c r="C55" s="28" t="s">
        <v>339</v>
      </c>
      <c r="D55" s="28">
        <v>1.0</v>
      </c>
      <c r="E55" s="28" t="s">
        <v>355</v>
      </c>
      <c r="F55" s="28">
        <v>1.0</v>
      </c>
      <c r="G55" s="28" t="s">
        <v>352</v>
      </c>
      <c r="H55" s="28">
        <v>2.0</v>
      </c>
      <c r="I55" s="28" t="s">
        <v>356</v>
      </c>
      <c r="J55" s="28">
        <v>1.0</v>
      </c>
      <c r="K55" s="28" t="s">
        <v>307</v>
      </c>
      <c r="L55" s="28">
        <v>1.0</v>
      </c>
      <c r="M55" s="76"/>
      <c r="N55" s="76"/>
      <c r="O55" s="28" t="s">
        <v>310</v>
      </c>
      <c r="P55" s="28">
        <v>1.0</v>
      </c>
      <c r="Q55" s="28" t="s">
        <v>319</v>
      </c>
      <c r="R55" s="28">
        <v>1.0</v>
      </c>
      <c r="S55" s="28" t="s">
        <v>312</v>
      </c>
      <c r="T55" s="28">
        <v>2.0</v>
      </c>
      <c r="U55" s="37" t="s">
        <v>300</v>
      </c>
      <c r="V55" s="37">
        <v>2.0</v>
      </c>
      <c r="W55" s="28" t="s">
        <v>329</v>
      </c>
      <c r="X55" s="28">
        <v>1.0</v>
      </c>
      <c r="Y55" s="28" t="s">
        <v>310</v>
      </c>
      <c r="Z55" s="28">
        <v>1.0</v>
      </c>
      <c r="AA55" s="28" t="s">
        <v>305</v>
      </c>
      <c r="AB55" s="28">
        <v>2.0</v>
      </c>
      <c r="AC55" s="37" t="s">
        <v>354</v>
      </c>
      <c r="AD55" s="37">
        <v>1.0</v>
      </c>
      <c r="AE55" s="28" t="s">
        <v>331</v>
      </c>
      <c r="AF55" s="28">
        <v>2.0</v>
      </c>
      <c r="AG55" s="127"/>
      <c r="AH55" s="127"/>
      <c r="AI55" s="28" t="s">
        <v>306</v>
      </c>
      <c r="AJ55" s="28">
        <v>1.0</v>
      </c>
      <c r="AK55" s="45" t="s">
        <v>357</v>
      </c>
      <c r="AL55" s="45">
        <v>1.0</v>
      </c>
    </row>
    <row r="56">
      <c r="A56" s="28" t="s">
        <v>359</v>
      </c>
      <c r="B56" s="28">
        <v>2.0</v>
      </c>
      <c r="C56" s="76"/>
      <c r="D56" s="76"/>
      <c r="E56" s="28" t="s">
        <v>350</v>
      </c>
      <c r="F56" s="28">
        <v>1.0</v>
      </c>
      <c r="G56" s="28" t="s">
        <v>360</v>
      </c>
      <c r="H56" s="28">
        <v>1.0</v>
      </c>
      <c r="I56" s="28" t="s">
        <v>361</v>
      </c>
      <c r="J56" s="28">
        <v>1.0</v>
      </c>
      <c r="K56" s="28" t="s">
        <v>316</v>
      </c>
      <c r="L56" s="28">
        <v>1.0</v>
      </c>
      <c r="M56" s="76"/>
      <c r="N56" s="79">
        <v>64.0</v>
      </c>
      <c r="O56" s="28" t="s">
        <v>348</v>
      </c>
      <c r="P56" s="28">
        <v>1.0</v>
      </c>
      <c r="Q56" s="28" t="s">
        <v>301</v>
      </c>
      <c r="R56" s="28">
        <v>3.0</v>
      </c>
      <c r="S56" s="28" t="s">
        <v>354</v>
      </c>
      <c r="T56" s="28">
        <v>1.0</v>
      </c>
      <c r="U56" s="37" t="s">
        <v>307</v>
      </c>
      <c r="V56" s="37">
        <v>1.0</v>
      </c>
      <c r="W56" s="28" t="s">
        <v>334</v>
      </c>
      <c r="X56" s="28">
        <v>1.0</v>
      </c>
      <c r="Y56" s="28" t="s">
        <v>348</v>
      </c>
      <c r="Z56" s="28">
        <v>1.0</v>
      </c>
      <c r="AA56" s="28" t="s">
        <v>357</v>
      </c>
      <c r="AB56" s="28">
        <v>1.0</v>
      </c>
      <c r="AC56" s="37" t="s">
        <v>356</v>
      </c>
      <c r="AD56" s="37">
        <v>1.0</v>
      </c>
      <c r="AE56" s="28" t="s">
        <v>352</v>
      </c>
      <c r="AF56" s="28">
        <v>1.0</v>
      </c>
      <c r="AG56" s="127"/>
      <c r="AH56" s="127"/>
      <c r="AI56" s="28" t="s">
        <v>301</v>
      </c>
      <c r="AJ56" s="28">
        <v>3.0</v>
      </c>
      <c r="AK56" s="45" t="s">
        <v>354</v>
      </c>
      <c r="AL56" s="45">
        <v>2.0</v>
      </c>
    </row>
    <row r="57">
      <c r="A57" s="28" t="s">
        <v>362</v>
      </c>
      <c r="B57" s="28">
        <v>1.0</v>
      </c>
      <c r="C57" s="79"/>
      <c r="D57" s="79">
        <v>67.0</v>
      </c>
      <c r="E57" s="28" t="s">
        <v>363</v>
      </c>
      <c r="F57" s="28">
        <v>1.0</v>
      </c>
      <c r="G57" s="28" t="s">
        <v>305</v>
      </c>
      <c r="H57" s="28">
        <v>1.0</v>
      </c>
      <c r="I57" s="28" t="s">
        <v>364</v>
      </c>
      <c r="J57" s="28">
        <v>1.0</v>
      </c>
      <c r="K57" s="28" t="s">
        <v>331</v>
      </c>
      <c r="L57" s="28">
        <v>2.0</v>
      </c>
      <c r="O57" s="28" t="s">
        <v>341</v>
      </c>
      <c r="P57" s="28">
        <v>1.0</v>
      </c>
      <c r="Q57" s="28" t="s">
        <v>297</v>
      </c>
      <c r="R57" s="28">
        <v>2.0</v>
      </c>
      <c r="S57" s="28" t="s">
        <v>366</v>
      </c>
      <c r="T57" s="28">
        <v>1.0</v>
      </c>
      <c r="U57" s="37" t="s">
        <v>331</v>
      </c>
      <c r="V57" s="37">
        <v>2.0</v>
      </c>
      <c r="W57" s="28" t="s">
        <v>339</v>
      </c>
      <c r="X57" s="28">
        <v>1.0</v>
      </c>
      <c r="Y57" s="28" t="s">
        <v>341</v>
      </c>
      <c r="Z57" s="28">
        <v>1.0</v>
      </c>
      <c r="AA57" s="28" t="s">
        <v>354</v>
      </c>
      <c r="AB57" s="28">
        <v>2.0</v>
      </c>
      <c r="AC57" s="37" t="s">
        <v>322</v>
      </c>
      <c r="AD57" s="37">
        <v>1.0</v>
      </c>
      <c r="AE57" s="28" t="s">
        <v>362</v>
      </c>
      <c r="AF57" s="28">
        <v>2.0</v>
      </c>
      <c r="AG57" s="127"/>
      <c r="AH57" s="127"/>
      <c r="AI57" s="28" t="s">
        <v>297</v>
      </c>
      <c r="AJ57" s="28">
        <v>1.0</v>
      </c>
      <c r="AK57" s="45" t="s">
        <v>314</v>
      </c>
      <c r="AL57" s="45">
        <v>1.0</v>
      </c>
    </row>
    <row r="58">
      <c r="A58" s="28" t="s">
        <v>305</v>
      </c>
      <c r="B58" s="28">
        <v>1.0</v>
      </c>
      <c r="E58" s="28" t="s">
        <v>320</v>
      </c>
      <c r="F58" s="28">
        <v>1.0</v>
      </c>
      <c r="G58" s="28" t="s">
        <v>367</v>
      </c>
      <c r="H58" s="28">
        <v>1.0</v>
      </c>
      <c r="I58" s="28" t="s">
        <v>368</v>
      </c>
      <c r="J58" s="28">
        <v>1.0</v>
      </c>
      <c r="K58" s="28" t="s">
        <v>340</v>
      </c>
      <c r="L58" s="28">
        <v>2.0</v>
      </c>
      <c r="O58" s="28" t="s">
        <v>343</v>
      </c>
      <c r="P58" s="28">
        <v>2.0</v>
      </c>
      <c r="Q58" s="28" t="s">
        <v>315</v>
      </c>
      <c r="R58" s="28">
        <v>1.0</v>
      </c>
      <c r="S58" s="28" t="s">
        <v>356</v>
      </c>
      <c r="T58" s="28">
        <v>1.0</v>
      </c>
      <c r="U58" s="37" t="s">
        <v>343</v>
      </c>
      <c r="V58" s="37">
        <v>1.0</v>
      </c>
      <c r="W58" s="76"/>
      <c r="X58" s="76"/>
      <c r="Y58" s="28" t="s">
        <v>343</v>
      </c>
      <c r="Z58" s="28">
        <v>3.0</v>
      </c>
      <c r="AA58" s="28" t="s">
        <v>314</v>
      </c>
      <c r="AB58" s="28">
        <v>1.0</v>
      </c>
      <c r="AC58" s="37" t="s">
        <v>361</v>
      </c>
      <c r="AD58" s="37">
        <v>1.0</v>
      </c>
      <c r="AE58" s="28" t="s">
        <v>305</v>
      </c>
      <c r="AF58" s="28">
        <v>2.0</v>
      </c>
      <c r="AG58" s="127"/>
      <c r="AH58" s="127"/>
      <c r="AI58" s="28" t="s">
        <v>331</v>
      </c>
      <c r="AJ58" s="28">
        <v>1.0</v>
      </c>
      <c r="AK58" s="45" t="s">
        <v>361</v>
      </c>
      <c r="AL58" s="45">
        <v>2.0</v>
      </c>
    </row>
    <row r="59">
      <c r="A59" s="28" t="s">
        <v>309</v>
      </c>
      <c r="B59" s="28">
        <v>3.0</v>
      </c>
      <c r="E59" s="28" t="s">
        <v>309</v>
      </c>
      <c r="F59" s="28">
        <v>2.0</v>
      </c>
      <c r="G59" s="28" t="s">
        <v>366</v>
      </c>
      <c r="H59" s="28">
        <v>1.0</v>
      </c>
      <c r="I59" s="76"/>
      <c r="J59" s="76"/>
      <c r="K59" s="28" t="s">
        <v>341</v>
      </c>
      <c r="L59" s="28">
        <v>1.0</v>
      </c>
      <c r="O59" s="28" t="s">
        <v>352</v>
      </c>
      <c r="P59" s="28">
        <v>1.0</v>
      </c>
      <c r="Q59" s="28" t="s">
        <v>340</v>
      </c>
      <c r="R59" s="28">
        <v>1.0</v>
      </c>
      <c r="S59" s="28" t="s">
        <v>361</v>
      </c>
      <c r="T59" s="28">
        <v>2.0</v>
      </c>
      <c r="U59" s="37" t="s">
        <v>352</v>
      </c>
      <c r="V59" s="37">
        <v>1.0</v>
      </c>
      <c r="W59" s="76"/>
      <c r="X59" s="79">
        <v>62.0</v>
      </c>
      <c r="Y59" s="28" t="s">
        <v>352</v>
      </c>
      <c r="Z59" s="28">
        <v>1.0</v>
      </c>
      <c r="AA59" s="28" t="s">
        <v>361</v>
      </c>
      <c r="AB59" s="28">
        <v>2.0</v>
      </c>
      <c r="AC59" s="37" t="s">
        <v>364</v>
      </c>
      <c r="AD59" s="37">
        <v>1.0</v>
      </c>
      <c r="AE59" s="28" t="s">
        <v>320</v>
      </c>
      <c r="AF59" s="28">
        <v>2.0</v>
      </c>
      <c r="AG59" s="127"/>
      <c r="AH59" s="127"/>
      <c r="AI59" s="28" t="s">
        <v>348</v>
      </c>
      <c r="AJ59" s="28">
        <v>1.0</v>
      </c>
      <c r="AK59" s="45" t="s">
        <v>370</v>
      </c>
      <c r="AL59" s="45">
        <v>1.0</v>
      </c>
    </row>
    <row r="60">
      <c r="A60" s="28" t="s">
        <v>354</v>
      </c>
      <c r="B60" s="28">
        <v>3.0</v>
      </c>
      <c r="E60" s="28" t="s">
        <v>312</v>
      </c>
      <c r="F60" s="28">
        <v>2.0</v>
      </c>
      <c r="G60" s="28" t="s">
        <v>327</v>
      </c>
      <c r="H60" s="28">
        <v>2.0</v>
      </c>
      <c r="I60" s="76"/>
      <c r="J60" s="79">
        <v>57.0</v>
      </c>
      <c r="K60" s="28" t="s">
        <v>343</v>
      </c>
      <c r="L60" s="28">
        <v>1.0</v>
      </c>
      <c r="O60" s="28" t="s">
        <v>359</v>
      </c>
      <c r="P60" s="28">
        <v>1.0</v>
      </c>
      <c r="Q60" s="28" t="s">
        <v>343</v>
      </c>
      <c r="R60" s="28">
        <v>1.0</v>
      </c>
      <c r="S60" s="28" t="s">
        <v>364</v>
      </c>
      <c r="T60" s="28">
        <v>2.0</v>
      </c>
      <c r="U60" s="37" t="s">
        <v>372</v>
      </c>
      <c r="V60" s="37">
        <v>1.0</v>
      </c>
      <c r="Y60" s="28" t="s">
        <v>359</v>
      </c>
      <c r="Z60" s="28">
        <v>1.0</v>
      </c>
      <c r="AA60" s="28" t="s">
        <v>370</v>
      </c>
      <c r="AB60" s="28">
        <v>1.0</v>
      </c>
      <c r="AC60" s="129" t="s">
        <v>368</v>
      </c>
      <c r="AD60" s="129">
        <v>1.0</v>
      </c>
      <c r="AE60" s="28" t="s">
        <v>309</v>
      </c>
      <c r="AF60" s="28">
        <v>3.0</v>
      </c>
      <c r="AG60" s="127"/>
      <c r="AH60" s="127"/>
      <c r="AI60" s="28" t="s">
        <v>343</v>
      </c>
      <c r="AJ60" s="28">
        <v>3.0</v>
      </c>
      <c r="AK60" s="45" t="s">
        <v>329</v>
      </c>
      <c r="AL60" s="45">
        <v>1.0</v>
      </c>
    </row>
    <row r="61">
      <c r="A61" s="28" t="s">
        <v>366</v>
      </c>
      <c r="B61" s="28">
        <v>2.0</v>
      </c>
      <c r="E61" s="28" t="s">
        <v>354</v>
      </c>
      <c r="F61" s="28">
        <v>2.0</v>
      </c>
      <c r="G61" s="28" t="s">
        <v>361</v>
      </c>
      <c r="H61" s="28">
        <v>1.0</v>
      </c>
      <c r="K61" s="28" t="s">
        <v>352</v>
      </c>
      <c r="L61" s="28">
        <v>1.0</v>
      </c>
      <c r="O61" s="28" t="s">
        <v>357</v>
      </c>
      <c r="P61" s="28">
        <v>2.0</v>
      </c>
      <c r="Q61" s="28" t="s">
        <v>352</v>
      </c>
      <c r="R61" s="28">
        <v>2.0</v>
      </c>
      <c r="S61" s="28" t="s">
        <v>368</v>
      </c>
      <c r="T61" s="28">
        <v>2.0</v>
      </c>
      <c r="U61" s="37" t="s">
        <v>305</v>
      </c>
      <c r="V61" s="37">
        <v>1.0</v>
      </c>
      <c r="Y61" s="28" t="s">
        <v>357</v>
      </c>
      <c r="Z61" s="28">
        <v>1.0</v>
      </c>
      <c r="AA61" s="28" t="s">
        <v>329</v>
      </c>
      <c r="AB61" s="28">
        <v>1.0</v>
      </c>
      <c r="AC61" s="28"/>
      <c r="AD61" s="28"/>
      <c r="AE61" s="28" t="s">
        <v>335</v>
      </c>
      <c r="AF61" s="28">
        <v>1.0</v>
      </c>
      <c r="AG61" s="127"/>
      <c r="AH61" s="127"/>
      <c r="AI61" s="28" t="s">
        <v>352</v>
      </c>
      <c r="AJ61" s="28">
        <v>2.0</v>
      </c>
      <c r="AK61" s="45" t="s">
        <v>374</v>
      </c>
      <c r="AL61" s="45">
        <v>1.0</v>
      </c>
    </row>
    <row r="62">
      <c r="A62" s="28" t="s">
        <v>314</v>
      </c>
      <c r="B62" s="28">
        <v>3.0</v>
      </c>
      <c r="E62" s="28" t="s">
        <v>366</v>
      </c>
      <c r="F62" s="28">
        <v>2.0</v>
      </c>
      <c r="G62" s="28" t="s">
        <v>334</v>
      </c>
      <c r="H62" s="28">
        <v>1.0</v>
      </c>
      <c r="K62" s="28" t="s">
        <v>375</v>
      </c>
      <c r="L62" s="28">
        <v>1.0</v>
      </c>
      <c r="O62" s="28" t="s">
        <v>320</v>
      </c>
      <c r="P62" s="28">
        <v>1.0</v>
      </c>
      <c r="Q62" s="28" t="s">
        <v>305</v>
      </c>
      <c r="R62" s="28">
        <v>1.0</v>
      </c>
      <c r="S62" s="28" t="s">
        <v>339</v>
      </c>
      <c r="T62" s="28">
        <v>1.0</v>
      </c>
      <c r="U62" s="37" t="s">
        <v>320</v>
      </c>
      <c r="V62" s="37">
        <v>1.0</v>
      </c>
      <c r="Y62" s="28" t="s">
        <v>320</v>
      </c>
      <c r="Z62" s="28">
        <v>1.0</v>
      </c>
      <c r="AA62" s="28" t="s">
        <v>374</v>
      </c>
      <c r="AB62" s="28">
        <v>1.0</v>
      </c>
      <c r="AC62" s="28"/>
      <c r="AD62" s="126">
        <v>56.0</v>
      </c>
      <c r="AE62" s="28" t="s">
        <v>354</v>
      </c>
      <c r="AF62" s="28">
        <v>1.0</v>
      </c>
      <c r="AG62" s="127"/>
      <c r="AH62" s="127"/>
      <c r="AI62" s="28" t="s">
        <v>359</v>
      </c>
      <c r="AJ62" s="28">
        <v>1.0</v>
      </c>
      <c r="AK62" s="45" t="s">
        <v>353</v>
      </c>
      <c r="AL62" s="45">
        <v>1.0</v>
      </c>
    </row>
    <row r="63">
      <c r="A63" s="28" t="s">
        <v>356</v>
      </c>
      <c r="B63" s="28">
        <v>3.0</v>
      </c>
      <c r="E63" s="28" t="s">
        <v>314</v>
      </c>
      <c r="F63" s="28">
        <v>2.0</v>
      </c>
      <c r="G63" s="28" t="s">
        <v>353</v>
      </c>
      <c r="H63" s="28">
        <v>1.0</v>
      </c>
      <c r="K63" s="28" t="s">
        <v>362</v>
      </c>
      <c r="L63" s="28">
        <v>2.0</v>
      </c>
      <c r="O63" s="28" t="s">
        <v>309</v>
      </c>
      <c r="P63" s="28">
        <v>3.0</v>
      </c>
      <c r="Q63" s="28" t="s">
        <v>367</v>
      </c>
      <c r="R63" s="28">
        <v>1.0</v>
      </c>
      <c r="S63" s="76"/>
      <c r="T63" s="76"/>
      <c r="U63" s="37" t="s">
        <v>309</v>
      </c>
      <c r="V63" s="37">
        <v>2.0</v>
      </c>
      <c r="Y63" s="28" t="s">
        <v>309</v>
      </c>
      <c r="Z63" s="28">
        <v>6.0</v>
      </c>
      <c r="AA63" s="28" t="s">
        <v>368</v>
      </c>
      <c r="AB63" s="28">
        <v>1.0</v>
      </c>
      <c r="AC63" s="127"/>
      <c r="AD63" s="127"/>
      <c r="AE63" s="28" t="s">
        <v>314</v>
      </c>
      <c r="AF63" s="28">
        <v>1.0</v>
      </c>
      <c r="AG63" s="127"/>
      <c r="AH63" s="127"/>
      <c r="AI63" s="28" t="s">
        <v>357</v>
      </c>
      <c r="AJ63" s="28">
        <v>1.0</v>
      </c>
      <c r="AK63" s="45" t="s">
        <v>339</v>
      </c>
      <c r="AL63" s="45">
        <v>1.0</v>
      </c>
    </row>
    <row r="64">
      <c r="A64" s="28" t="s">
        <v>378</v>
      </c>
      <c r="B64" s="28">
        <v>1.0</v>
      </c>
      <c r="E64" s="28" t="s">
        <v>379</v>
      </c>
      <c r="F64" s="28">
        <v>1.0</v>
      </c>
      <c r="G64" s="76"/>
      <c r="H64" s="76"/>
      <c r="K64" s="28" t="s">
        <v>305</v>
      </c>
      <c r="L64" s="28">
        <v>1.0</v>
      </c>
      <c r="O64" s="28" t="s">
        <v>354</v>
      </c>
      <c r="P64" s="28">
        <v>1.0</v>
      </c>
      <c r="Q64" s="28" t="s">
        <v>361</v>
      </c>
      <c r="R64" s="28">
        <v>3.0</v>
      </c>
      <c r="S64" s="76"/>
      <c r="T64" s="79">
        <v>56.0</v>
      </c>
      <c r="U64" s="37" t="s">
        <v>335</v>
      </c>
      <c r="V64" s="37">
        <v>1.0</v>
      </c>
      <c r="Y64" s="28" t="s">
        <v>354</v>
      </c>
      <c r="Z64" s="28">
        <v>2.0</v>
      </c>
      <c r="AA64" s="28" t="s">
        <v>353</v>
      </c>
      <c r="AB64" s="28">
        <v>1.0</v>
      </c>
      <c r="AC64" s="127"/>
      <c r="AD64" s="127"/>
      <c r="AE64" s="28" t="s">
        <v>356</v>
      </c>
      <c r="AF64" s="28">
        <v>2.0</v>
      </c>
      <c r="AG64" s="127"/>
      <c r="AH64" s="127"/>
      <c r="AI64" s="28" t="s">
        <v>320</v>
      </c>
      <c r="AJ64" s="28">
        <v>1.0</v>
      </c>
      <c r="AK64" s="28"/>
      <c r="AL64" s="28"/>
    </row>
    <row r="65">
      <c r="A65" s="28" t="s">
        <v>327</v>
      </c>
      <c r="B65" s="28">
        <v>1.0</v>
      </c>
      <c r="E65" s="28" t="s">
        <v>356</v>
      </c>
      <c r="F65" s="28">
        <v>2.0</v>
      </c>
      <c r="G65" s="76"/>
      <c r="H65" s="79">
        <v>63.0</v>
      </c>
      <c r="K65" s="28" t="s">
        <v>357</v>
      </c>
      <c r="L65" s="28">
        <v>1.0</v>
      </c>
      <c r="O65" s="28" t="s">
        <v>366</v>
      </c>
      <c r="P65" s="28">
        <v>1.0</v>
      </c>
      <c r="Q65" s="28" t="s">
        <v>370</v>
      </c>
      <c r="R65" s="28">
        <v>1.0</v>
      </c>
      <c r="U65" s="37" t="s">
        <v>354</v>
      </c>
      <c r="V65" s="37">
        <v>1.0</v>
      </c>
      <c r="Y65" s="28" t="s">
        <v>367</v>
      </c>
      <c r="Z65" s="28">
        <v>1.0</v>
      </c>
      <c r="AA65" s="28" t="s">
        <v>339</v>
      </c>
      <c r="AB65" s="28">
        <v>1.0</v>
      </c>
      <c r="AC65" s="127"/>
      <c r="AD65" s="127"/>
      <c r="AE65" s="28" t="s">
        <v>322</v>
      </c>
      <c r="AF65" s="28">
        <v>1.0</v>
      </c>
      <c r="AG65" s="127"/>
      <c r="AH65" s="127"/>
      <c r="AI65" s="28" t="s">
        <v>309</v>
      </c>
      <c r="AJ65" s="28">
        <v>4.0</v>
      </c>
      <c r="AK65" s="28"/>
      <c r="AL65" s="126">
        <v>65.0</v>
      </c>
    </row>
    <row r="66">
      <c r="A66" s="28" t="s">
        <v>361</v>
      </c>
      <c r="B66" s="28">
        <v>1.0</v>
      </c>
      <c r="E66" s="28" t="s">
        <v>322</v>
      </c>
      <c r="F66" s="28">
        <v>1.0</v>
      </c>
      <c r="K66" s="28" t="s">
        <v>320</v>
      </c>
      <c r="L66" s="28">
        <v>1.0</v>
      </c>
      <c r="O66" s="28" t="s">
        <v>314</v>
      </c>
      <c r="P66" s="28">
        <v>2.0</v>
      </c>
      <c r="Q66" s="28" t="s">
        <v>329</v>
      </c>
      <c r="R66" s="28">
        <v>1.0</v>
      </c>
      <c r="U66" s="37" t="s">
        <v>314</v>
      </c>
      <c r="V66" s="37">
        <v>1.0</v>
      </c>
      <c r="Y66" s="28" t="s">
        <v>366</v>
      </c>
      <c r="Z66" s="28">
        <v>1.0</v>
      </c>
      <c r="AA66" s="28"/>
      <c r="AB66" s="28"/>
      <c r="AC66" s="127"/>
      <c r="AD66" s="127"/>
      <c r="AE66" s="28" t="s">
        <v>327</v>
      </c>
      <c r="AF66" s="28">
        <v>3.0</v>
      </c>
      <c r="AG66" s="127"/>
      <c r="AH66" s="127"/>
      <c r="AI66" s="28" t="s">
        <v>312</v>
      </c>
      <c r="AJ66" s="28">
        <v>1.0</v>
      </c>
      <c r="AK66" s="127"/>
      <c r="AL66" s="127"/>
    </row>
    <row r="67">
      <c r="A67" s="28" t="s">
        <v>383</v>
      </c>
      <c r="B67" s="28">
        <v>1.0</v>
      </c>
      <c r="E67" s="28" t="s">
        <v>378</v>
      </c>
      <c r="F67" s="28">
        <v>1.0</v>
      </c>
      <c r="K67" s="28" t="s">
        <v>309</v>
      </c>
      <c r="L67" s="28">
        <v>3.0</v>
      </c>
      <c r="O67" s="28" t="s">
        <v>379</v>
      </c>
      <c r="P67" s="28">
        <v>1.0</v>
      </c>
      <c r="Q67" s="28" t="s">
        <v>353</v>
      </c>
      <c r="R67" s="28">
        <v>1.0</v>
      </c>
      <c r="U67" s="37" t="s">
        <v>385</v>
      </c>
      <c r="V67" s="37">
        <v>1.0</v>
      </c>
      <c r="Y67" s="28" t="s">
        <v>314</v>
      </c>
      <c r="Z67" s="28">
        <v>2.0</v>
      </c>
      <c r="AA67" s="28"/>
      <c r="AB67" s="126">
        <v>71.0</v>
      </c>
      <c r="AC67" s="133"/>
      <c r="AD67" s="133"/>
      <c r="AE67" s="28" t="s">
        <v>349</v>
      </c>
      <c r="AF67" s="28">
        <v>1.0</v>
      </c>
      <c r="AG67" s="127"/>
      <c r="AH67" s="127"/>
      <c r="AI67" s="28" t="s">
        <v>335</v>
      </c>
      <c r="AJ67" s="28">
        <v>1.0</v>
      </c>
      <c r="AK67" s="127"/>
      <c r="AL67" s="127"/>
    </row>
    <row r="68">
      <c r="A68" s="28" t="s">
        <v>329</v>
      </c>
      <c r="B68" s="28">
        <v>1.0</v>
      </c>
      <c r="E68" s="28" t="s">
        <v>327</v>
      </c>
      <c r="F68" s="28">
        <v>2.0</v>
      </c>
      <c r="K68" s="28" t="s">
        <v>335</v>
      </c>
      <c r="L68" s="28">
        <v>1.0</v>
      </c>
      <c r="O68" s="28" t="s">
        <v>356</v>
      </c>
      <c r="P68" s="28">
        <v>3.0</v>
      </c>
      <c r="Q68" s="76"/>
      <c r="R68" s="76"/>
      <c r="U68" s="37" t="s">
        <v>379</v>
      </c>
      <c r="V68" s="37">
        <v>1.0</v>
      </c>
      <c r="Y68" s="28" t="s">
        <v>356</v>
      </c>
      <c r="Z68" s="28">
        <v>2.0</v>
      </c>
      <c r="AA68" s="127"/>
      <c r="AB68" s="127"/>
      <c r="AC68" s="127"/>
      <c r="AD68" s="127"/>
      <c r="AE68" s="28" t="s">
        <v>361</v>
      </c>
      <c r="AF68" s="28">
        <v>5.0</v>
      </c>
      <c r="AG68" s="127"/>
      <c r="AH68" s="127"/>
      <c r="AI68" s="28" t="s">
        <v>354</v>
      </c>
      <c r="AJ68" s="28">
        <v>3.0</v>
      </c>
      <c r="AK68" s="127"/>
      <c r="AL68" s="127"/>
    </row>
    <row r="69">
      <c r="A69" s="28" t="s">
        <v>334</v>
      </c>
      <c r="B69" s="28">
        <v>1.0</v>
      </c>
      <c r="E69" s="28" t="s">
        <v>349</v>
      </c>
      <c r="F69" s="28">
        <v>2.0</v>
      </c>
      <c r="K69" s="28" t="s">
        <v>354</v>
      </c>
      <c r="L69" s="28">
        <v>2.0</v>
      </c>
      <c r="O69" s="28" t="s">
        <v>378</v>
      </c>
      <c r="P69" s="28">
        <v>1.0</v>
      </c>
      <c r="Q69" s="76"/>
      <c r="R69" s="79">
        <v>69.0</v>
      </c>
      <c r="U69" s="37" t="s">
        <v>356</v>
      </c>
      <c r="V69" s="37">
        <v>2.0</v>
      </c>
      <c r="Y69" s="28" t="s">
        <v>322</v>
      </c>
      <c r="Z69" s="28">
        <v>1.0</v>
      </c>
      <c r="AA69" s="127"/>
      <c r="AB69" s="127"/>
      <c r="AC69" s="127"/>
      <c r="AD69" s="127"/>
      <c r="AE69" s="28" t="s">
        <v>383</v>
      </c>
      <c r="AF69" s="28">
        <v>2.0</v>
      </c>
      <c r="AG69" s="127"/>
      <c r="AH69" s="127"/>
      <c r="AI69" s="28" t="s">
        <v>366</v>
      </c>
      <c r="AJ69" s="28">
        <v>1.0</v>
      </c>
      <c r="AK69" s="127"/>
      <c r="AL69" s="127"/>
    </row>
    <row r="70">
      <c r="A70" s="28" t="s">
        <v>368</v>
      </c>
      <c r="B70" s="28">
        <v>2.0</v>
      </c>
      <c r="E70" s="28" t="s">
        <v>361</v>
      </c>
      <c r="F70" s="28">
        <v>1.0</v>
      </c>
      <c r="K70" s="28" t="s">
        <v>366</v>
      </c>
      <c r="L70" s="28">
        <v>1.0</v>
      </c>
      <c r="O70" s="28" t="s">
        <v>327</v>
      </c>
      <c r="P70" s="28">
        <v>3.0</v>
      </c>
      <c r="U70" s="37" t="s">
        <v>322</v>
      </c>
      <c r="V70" s="37">
        <v>1.0</v>
      </c>
      <c r="Y70" s="28" t="s">
        <v>378</v>
      </c>
      <c r="Z70" s="28">
        <v>1.0</v>
      </c>
      <c r="AA70" s="127"/>
      <c r="AB70" s="127"/>
      <c r="AC70" s="127"/>
      <c r="AD70" s="127"/>
      <c r="AE70" s="28" t="s">
        <v>368</v>
      </c>
      <c r="AF70" s="28">
        <v>1.0</v>
      </c>
      <c r="AG70" s="127"/>
      <c r="AH70" s="127"/>
      <c r="AI70" s="28" t="s">
        <v>314</v>
      </c>
      <c r="AJ70" s="28">
        <v>1.0</v>
      </c>
      <c r="AK70" s="127"/>
      <c r="AL70" s="127"/>
    </row>
    <row r="71">
      <c r="A71" s="28" t="s">
        <v>353</v>
      </c>
      <c r="B71" s="28">
        <v>3.0</v>
      </c>
      <c r="E71" s="28" t="s">
        <v>329</v>
      </c>
      <c r="F71" s="28">
        <v>1.0</v>
      </c>
      <c r="K71" s="28" t="s">
        <v>314</v>
      </c>
      <c r="L71" s="28">
        <v>1.0</v>
      </c>
      <c r="O71" s="28" t="s">
        <v>349</v>
      </c>
      <c r="P71" s="28">
        <v>3.0</v>
      </c>
      <c r="U71" s="37" t="s">
        <v>327</v>
      </c>
      <c r="V71" s="37">
        <v>2.0</v>
      </c>
      <c r="Y71" s="28" t="s">
        <v>327</v>
      </c>
      <c r="Z71" s="28">
        <v>2.0</v>
      </c>
      <c r="AA71" s="127"/>
      <c r="AB71" s="127"/>
      <c r="AC71" s="127"/>
      <c r="AD71" s="127"/>
      <c r="AE71" s="28"/>
      <c r="AF71" s="28"/>
      <c r="AG71" s="127"/>
      <c r="AH71" s="127"/>
      <c r="AI71" s="28" t="s">
        <v>356</v>
      </c>
      <c r="AJ71" s="28">
        <v>3.0</v>
      </c>
      <c r="AK71" s="127"/>
      <c r="AL71" s="127"/>
    </row>
    <row r="72">
      <c r="A72" s="28" t="s">
        <v>346</v>
      </c>
      <c r="B72" s="28">
        <v>2.0</v>
      </c>
      <c r="E72" s="28" t="s">
        <v>334</v>
      </c>
      <c r="F72" s="28">
        <v>2.0</v>
      </c>
      <c r="K72" s="28" t="s">
        <v>356</v>
      </c>
      <c r="L72" s="28">
        <v>2.0</v>
      </c>
      <c r="O72" s="28" t="s">
        <v>329</v>
      </c>
      <c r="P72" s="28">
        <v>1.0</v>
      </c>
      <c r="U72" s="37" t="s">
        <v>349</v>
      </c>
      <c r="V72" s="37">
        <v>1.0</v>
      </c>
      <c r="Y72" s="28" t="s">
        <v>349</v>
      </c>
      <c r="Z72" s="28">
        <v>3.0</v>
      </c>
      <c r="AA72" s="127"/>
      <c r="AB72" s="127"/>
      <c r="AC72" s="127"/>
      <c r="AD72" s="127"/>
      <c r="AE72" s="28"/>
      <c r="AF72" s="126">
        <v>87.0</v>
      </c>
      <c r="AG72" s="133"/>
      <c r="AH72" s="133"/>
      <c r="AI72" s="28" t="s">
        <v>322</v>
      </c>
      <c r="AJ72" s="28">
        <v>2.0</v>
      </c>
      <c r="AK72" s="127"/>
      <c r="AL72" s="127"/>
    </row>
    <row r="73">
      <c r="A73" s="76"/>
      <c r="B73" s="76"/>
      <c r="E73" s="28" t="s">
        <v>368</v>
      </c>
      <c r="F73" s="28">
        <v>1.0</v>
      </c>
      <c r="K73" s="28" t="s">
        <v>327</v>
      </c>
      <c r="L73" s="28">
        <v>2.0</v>
      </c>
      <c r="O73" s="28" t="s">
        <v>334</v>
      </c>
      <c r="P73" s="28">
        <v>1.0</v>
      </c>
      <c r="U73" s="37" t="s">
        <v>361</v>
      </c>
      <c r="V73" s="37">
        <v>2.0</v>
      </c>
      <c r="Y73" s="28" t="s">
        <v>329</v>
      </c>
      <c r="Z73" s="28">
        <v>1.0</v>
      </c>
      <c r="AA73" s="127"/>
      <c r="AB73" s="127"/>
      <c r="AC73" s="127"/>
      <c r="AD73" s="127"/>
      <c r="AE73" s="127"/>
      <c r="AF73" s="127"/>
      <c r="AG73" s="127"/>
      <c r="AH73" s="127"/>
      <c r="AI73" s="28" t="s">
        <v>378</v>
      </c>
      <c r="AJ73" s="28">
        <v>1.0</v>
      </c>
      <c r="AK73" s="127"/>
      <c r="AL73" s="127"/>
    </row>
    <row r="74">
      <c r="A74" s="76"/>
      <c r="B74" s="79">
        <v>93.0</v>
      </c>
      <c r="E74" s="28" t="s">
        <v>353</v>
      </c>
      <c r="F74" s="28">
        <v>2.0</v>
      </c>
      <c r="K74" s="28" t="s">
        <v>349</v>
      </c>
      <c r="L74" s="28">
        <v>1.0</v>
      </c>
      <c r="O74" s="28" t="s">
        <v>368</v>
      </c>
      <c r="P74" s="28">
        <v>2.0</v>
      </c>
      <c r="U74" s="37" t="s">
        <v>383</v>
      </c>
      <c r="V74" s="37">
        <v>1.0</v>
      </c>
      <c r="Y74" s="28" t="s">
        <v>334</v>
      </c>
      <c r="Z74" s="28">
        <v>1.0</v>
      </c>
      <c r="AA74" s="127"/>
      <c r="AB74" s="127"/>
      <c r="AC74" s="127"/>
      <c r="AD74" s="127"/>
      <c r="AE74" s="127"/>
      <c r="AF74" s="127"/>
      <c r="AG74" s="127"/>
      <c r="AH74" s="127"/>
      <c r="AI74" s="28" t="s">
        <v>327</v>
      </c>
      <c r="AJ74" s="28">
        <v>2.0</v>
      </c>
      <c r="AK74" s="127"/>
      <c r="AL74" s="127"/>
    </row>
    <row r="75">
      <c r="E75" s="28" t="s">
        <v>339</v>
      </c>
      <c r="F75" s="28">
        <v>1.0</v>
      </c>
      <c r="K75" s="28" t="s">
        <v>361</v>
      </c>
      <c r="L75" s="28">
        <v>1.0</v>
      </c>
      <c r="O75" s="28" t="s">
        <v>353</v>
      </c>
      <c r="P75" s="28">
        <v>2.0</v>
      </c>
      <c r="U75" s="37" t="s">
        <v>392</v>
      </c>
      <c r="V75" s="37">
        <v>2.0</v>
      </c>
      <c r="Y75" s="28" t="s">
        <v>368</v>
      </c>
      <c r="Z75" s="28">
        <v>4.0</v>
      </c>
      <c r="AA75" s="127"/>
      <c r="AB75" s="127"/>
      <c r="AC75" s="127"/>
      <c r="AD75" s="127"/>
      <c r="AE75" s="127"/>
      <c r="AF75" s="127"/>
      <c r="AG75" s="127"/>
      <c r="AH75" s="127"/>
      <c r="AI75" s="28" t="s">
        <v>349</v>
      </c>
      <c r="AJ75" s="28">
        <v>1.0</v>
      </c>
      <c r="AK75" s="127"/>
      <c r="AL75" s="127"/>
    </row>
    <row r="76">
      <c r="E76" s="28" t="s">
        <v>346</v>
      </c>
      <c r="F76" s="28">
        <v>2.0</v>
      </c>
      <c r="K76" s="28" t="s">
        <v>383</v>
      </c>
      <c r="L76" s="28">
        <v>1.0</v>
      </c>
      <c r="O76" s="28" t="s">
        <v>346</v>
      </c>
      <c r="P76" s="28">
        <v>1.0</v>
      </c>
      <c r="U76" s="37" t="s">
        <v>339</v>
      </c>
      <c r="V76" s="37">
        <v>1.0</v>
      </c>
      <c r="Y76" s="28" t="s">
        <v>353</v>
      </c>
      <c r="Z76" s="28">
        <v>2.0</v>
      </c>
      <c r="AA76" s="127"/>
      <c r="AB76" s="127"/>
      <c r="AC76" s="127"/>
      <c r="AD76" s="127"/>
      <c r="AE76" s="127"/>
      <c r="AF76" s="127"/>
      <c r="AG76" s="127"/>
      <c r="AH76" s="127"/>
      <c r="AI76" s="28" t="s">
        <v>334</v>
      </c>
      <c r="AJ76" s="28">
        <v>2.0</v>
      </c>
      <c r="AK76" s="127"/>
      <c r="AL76" s="127"/>
    </row>
    <row r="77">
      <c r="E77" s="76"/>
      <c r="F77" s="76"/>
      <c r="K77" s="28" t="s">
        <v>374</v>
      </c>
      <c r="L77" s="28">
        <v>1.0</v>
      </c>
      <c r="O77" s="76"/>
      <c r="P77" s="76"/>
      <c r="U77" s="37" t="s">
        <v>346</v>
      </c>
      <c r="V77" s="37">
        <v>1.0</v>
      </c>
      <c r="Y77" s="28" t="s">
        <v>346</v>
      </c>
      <c r="Z77" s="28">
        <v>1.0</v>
      </c>
      <c r="AA77" s="127"/>
      <c r="AB77" s="127"/>
      <c r="AC77" s="127"/>
      <c r="AD77" s="127"/>
      <c r="AE77" s="127"/>
      <c r="AF77" s="127"/>
      <c r="AG77" s="127"/>
      <c r="AH77" s="127"/>
      <c r="AI77" s="28" t="s">
        <v>368</v>
      </c>
      <c r="AJ77" s="28">
        <v>1.0</v>
      </c>
      <c r="AK77" s="127"/>
      <c r="AL77" s="127"/>
    </row>
    <row r="78">
      <c r="E78" s="76"/>
      <c r="F78" s="79">
        <v>109.0</v>
      </c>
      <c r="K78" s="28" t="s">
        <v>339</v>
      </c>
      <c r="L78" s="28">
        <v>1.0</v>
      </c>
      <c r="O78" s="76"/>
      <c r="P78" s="79">
        <v>107.0</v>
      </c>
      <c r="U78" s="78"/>
      <c r="V78" s="78"/>
      <c r="Y78" s="76"/>
      <c r="Z78" s="76"/>
      <c r="AA78" s="134"/>
      <c r="AB78" s="134"/>
      <c r="AC78" s="134"/>
      <c r="AD78" s="134"/>
      <c r="AE78" s="134"/>
      <c r="AF78" s="134"/>
      <c r="AG78" s="134"/>
      <c r="AH78" s="134"/>
      <c r="AI78" s="28" t="s">
        <v>353</v>
      </c>
      <c r="AJ78" s="28">
        <v>2.0</v>
      </c>
      <c r="AK78" s="127"/>
      <c r="AL78" s="127"/>
    </row>
    <row r="79">
      <c r="K79" s="76"/>
      <c r="L79" s="76"/>
      <c r="U79" s="78"/>
      <c r="V79" s="82">
        <v>88.0</v>
      </c>
      <c r="Y79" s="76"/>
      <c r="Z79" s="79">
        <v>111.0</v>
      </c>
      <c r="AA79" s="135"/>
      <c r="AB79" s="135"/>
      <c r="AC79" s="135"/>
      <c r="AD79" s="135"/>
      <c r="AE79" s="135"/>
      <c r="AF79" s="135"/>
      <c r="AG79" s="135"/>
      <c r="AH79" s="135"/>
      <c r="AI79" s="28" t="s">
        <v>339</v>
      </c>
      <c r="AJ79" s="28">
        <v>2.0</v>
      </c>
      <c r="AK79" s="127"/>
      <c r="AL79" s="127"/>
    </row>
    <row r="80">
      <c r="K80" s="76"/>
      <c r="L80" s="79">
        <v>90.0</v>
      </c>
      <c r="AI80" s="28" t="s">
        <v>346</v>
      </c>
      <c r="AJ80" s="28">
        <v>1.0</v>
      </c>
      <c r="AK80" s="127"/>
      <c r="AL80" s="127"/>
    </row>
    <row r="81">
      <c r="AI81" s="76"/>
      <c r="AJ81" s="76"/>
      <c r="AK81" s="134"/>
      <c r="AL81" s="134"/>
    </row>
    <row r="82">
      <c r="AI82" s="76"/>
      <c r="AJ82" s="79">
        <v>111.0</v>
      </c>
      <c r="AK82" s="135"/>
      <c r="AL82" s="13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5.5"/>
    <col customWidth="1" min="3" max="3" width="14.5"/>
    <col customWidth="1" min="4" max="4" width="16.5"/>
    <col customWidth="1" min="5" max="5" width="17.5"/>
    <col customWidth="1" min="6" max="6" width="16.75"/>
    <col customWidth="1" min="7" max="7" width="25.5"/>
    <col customWidth="1" min="9" max="9" width="13.0"/>
    <col customWidth="1" min="10" max="10" width="5.63"/>
    <col customWidth="1" min="11" max="11" width="6.88"/>
    <col customWidth="1" min="12" max="12" width="6.25"/>
    <col customWidth="1" min="13" max="13" width="4.5"/>
    <col customWidth="1" min="14" max="14" width="6.88"/>
    <col customWidth="1" min="16" max="16" width="5.63"/>
    <col customWidth="1" min="18" max="18" width="31.88"/>
  </cols>
  <sheetData>
    <row r="1">
      <c r="A1" s="4" t="s">
        <v>0</v>
      </c>
      <c r="B1" s="6"/>
      <c r="C1" s="6"/>
      <c r="D1" s="11"/>
      <c r="E1" s="11"/>
      <c r="F1" s="11"/>
      <c r="G1" s="14"/>
      <c r="H1" s="1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>
      <c r="A2" s="21" t="s">
        <v>23</v>
      </c>
      <c r="B2" s="6"/>
      <c r="C2" s="6"/>
      <c r="D2" s="11"/>
      <c r="E2" s="11"/>
      <c r="F2" s="11"/>
      <c r="G2" s="14"/>
      <c r="H2" s="1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>
      <c r="A3" s="26" t="s">
        <v>26</v>
      </c>
      <c r="B3" s="6"/>
      <c r="C3" s="6"/>
      <c r="D3" s="6"/>
      <c r="E3" s="6"/>
      <c r="F3" s="6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>
      <c r="A4" s="32" t="s">
        <v>34</v>
      </c>
      <c r="B4" s="6"/>
      <c r="C4" s="33" t="s">
        <v>38</v>
      </c>
      <c r="D4" s="35" t="s">
        <v>41</v>
      </c>
      <c r="E4" s="35" t="s">
        <v>44</v>
      </c>
      <c r="F4" s="35" t="s">
        <v>46</v>
      </c>
      <c r="G4" s="38"/>
      <c r="H4" s="38"/>
      <c r="I4" s="14" t="str">
        <f>IFERROR(__xludf.DUMMYFUNCTION("QUERY(A5:H75, ""Select C, count(A), H group by C, H order by H"")"),"")</f>
        <v/>
      </c>
      <c r="J4" s="43" t="str">
        <f>IFERROR(__xludf.DUMMYFUNCTION("""COMPUTED_VALUE"""),"count ")</f>
        <v>count </v>
      </c>
      <c r="K4" s="14" t="str">
        <f>IFERROR(__xludf.DUMMYFUNCTION("""COMPUTED_VALUE"""),"")</f>
        <v/>
      </c>
      <c r="L4" s="14" t="str">
        <f>IFERROR(__xludf.DUMMYFUNCTION("QUERY(A5:H75, ""Select D, count(A), H group by D, H order by H"")"),"")</f>
        <v/>
      </c>
      <c r="M4" s="14" t="str">
        <f>IFERROR(__xludf.DUMMYFUNCTION("""COMPUTED_VALUE"""),"count ")</f>
        <v>count </v>
      </c>
      <c r="N4" s="14" t="str">
        <f>IFERROR(__xludf.DUMMYFUNCTION("""COMPUTED_VALUE"""),"")</f>
        <v/>
      </c>
      <c r="O4" s="48"/>
      <c r="P4" s="14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30.0" customHeight="1">
      <c r="A5" s="49" t="s">
        <v>62</v>
      </c>
      <c r="B5" s="50">
        <v>1.0</v>
      </c>
      <c r="C5" s="53" t="s">
        <v>35</v>
      </c>
      <c r="D5" s="53" t="s">
        <v>52</v>
      </c>
      <c r="E5" s="53" t="s">
        <v>65</v>
      </c>
      <c r="F5" s="53" t="s">
        <v>68</v>
      </c>
      <c r="G5" s="56" t="str">
        <f t="shared" ref="G5:G69" si="1"> CONCATENATE(E5," ", F5)</f>
        <v>Вар.Кар Картошка</v>
      </c>
      <c r="H5" s="58" t="s">
        <v>1</v>
      </c>
      <c r="I5" s="16"/>
      <c r="J5" s="59">
        <f>IFERROR(__xludf.DUMMYFUNCTION("""COMPUTED_VALUE"""),0.0)</f>
        <v>0</v>
      </c>
      <c r="K5" s="59"/>
      <c r="L5" s="59"/>
      <c r="M5" s="59">
        <f>IFERROR(__xludf.DUMMYFUNCTION("""COMPUTED_VALUE"""),0.0)</f>
        <v>0</v>
      </c>
      <c r="N5" s="59"/>
      <c r="O5" s="59"/>
      <c r="P5" s="59"/>
      <c r="Q5" s="59"/>
      <c r="R5" s="60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</row>
    <row r="6" ht="30.0" customHeight="1">
      <c r="A6" s="63" t="s">
        <v>87</v>
      </c>
      <c r="B6" s="50">
        <v>2.0</v>
      </c>
      <c r="C6" s="53" t="s">
        <v>25</v>
      </c>
      <c r="D6" s="53" t="s">
        <v>59</v>
      </c>
      <c r="E6" s="53" t="s">
        <v>83</v>
      </c>
      <c r="F6" s="53"/>
      <c r="G6" s="56" t="str">
        <f t="shared" si="1"/>
        <v>Пельмени </v>
      </c>
      <c r="H6" s="58" t="s">
        <v>1</v>
      </c>
      <c r="I6" s="16"/>
      <c r="J6" s="59">
        <f>IFERROR(__xludf.DUMMYFUNCTION("""COMPUTED_VALUE"""),3.0)</f>
        <v>3</v>
      </c>
      <c r="K6" s="59" t="str">
        <f>IFERROR(__xludf.DUMMYFUNCTION("""COMPUTED_VALUE"""),"Олимп")</f>
        <v>Олимп</v>
      </c>
      <c r="L6" s="59"/>
      <c r="M6" s="59">
        <f>IFERROR(__xludf.DUMMYFUNCTION("""COMPUTED_VALUE"""),1.0)</f>
        <v>1</v>
      </c>
      <c r="N6" s="59" t="str">
        <f>IFERROR(__xludf.DUMMYFUNCTION("""COMPUTED_VALUE"""),"Олимп")</f>
        <v>Олимп</v>
      </c>
      <c r="O6" s="59"/>
      <c r="P6" s="59"/>
      <c r="Q6" s="59"/>
      <c r="R6" s="60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</row>
    <row r="7" ht="30.0" customHeight="1">
      <c r="A7" s="49" t="s">
        <v>98</v>
      </c>
      <c r="B7" s="50">
        <v>3.0</v>
      </c>
      <c r="C7" s="65" t="s">
        <v>35</v>
      </c>
      <c r="D7" s="67" t="s">
        <v>48</v>
      </c>
      <c r="E7" s="65" t="s">
        <v>65</v>
      </c>
      <c r="F7" s="53"/>
      <c r="G7" s="56" t="str">
        <f t="shared" si="1"/>
        <v>Вар.Кар </v>
      </c>
      <c r="H7" s="58" t="s">
        <v>1</v>
      </c>
      <c r="I7" s="16" t="str">
        <f>IFERROR(__xludf.DUMMYFUNCTION("""COMPUTED_VALUE"""),"Весна")</f>
        <v>Весна</v>
      </c>
      <c r="J7" s="59">
        <f>IFERROR(__xludf.DUMMYFUNCTION("""COMPUTED_VALUE"""),8.0)</f>
        <v>8</v>
      </c>
      <c r="K7" s="59" t="str">
        <f>IFERROR(__xludf.DUMMYFUNCTION("""COMPUTED_VALUE"""),"Олимп")</f>
        <v>Олимп</v>
      </c>
      <c r="L7" s="59" t="str">
        <f>IFERROR(__xludf.DUMMYFUNCTION("""COMPUTED_VALUE"""),"3.Б")</f>
        <v>3.Б</v>
      </c>
      <c r="M7" s="59">
        <f>IFERROR(__xludf.DUMMYFUNCTION("""COMPUTED_VALUE"""),13.0)</f>
        <v>13</v>
      </c>
      <c r="N7" s="59" t="str">
        <f>IFERROR(__xludf.DUMMYFUNCTION("""COMPUTED_VALUE"""),"Олимп")</f>
        <v>Олимп</v>
      </c>
      <c r="O7" s="59"/>
      <c r="P7" s="59"/>
      <c r="Q7" s="59"/>
      <c r="R7" s="60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</row>
    <row r="8" ht="30.0" customHeight="1">
      <c r="A8" s="63" t="s">
        <v>101</v>
      </c>
      <c r="B8" s="50">
        <v>4.0</v>
      </c>
      <c r="C8" s="53" t="s">
        <v>45</v>
      </c>
      <c r="D8" s="53" t="s">
        <v>50</v>
      </c>
      <c r="E8" s="53" t="s">
        <v>73</v>
      </c>
      <c r="F8" s="53"/>
      <c r="G8" s="56" t="str">
        <f t="shared" si="1"/>
        <v>Бл. твор </v>
      </c>
      <c r="H8" s="58" t="s">
        <v>1</v>
      </c>
      <c r="I8" s="59" t="str">
        <f>IFERROR(__xludf.DUMMYFUNCTION("""COMPUTED_VALUE"""),"Вин")</f>
        <v>Вин</v>
      </c>
      <c r="J8" s="59">
        <f>IFERROR(__xludf.DUMMYFUNCTION("""COMPUTED_VALUE"""),10.0)</f>
        <v>10</v>
      </c>
      <c r="K8" s="59" t="str">
        <f>IFERROR(__xludf.DUMMYFUNCTION("""COMPUTED_VALUE"""),"Олимп")</f>
        <v>Олимп</v>
      </c>
      <c r="L8" s="59" t="str">
        <f>IFERROR(__xludf.DUMMYFUNCTION("""COMPUTED_VALUE"""),"Б ")</f>
        <v>Б </v>
      </c>
      <c r="M8" s="59">
        <f>IFERROR(__xludf.DUMMYFUNCTION("""COMPUTED_VALUE"""),17.0)</f>
        <v>17</v>
      </c>
      <c r="N8" s="59" t="str">
        <f>IFERROR(__xludf.DUMMYFUNCTION("""COMPUTED_VALUE"""),"Олимп")</f>
        <v>Олимп</v>
      </c>
      <c r="O8" s="59"/>
      <c r="P8" s="59"/>
      <c r="Q8" s="59"/>
      <c r="R8" s="60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</row>
    <row r="9" ht="30.0" customHeight="1">
      <c r="A9" s="70" t="s">
        <v>105</v>
      </c>
      <c r="B9" s="50">
        <v>5.0</v>
      </c>
      <c r="C9" s="53" t="s">
        <v>40</v>
      </c>
      <c r="D9" s="53" t="s">
        <v>59</v>
      </c>
      <c r="E9" s="53" t="s">
        <v>91</v>
      </c>
      <c r="F9" s="53" t="s">
        <v>100</v>
      </c>
      <c r="G9" s="56" t="str">
        <f t="shared" si="1"/>
        <v>табака  Паста  </v>
      </c>
      <c r="H9" s="58" t="s">
        <v>1</v>
      </c>
      <c r="I9" s="59" t="str">
        <f>IFERROR(__xludf.DUMMYFUNCTION("""COMPUTED_VALUE"""),"Днестр")</f>
        <v>Днестр</v>
      </c>
      <c r="J9" s="59">
        <f>IFERROR(__xludf.DUMMYFUNCTION("""COMPUTED_VALUE"""),4.0)</f>
        <v>4</v>
      </c>
      <c r="K9" s="59" t="str">
        <f>IFERROR(__xludf.DUMMYFUNCTION("""COMPUTED_VALUE"""),"Олимп")</f>
        <v>Олимп</v>
      </c>
      <c r="L9" s="59" t="str">
        <f>IFERROR(__xludf.DUMMYFUNCTION("""COMPUTED_VALUE"""),"Горох")</f>
        <v>Горох</v>
      </c>
      <c r="M9" s="59">
        <f>IFERROR(__xludf.DUMMYFUNCTION("""COMPUTED_VALUE"""),6.0)</f>
        <v>6</v>
      </c>
      <c r="N9" s="59" t="str">
        <f>IFERROR(__xludf.DUMMYFUNCTION("""COMPUTED_VALUE"""),"Олимп")</f>
        <v>Олимп</v>
      </c>
      <c r="O9" s="59"/>
      <c r="P9" s="59"/>
      <c r="Q9" s="59"/>
      <c r="R9" s="60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</row>
    <row r="10" ht="30.0" customHeight="1">
      <c r="A10" s="63" t="s">
        <v>107</v>
      </c>
      <c r="B10" s="50">
        <v>6.0</v>
      </c>
      <c r="C10" s="53" t="s">
        <v>45</v>
      </c>
      <c r="D10" s="53" t="s">
        <v>52</v>
      </c>
      <c r="E10" s="53" t="s">
        <v>82</v>
      </c>
      <c r="F10" s="53"/>
      <c r="G10" s="56" t="str">
        <f t="shared" si="1"/>
        <v>крылья </v>
      </c>
      <c r="H10" s="58" t="s">
        <v>1</v>
      </c>
      <c r="I10" s="59" t="str">
        <f>IFERROR(__xludf.DUMMYFUNCTION("""COMPUTED_VALUE"""),"Ол ")</f>
        <v>Ол </v>
      </c>
      <c r="J10" s="59">
        <f>IFERROR(__xludf.DUMMYFUNCTION("""COMPUTED_VALUE"""),5.0)</f>
        <v>5</v>
      </c>
      <c r="K10" s="59" t="str">
        <f>IFERROR(__xludf.DUMMYFUNCTION("""COMPUTED_VALUE"""),"Олимп")</f>
        <v>Олимп</v>
      </c>
      <c r="L10" s="59" t="str">
        <f>IFERROR(__xludf.DUMMYFUNCTION("""COMPUTED_VALUE"""),"Гриб")</f>
        <v>Гриб</v>
      </c>
      <c r="M10" s="59">
        <f>IFERROR(__xludf.DUMMYFUNCTION("""COMPUTED_VALUE"""),6.0)</f>
        <v>6</v>
      </c>
      <c r="N10" s="59" t="str">
        <f>IFERROR(__xludf.DUMMYFUNCTION("""COMPUTED_VALUE"""),"Олимп")</f>
        <v>Олимп</v>
      </c>
      <c r="O10" s="59"/>
      <c r="P10" s="59"/>
      <c r="Q10" s="59"/>
      <c r="R10" s="60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</row>
    <row r="11" ht="30.0" customHeight="1">
      <c r="A11" s="63" t="s">
        <v>110</v>
      </c>
      <c r="B11" s="50">
        <v>7.0</v>
      </c>
      <c r="C11" s="53"/>
      <c r="D11" s="53" t="s">
        <v>48</v>
      </c>
      <c r="E11" s="53" t="s">
        <v>97</v>
      </c>
      <c r="F11" s="53"/>
      <c r="G11" s="56" t="str">
        <f t="shared" si="1"/>
        <v>Шницель </v>
      </c>
      <c r="H11" s="58" t="s">
        <v>1</v>
      </c>
      <c r="I11" s="59" t="str">
        <f>IFERROR(__xludf.DUMMYFUNCTION("""COMPUTED_VALUE"""),"Сало")</f>
        <v>Сало</v>
      </c>
      <c r="J11" s="59">
        <f>IFERROR(__xludf.DUMMYFUNCTION("""COMPUTED_VALUE"""),9.0)</f>
        <v>9</v>
      </c>
      <c r="K11" s="59" t="str">
        <f>IFERROR(__xludf.DUMMYFUNCTION("""COMPUTED_VALUE"""),"Олимп")</f>
        <v>Олимп</v>
      </c>
      <c r="L11" s="59" t="str">
        <f>IFERROR(__xludf.DUMMYFUNCTION("""COMPUTED_VALUE"""),"Кур ")</f>
        <v>Кур </v>
      </c>
      <c r="M11" s="59">
        <f>IFERROR(__xludf.DUMMYFUNCTION("""COMPUTED_VALUE"""),12.0)</f>
        <v>12</v>
      </c>
      <c r="N11" s="59" t="str">
        <f>IFERROR(__xludf.DUMMYFUNCTION("""COMPUTED_VALUE"""),"Олимп")</f>
        <v>Олимп</v>
      </c>
      <c r="O11" s="59"/>
      <c r="P11" s="59"/>
      <c r="Q11" s="59"/>
      <c r="R11" s="60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ht="30.0" customHeight="1">
      <c r="A12" s="63" t="s">
        <v>118</v>
      </c>
      <c r="B12" s="50">
        <v>8.0</v>
      </c>
      <c r="C12" s="53" t="s">
        <v>35</v>
      </c>
      <c r="D12" s="53" t="s">
        <v>59</v>
      </c>
      <c r="E12" s="53" t="s">
        <v>67</v>
      </c>
      <c r="F12" s="53"/>
      <c r="G12" s="56" t="str">
        <f t="shared" si="1"/>
        <v>S   </v>
      </c>
      <c r="H12" s="58" t="s">
        <v>1</v>
      </c>
      <c r="I12" s="59" t="str">
        <f>IFERROR(__xludf.DUMMYFUNCTION("""COMPUTED_VALUE"""),"Свкл")</f>
        <v>Свкл</v>
      </c>
      <c r="J12" s="59">
        <f>IFERROR(__xludf.DUMMYFUNCTION("""COMPUTED_VALUE"""),12.0)</f>
        <v>12</v>
      </c>
      <c r="K12" s="59" t="str">
        <f>IFERROR(__xludf.DUMMYFUNCTION("""COMPUTED_VALUE"""),"Олимп")</f>
        <v>Олимп</v>
      </c>
      <c r="L12" s="59" t="str">
        <f>IFERROR(__xludf.DUMMYFUNCTION("""COMPUTED_VALUE"""),"Овощ")</f>
        <v>Овощ</v>
      </c>
      <c r="M12" s="59">
        <f>IFERROR(__xludf.DUMMYFUNCTION("""COMPUTED_VALUE"""),7.0)</f>
        <v>7</v>
      </c>
      <c r="N12" s="59" t="str">
        <f>IFERROR(__xludf.DUMMYFUNCTION("""COMPUTED_VALUE"""),"Олимп")</f>
        <v>Олимп</v>
      </c>
      <c r="O12" s="59"/>
      <c r="P12" s="59"/>
      <c r="Q12" s="59"/>
      <c r="R12" s="60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ht="30.0" customHeight="1">
      <c r="A13" s="75" t="s">
        <v>120</v>
      </c>
      <c r="B13" s="50">
        <v>9.0</v>
      </c>
      <c r="C13" s="53" t="s">
        <v>40</v>
      </c>
      <c r="D13" s="53" t="s">
        <v>61</v>
      </c>
      <c r="E13" s="53" t="s">
        <v>67</v>
      </c>
      <c r="F13" s="53" t="s">
        <v>90</v>
      </c>
      <c r="G13" s="56" t="str">
        <f t="shared" si="1"/>
        <v>S   Туш. кап.</v>
      </c>
      <c r="H13" s="58" t="s">
        <v>1</v>
      </c>
      <c r="I13" s="59" t="str">
        <f>IFERROR(__xludf.DUMMYFUNCTION("""COMPUTED_VALUE"""),"Селедка")</f>
        <v>Селедка</v>
      </c>
      <c r="J13" s="59">
        <f>IFERROR(__xludf.DUMMYFUNCTION("""COMPUTED_VALUE"""),7.0)</f>
        <v>7</v>
      </c>
      <c r="K13" s="59" t="str">
        <f>IFERROR(__xludf.DUMMYFUNCTION("""COMPUTED_VALUE"""),"Олимп")</f>
        <v>Олимп</v>
      </c>
      <c r="L13" s="59" t="str">
        <f>IFERROR(__xludf.DUMMYFUNCTION("""COMPUTED_VALUE"""),"Харчо ")</f>
        <v>Харчо </v>
      </c>
      <c r="M13" s="59">
        <f>IFERROR(__xludf.DUMMYFUNCTION("""COMPUTED_VALUE"""),3.0)</f>
        <v>3</v>
      </c>
      <c r="N13" s="59" t="str">
        <f>IFERROR(__xludf.DUMMYFUNCTION("""COMPUTED_VALUE"""),"Олимп")</f>
        <v>Олимп</v>
      </c>
      <c r="O13" s="59"/>
      <c r="P13" s="59"/>
      <c r="Q13" s="59"/>
      <c r="R13" s="60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ht="30.0" customHeight="1">
      <c r="A14" s="63" t="s">
        <v>123</v>
      </c>
      <c r="B14" s="50">
        <v>10.0</v>
      </c>
      <c r="C14" s="53" t="s">
        <v>33</v>
      </c>
      <c r="D14" s="53" t="s">
        <v>55</v>
      </c>
      <c r="E14" s="53" t="s">
        <v>67</v>
      </c>
      <c r="F14" s="53" t="s">
        <v>100</v>
      </c>
      <c r="G14" s="56" t="str">
        <f t="shared" si="1"/>
        <v>S   Паста  </v>
      </c>
      <c r="H14" s="58" t="s">
        <v>1</v>
      </c>
      <c r="I14" s="59" t="str">
        <f>IFERROR(__xludf.DUMMYFUNCTION("""COMPUTED_VALUE"""),"баклаж")</f>
        <v>баклаж</v>
      </c>
      <c r="J14" s="59">
        <f>IFERROR(__xludf.DUMMYFUNCTION("""COMPUTED_VALUE"""),2.0)</f>
        <v>2</v>
      </c>
      <c r="K14" s="59" t="str">
        <f>IFERROR(__xludf.DUMMYFUNCTION("""COMPUTED_VALUE"""),"Олимп")</f>
        <v>Олимп</v>
      </c>
      <c r="L14" s="59"/>
      <c r="M14" s="59"/>
      <c r="N14" s="59"/>
      <c r="O14" s="59"/>
      <c r="P14" s="59"/>
      <c r="Q14" s="59"/>
      <c r="R14" s="60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ht="30.0" customHeight="1">
      <c r="A15" s="63" t="s">
        <v>125</v>
      </c>
      <c r="B15" s="50">
        <v>11.0</v>
      </c>
      <c r="C15" s="53" t="s">
        <v>20</v>
      </c>
      <c r="D15" s="53" t="s">
        <v>57</v>
      </c>
      <c r="E15" s="53" t="s">
        <v>83</v>
      </c>
      <c r="F15" s="53"/>
      <c r="G15" s="56" t="str">
        <f t="shared" si="1"/>
        <v>Пельмени </v>
      </c>
      <c r="H15" s="58" t="s">
        <v>1</v>
      </c>
      <c r="I15" s="14" t="str">
        <f>IFERROR(__xludf.DUMMYFUNCTION("""COMPUTED_VALUE"""),"капуста")</f>
        <v>капуста</v>
      </c>
      <c r="J15" s="59">
        <f>IFERROR(__xludf.DUMMYFUNCTION("""COMPUTED_VALUE"""),5.0)</f>
        <v>5</v>
      </c>
      <c r="K15" s="59" t="str">
        <f>IFERROR(__xludf.DUMMYFUNCTION("""COMPUTED_VALUE"""),"Олимп")</f>
        <v>Олимп</v>
      </c>
      <c r="L15" s="59"/>
      <c r="M15" s="59"/>
      <c r="N15" s="59"/>
      <c r="O15" s="59"/>
      <c r="P15" s="59"/>
      <c r="Q15" s="59"/>
      <c r="R15" s="60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ht="30.0" customHeight="1">
      <c r="A16" s="63" t="s">
        <v>127</v>
      </c>
      <c r="B16" s="50">
        <v>12.0</v>
      </c>
      <c r="C16" s="53" t="s">
        <v>33</v>
      </c>
      <c r="D16" s="53" t="s">
        <v>55</v>
      </c>
      <c r="E16" s="53" t="s">
        <v>78</v>
      </c>
      <c r="F16" s="53" t="s">
        <v>117</v>
      </c>
      <c r="G16" s="56" t="str">
        <f t="shared" si="1"/>
        <v>Жульен Фасоль</v>
      </c>
      <c r="H16" s="58" t="s">
        <v>1</v>
      </c>
      <c r="I16" s="14"/>
      <c r="J16" s="59"/>
      <c r="K16" s="59"/>
      <c r="L16" s="59"/>
      <c r="M16" s="59"/>
      <c r="N16" s="59"/>
      <c r="O16" s="59"/>
      <c r="P16" s="59"/>
      <c r="Q16" s="59"/>
      <c r="R16" s="60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ht="30.0" customHeight="1">
      <c r="A17" s="63" t="s">
        <v>129</v>
      </c>
      <c r="B17" s="50">
        <v>13.0</v>
      </c>
      <c r="C17" s="53" t="s">
        <v>20</v>
      </c>
      <c r="D17" s="53" t="s">
        <v>57</v>
      </c>
      <c r="E17" s="53" t="s">
        <v>80</v>
      </c>
      <c r="F17" s="53" t="s">
        <v>90</v>
      </c>
      <c r="G17" s="56" t="str">
        <f t="shared" si="1"/>
        <v>Котл. кур Туш. кап.</v>
      </c>
      <c r="H17" s="58" t="s">
        <v>1</v>
      </c>
      <c r="I17" s="14"/>
      <c r="J17" s="59"/>
      <c r="K17" s="59"/>
      <c r="L17" s="59"/>
      <c r="M17" s="59"/>
      <c r="N17" s="59"/>
      <c r="O17" s="59"/>
      <c r="P17" s="59"/>
      <c r="Q17" s="59"/>
      <c r="R17" s="60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ht="30.0" customHeight="1">
      <c r="A18" s="49" t="s">
        <v>99</v>
      </c>
      <c r="B18" s="50">
        <v>14.0</v>
      </c>
      <c r="C18" s="53" t="s">
        <v>35</v>
      </c>
      <c r="D18" s="53" t="s">
        <v>48</v>
      </c>
      <c r="E18" s="53" t="s">
        <v>71</v>
      </c>
      <c r="F18" s="16"/>
      <c r="G18" s="56" t="str">
        <f t="shared" si="1"/>
        <v>Бл. мясо </v>
      </c>
      <c r="H18" s="58" t="s">
        <v>1</v>
      </c>
      <c r="I18" s="14"/>
      <c r="J18" s="59"/>
      <c r="K18" s="59"/>
      <c r="L18" s="59"/>
      <c r="M18" s="59"/>
      <c r="N18" s="59"/>
      <c r="O18" s="59"/>
      <c r="P18" s="59"/>
      <c r="Q18" s="59"/>
      <c r="R18" s="60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ht="30.0" customHeight="1">
      <c r="A19" s="63" t="s">
        <v>132</v>
      </c>
      <c r="B19" s="50">
        <v>15.0</v>
      </c>
      <c r="C19" s="65" t="s">
        <v>35</v>
      </c>
      <c r="D19" s="53" t="s">
        <v>50</v>
      </c>
      <c r="E19" s="53" t="s">
        <v>80</v>
      </c>
      <c r="F19" s="53"/>
      <c r="G19" s="56" t="str">
        <f t="shared" si="1"/>
        <v>Котл. кур </v>
      </c>
      <c r="H19" s="58" t="s">
        <v>1</v>
      </c>
      <c r="I19" s="14" t="str">
        <f>IFERROR(__xludf.DUMMYFUNCTION("QUERY(A5:H73, ""Select G, count(A), H group by G, H order by H"")"),"")</f>
        <v/>
      </c>
      <c r="J19" s="59" t="str">
        <f>IFERROR(__xludf.DUMMYFUNCTION("""COMPUTED_VALUE"""),"count ")</f>
        <v>count </v>
      </c>
      <c r="K19" s="59" t="str">
        <f>IFERROR(__xludf.DUMMYFUNCTION("""COMPUTED_VALUE"""),"")</f>
        <v/>
      </c>
      <c r="L19" s="59"/>
      <c r="M19" s="59"/>
      <c r="N19" s="59"/>
      <c r="O19" s="59"/>
      <c r="P19" s="59"/>
      <c r="Q19" s="59"/>
      <c r="R19" s="60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ht="30.0" customHeight="1">
      <c r="A20" s="63" t="s">
        <v>134</v>
      </c>
      <c r="B20" s="50">
        <v>16.0</v>
      </c>
      <c r="C20" s="65" t="s">
        <v>40</v>
      </c>
      <c r="D20" s="53" t="s">
        <v>52</v>
      </c>
      <c r="E20" s="53" t="s">
        <v>88</v>
      </c>
      <c r="F20" s="53" t="s">
        <v>100</v>
      </c>
      <c r="G20" s="56" t="str">
        <f t="shared" si="1"/>
        <v>Св. отбив   Паста  </v>
      </c>
      <c r="H20" s="58" t="s">
        <v>1</v>
      </c>
      <c r="I20" s="59"/>
      <c r="J20" s="59">
        <f>IFERROR(__xludf.DUMMYFUNCTION("""COMPUTED_VALUE"""),0.0)</f>
        <v>0</v>
      </c>
      <c r="K20" s="59"/>
      <c r="L20" s="59"/>
      <c r="M20" s="59"/>
      <c r="N20" s="59"/>
      <c r="O20" s="59"/>
      <c r="P20" s="59"/>
      <c r="Q20" s="59"/>
      <c r="R20" s="60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ht="30.0" customHeight="1">
      <c r="A21" s="70" t="s">
        <v>136</v>
      </c>
      <c r="B21" s="50">
        <v>17.0</v>
      </c>
      <c r="C21" s="53"/>
      <c r="D21" s="53"/>
      <c r="E21" s="53" t="s">
        <v>65</v>
      </c>
      <c r="F21" s="53" t="s">
        <v>68</v>
      </c>
      <c r="G21" s="56" t="str">
        <f t="shared" si="1"/>
        <v>Вар.Кар Картошка</v>
      </c>
      <c r="H21" s="58" t="s">
        <v>1</v>
      </c>
      <c r="I21" s="59" t="str">
        <f>IFERROR(__xludf.DUMMYFUNCTION("""COMPUTED_VALUE"""),"S   ")</f>
        <v>S   </v>
      </c>
      <c r="J21" s="59">
        <f>IFERROR(__xludf.DUMMYFUNCTION("""COMPUTED_VALUE"""),1.0)</f>
        <v>1</v>
      </c>
      <c r="K21" s="59" t="str">
        <f>IFERROR(__xludf.DUMMYFUNCTION("""COMPUTED_VALUE"""),"Олимп")</f>
        <v>Олимп</v>
      </c>
      <c r="L21" s="59"/>
      <c r="M21" s="59"/>
      <c r="N21" s="59"/>
      <c r="O21" s="59"/>
      <c r="P21" s="59"/>
      <c r="Q21" s="59"/>
      <c r="R21" s="60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ht="30.0" customHeight="1">
      <c r="A22" s="70" t="s">
        <v>137</v>
      </c>
      <c r="B22" s="83" t="s">
        <v>138</v>
      </c>
      <c r="C22" s="53" t="s">
        <v>28</v>
      </c>
      <c r="D22" s="53" t="s">
        <v>59</v>
      </c>
      <c r="E22" s="53" t="s">
        <v>82</v>
      </c>
      <c r="F22" s="53"/>
      <c r="G22" s="56" t="str">
        <f t="shared" si="1"/>
        <v>крылья </v>
      </c>
      <c r="H22" s="58" t="s">
        <v>1</v>
      </c>
      <c r="I22" s="59" t="str">
        <f>IFERROR(__xludf.DUMMYFUNCTION("""COMPUTED_VALUE"""),"S   Паста  ")</f>
        <v>S   Паста  </v>
      </c>
      <c r="J22" s="59">
        <f>IFERROR(__xludf.DUMMYFUNCTION("""COMPUTED_VALUE"""),1.0)</f>
        <v>1</v>
      </c>
      <c r="K22" s="59" t="str">
        <f>IFERROR(__xludf.DUMMYFUNCTION("""COMPUTED_VALUE"""),"Олимп")</f>
        <v>Олимп</v>
      </c>
      <c r="L22" s="59"/>
      <c r="M22" s="59"/>
      <c r="N22" s="59"/>
      <c r="O22" s="59"/>
      <c r="P22" s="59"/>
      <c r="Q22" s="59"/>
      <c r="R22" s="60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ht="30.0" customHeight="1">
      <c r="A23" s="70" t="s">
        <v>141</v>
      </c>
      <c r="B23" s="83" t="s">
        <v>138</v>
      </c>
      <c r="C23" s="53" t="s">
        <v>20</v>
      </c>
      <c r="D23" s="53" t="s">
        <v>55</v>
      </c>
      <c r="E23" s="53" t="s">
        <v>73</v>
      </c>
      <c r="F23" s="53"/>
      <c r="G23" s="56" t="str">
        <f t="shared" si="1"/>
        <v>Бл. твор </v>
      </c>
      <c r="H23" s="58" t="s">
        <v>1</v>
      </c>
      <c r="I23" s="59" t="str">
        <f>IFERROR(__xludf.DUMMYFUNCTION("""COMPUTED_VALUE"""),"S   Туш. кап.")</f>
        <v>S   Туш. кап.</v>
      </c>
      <c r="J23" s="59">
        <f>IFERROR(__xludf.DUMMYFUNCTION("""COMPUTED_VALUE"""),1.0)</f>
        <v>1</v>
      </c>
      <c r="K23" s="59" t="str">
        <f>IFERROR(__xludf.DUMMYFUNCTION("""COMPUTED_VALUE"""),"Олимп")</f>
        <v>Олимп</v>
      </c>
      <c r="L23" s="59"/>
      <c r="M23" s="59"/>
      <c r="N23" s="59"/>
      <c r="O23" s="59"/>
      <c r="P23" s="59"/>
      <c r="Q23" s="59"/>
      <c r="R23" s="60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ht="30.0" customHeight="1">
      <c r="A24" s="75" t="s">
        <v>143</v>
      </c>
      <c r="B24" s="50">
        <v>20.0</v>
      </c>
      <c r="C24" s="53" t="s">
        <v>35</v>
      </c>
      <c r="D24" s="65" t="s">
        <v>50</v>
      </c>
      <c r="E24" s="53" t="s">
        <v>63</v>
      </c>
      <c r="F24" s="53" t="s">
        <v>103</v>
      </c>
      <c r="G24" s="56" t="str">
        <f t="shared" si="1"/>
        <v>Баса Гр  </v>
      </c>
      <c r="H24" s="58" t="s">
        <v>1</v>
      </c>
      <c r="I24" s="59" t="str">
        <f>IFERROR(__xludf.DUMMYFUNCTION("""COMPUTED_VALUE"""),"S   Фасоль")</f>
        <v>S   Фасоль</v>
      </c>
      <c r="J24" s="59">
        <f>IFERROR(__xludf.DUMMYFUNCTION("""COMPUTED_VALUE"""),1.0)</f>
        <v>1</v>
      </c>
      <c r="K24" s="59" t="str">
        <f>IFERROR(__xludf.DUMMYFUNCTION("""COMPUTED_VALUE"""),"Олимп")</f>
        <v>Олимп</v>
      </c>
      <c r="L24" s="59"/>
      <c r="M24" s="59"/>
      <c r="N24" s="59"/>
      <c r="O24" s="59"/>
      <c r="P24" s="59"/>
      <c r="Q24" s="59"/>
      <c r="R24" s="60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  <row r="25" ht="30.0" customHeight="1">
      <c r="A25" s="75" t="s">
        <v>145</v>
      </c>
      <c r="B25" s="50">
        <v>21.0</v>
      </c>
      <c r="C25" s="53" t="s">
        <v>25</v>
      </c>
      <c r="D25" s="53" t="s">
        <v>57</v>
      </c>
      <c r="E25" s="53" t="s">
        <v>63</v>
      </c>
      <c r="F25" s="53" t="s">
        <v>111</v>
      </c>
      <c r="G25" s="56" t="str">
        <f t="shared" si="1"/>
        <v>Баса MP </v>
      </c>
      <c r="H25" s="58" t="s">
        <v>1</v>
      </c>
      <c r="I25" s="59" t="str">
        <f>IFERROR(__xludf.DUMMYFUNCTION("""COMPUTED_VALUE"""),"Баса  FF")</f>
        <v>Баса  FF</v>
      </c>
      <c r="J25" s="59">
        <f>IFERROR(__xludf.DUMMYFUNCTION("""COMPUTED_VALUE"""),1.0)</f>
        <v>1</v>
      </c>
      <c r="K25" s="59" t="str">
        <f>IFERROR(__xludf.DUMMYFUNCTION("""COMPUTED_VALUE"""),"Олимп")</f>
        <v>Олимп</v>
      </c>
      <c r="L25" s="59"/>
      <c r="M25" s="59"/>
      <c r="N25" s="59"/>
      <c r="O25" s="59"/>
      <c r="P25" s="59"/>
      <c r="Q25" s="59"/>
      <c r="R25" s="60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</row>
    <row r="26" ht="30.0" customHeight="1">
      <c r="A26" s="63" t="s">
        <v>147</v>
      </c>
      <c r="B26" s="50">
        <v>22.0</v>
      </c>
      <c r="C26" s="53" t="s">
        <v>20</v>
      </c>
      <c r="D26" s="53" t="s">
        <v>48</v>
      </c>
      <c r="E26" s="53" t="s">
        <v>78</v>
      </c>
      <c r="F26" s="53"/>
      <c r="G26" s="56" t="str">
        <f t="shared" si="1"/>
        <v>Жульен </v>
      </c>
      <c r="H26" s="58" t="s">
        <v>1</v>
      </c>
      <c r="I26" s="16" t="str">
        <f>IFERROR(__xludf.DUMMYFUNCTION("""COMPUTED_VALUE"""),"Баса MP ")</f>
        <v>Баса MP </v>
      </c>
      <c r="J26" s="59">
        <f>IFERROR(__xludf.DUMMYFUNCTION("""COMPUTED_VALUE"""),1.0)</f>
        <v>1</v>
      </c>
      <c r="K26" s="59" t="str">
        <f>IFERROR(__xludf.DUMMYFUNCTION("""COMPUTED_VALUE"""),"Олимп")</f>
        <v>Олимп</v>
      </c>
      <c r="L26" s="59"/>
      <c r="M26" s="59"/>
      <c r="N26" s="59"/>
      <c r="O26" s="59"/>
      <c r="P26" s="59"/>
      <c r="Q26" s="59"/>
      <c r="R26" s="60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</row>
    <row r="27" ht="30.0" customHeight="1">
      <c r="A27" s="49" t="s">
        <v>150</v>
      </c>
      <c r="B27" s="50">
        <v>23.0</v>
      </c>
      <c r="C27" s="53" t="s">
        <v>40</v>
      </c>
      <c r="D27" s="53" t="s">
        <v>50</v>
      </c>
      <c r="E27" s="53" t="s">
        <v>94</v>
      </c>
      <c r="F27" s="53" t="s">
        <v>90</v>
      </c>
      <c r="G27" s="56" t="str">
        <f t="shared" si="1"/>
        <v>Чалахач Туш. кап.</v>
      </c>
      <c r="H27" s="58" t="s">
        <v>1</v>
      </c>
      <c r="I27" s="16" t="str">
        <f>IFERROR(__xludf.DUMMYFUNCTION("""COMPUTED_VALUE"""),"Баса Гр  ")</f>
        <v>Баса Гр  </v>
      </c>
      <c r="J27" s="59">
        <f>IFERROR(__xludf.DUMMYFUNCTION("""COMPUTED_VALUE"""),1.0)</f>
        <v>1</v>
      </c>
      <c r="K27" s="59" t="str">
        <f>IFERROR(__xludf.DUMMYFUNCTION("""COMPUTED_VALUE"""),"Олимп")</f>
        <v>Олимп</v>
      </c>
      <c r="L27" s="59"/>
      <c r="M27" s="59"/>
      <c r="N27" s="59"/>
      <c r="O27" s="59"/>
      <c r="P27" s="59"/>
      <c r="Q27" s="59"/>
      <c r="R27" s="60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</row>
    <row r="28" ht="30.0" customHeight="1">
      <c r="A28" s="63" t="s">
        <v>151</v>
      </c>
      <c r="B28" s="50">
        <v>24.0</v>
      </c>
      <c r="C28" s="53" t="s">
        <v>25</v>
      </c>
      <c r="D28" s="53" t="s">
        <v>57</v>
      </c>
      <c r="E28" s="53" t="s">
        <v>82</v>
      </c>
      <c r="F28" s="53" t="s">
        <v>90</v>
      </c>
      <c r="G28" s="56" t="str">
        <f t="shared" si="1"/>
        <v>крылья Туш. кап.</v>
      </c>
      <c r="H28" s="58" t="s">
        <v>1</v>
      </c>
      <c r="I28" s="16" t="str">
        <f>IFERROR(__xludf.DUMMYFUNCTION("""COMPUTED_VALUE"""),"Баса Туш. кап.")</f>
        <v>Баса Туш. кап.</v>
      </c>
      <c r="J28" s="59">
        <f>IFERROR(__xludf.DUMMYFUNCTION("""COMPUTED_VALUE"""),1.0)</f>
        <v>1</v>
      </c>
      <c r="K28" s="59" t="str">
        <f>IFERROR(__xludf.DUMMYFUNCTION("""COMPUTED_VALUE"""),"Олимп")</f>
        <v>Олимп</v>
      </c>
      <c r="L28" s="59"/>
      <c r="M28" s="59"/>
      <c r="N28" s="59"/>
      <c r="O28" s="59"/>
      <c r="P28" s="59"/>
      <c r="Q28" s="59"/>
      <c r="R28" s="60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</row>
    <row r="29" ht="30.0" customHeight="1">
      <c r="A29" s="49" t="s">
        <v>153</v>
      </c>
      <c r="B29" s="50">
        <v>25.0</v>
      </c>
      <c r="C29" s="53" t="s">
        <v>25</v>
      </c>
      <c r="D29" s="53" t="s">
        <v>50</v>
      </c>
      <c r="E29" s="53" t="s">
        <v>73</v>
      </c>
      <c r="F29" s="65"/>
      <c r="G29" s="56" t="str">
        <f t="shared" si="1"/>
        <v>Бл. твор </v>
      </c>
      <c r="H29" s="58" t="s">
        <v>1</v>
      </c>
      <c r="I29" s="16" t="str">
        <f>IFERROR(__xludf.DUMMYFUNCTION("""COMPUTED_VALUE"""),"Бл. мясо ")</f>
        <v>Бл. мясо </v>
      </c>
      <c r="J29" s="16">
        <f>IFERROR(__xludf.DUMMYFUNCTION("""COMPUTED_VALUE"""),6.0)</f>
        <v>6</v>
      </c>
      <c r="K29" s="16" t="str">
        <f>IFERROR(__xludf.DUMMYFUNCTION("""COMPUTED_VALUE"""),"Олимп")</f>
        <v>Олимп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ht="30.0" customHeight="1">
      <c r="A30" s="49" t="s">
        <v>155</v>
      </c>
      <c r="B30" s="50">
        <v>26.0</v>
      </c>
      <c r="C30" s="53"/>
      <c r="D30" s="65" t="s">
        <v>59</v>
      </c>
      <c r="E30" s="53" t="s">
        <v>73</v>
      </c>
      <c r="F30" s="65"/>
      <c r="G30" s="56" t="str">
        <f t="shared" si="1"/>
        <v>Бл. твор </v>
      </c>
      <c r="H30" s="58" t="s">
        <v>1</v>
      </c>
      <c r="I30" s="16" t="str">
        <f>IFERROR(__xludf.DUMMYFUNCTION("""COMPUTED_VALUE"""),"Бл. мясо MP ")</f>
        <v>Бл. мясо MP </v>
      </c>
      <c r="J30" s="16">
        <f>IFERROR(__xludf.DUMMYFUNCTION("""COMPUTED_VALUE"""),1.0)</f>
        <v>1</v>
      </c>
      <c r="K30" s="16" t="str">
        <f>IFERROR(__xludf.DUMMYFUNCTION("""COMPUTED_VALUE"""),"Олимп")</f>
        <v>Олимп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ht="30.0" customHeight="1">
      <c r="A31" s="63" t="s">
        <v>158</v>
      </c>
      <c r="B31" s="50">
        <v>27.0</v>
      </c>
      <c r="C31" s="53" t="s">
        <v>28</v>
      </c>
      <c r="D31" s="65" t="s">
        <v>48</v>
      </c>
      <c r="E31" s="53" t="s">
        <v>85</v>
      </c>
      <c r="F31" s="65"/>
      <c r="G31" s="56" t="str">
        <f t="shared" si="1"/>
        <v>Поперечка </v>
      </c>
      <c r="H31" s="58" t="s">
        <v>1</v>
      </c>
      <c r="I31" s="16" t="str">
        <f>IFERROR(__xludf.DUMMYFUNCTION("""COMPUTED_VALUE"""),"Бл. мясо Туш. кап.")</f>
        <v>Бл. мясо Туш. кап.</v>
      </c>
      <c r="J31" s="16">
        <f>IFERROR(__xludf.DUMMYFUNCTION("""COMPUTED_VALUE"""),1.0)</f>
        <v>1</v>
      </c>
      <c r="K31" s="16" t="str">
        <f>IFERROR(__xludf.DUMMYFUNCTION("""COMPUTED_VALUE"""),"Олимп")</f>
        <v>Олимп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ht="30.0" customHeight="1">
      <c r="A32" s="49" t="s">
        <v>128</v>
      </c>
      <c r="B32" s="50">
        <v>28.0</v>
      </c>
      <c r="C32" s="53" t="s">
        <v>20</v>
      </c>
      <c r="D32" s="53" t="s">
        <v>57</v>
      </c>
      <c r="E32" s="53" t="s">
        <v>94</v>
      </c>
      <c r="F32" s="53"/>
      <c r="G32" s="56" t="str">
        <f t="shared" si="1"/>
        <v>Чалахач </v>
      </c>
      <c r="H32" s="58" t="s">
        <v>1</v>
      </c>
      <c r="I32" s="16" t="str">
        <f>IFERROR(__xludf.DUMMYFUNCTION("""COMPUTED_VALUE"""),"Бл. твор ")</f>
        <v>Бл. твор </v>
      </c>
      <c r="J32" s="16">
        <f>IFERROR(__xludf.DUMMYFUNCTION("""COMPUTED_VALUE"""),8.0)</f>
        <v>8</v>
      </c>
      <c r="K32" s="16" t="str">
        <f>IFERROR(__xludf.DUMMYFUNCTION("""COMPUTED_VALUE"""),"Олимп")</f>
        <v>Олимп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ht="30.0" customHeight="1">
      <c r="A33" s="49" t="s">
        <v>130</v>
      </c>
      <c r="B33" s="50">
        <v>29.0</v>
      </c>
      <c r="C33" s="53" t="s">
        <v>45</v>
      </c>
      <c r="D33" s="53" t="s">
        <v>48</v>
      </c>
      <c r="E33" s="53" t="s">
        <v>63</v>
      </c>
      <c r="F33" s="53" t="s">
        <v>64</v>
      </c>
      <c r="G33" s="56" t="str">
        <f t="shared" si="1"/>
        <v>Баса  FF</v>
      </c>
      <c r="H33" s="58" t="s">
        <v>1</v>
      </c>
      <c r="I33" s="16" t="str">
        <f>IFERROR(__xludf.DUMMYFUNCTION("""COMPUTED_VALUE"""),"Вар.Кар ")</f>
        <v>Вар.Кар </v>
      </c>
      <c r="J33" s="16">
        <f>IFERROR(__xludf.DUMMYFUNCTION("""COMPUTED_VALUE"""),6.0)</f>
        <v>6</v>
      </c>
      <c r="K33" s="16" t="str">
        <f>IFERROR(__xludf.DUMMYFUNCTION("""COMPUTED_VALUE"""),"Олимп")</f>
        <v>Олимп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ht="30.0" customHeight="1">
      <c r="A34" s="94" t="s">
        <v>164</v>
      </c>
      <c r="B34" s="50">
        <v>30.0</v>
      </c>
      <c r="C34" s="53" t="s">
        <v>45</v>
      </c>
      <c r="D34" s="65" t="s">
        <v>55</v>
      </c>
      <c r="E34" s="53" t="s">
        <v>65</v>
      </c>
      <c r="F34" s="65"/>
      <c r="G34" s="56" t="str">
        <f t="shared" si="1"/>
        <v>Вар.Кар </v>
      </c>
      <c r="H34" s="58" t="s">
        <v>1</v>
      </c>
      <c r="I34" s="16" t="str">
        <f>IFERROR(__xludf.DUMMYFUNCTION("""COMPUTED_VALUE"""),"Вар.Кар Картошка")</f>
        <v>Вар.Кар Картошка</v>
      </c>
      <c r="J34" s="16">
        <f>IFERROR(__xludf.DUMMYFUNCTION("""COMPUTED_VALUE"""),2.0)</f>
        <v>2</v>
      </c>
      <c r="K34" s="16" t="str">
        <f>IFERROR(__xludf.DUMMYFUNCTION("""COMPUTED_VALUE"""),"Олимп")</f>
        <v>Олимп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ht="30.0" customHeight="1">
      <c r="A35" s="75" t="s">
        <v>168</v>
      </c>
      <c r="B35" s="50">
        <v>31.0</v>
      </c>
      <c r="C35" s="53" t="s">
        <v>25</v>
      </c>
      <c r="D35" s="53" t="s">
        <v>50</v>
      </c>
      <c r="E35" s="53" t="s">
        <v>80</v>
      </c>
      <c r="F35" s="65" t="s">
        <v>68</v>
      </c>
      <c r="G35" s="56" t="str">
        <f t="shared" si="1"/>
        <v>Котл. кур Картошка</v>
      </c>
      <c r="H35" s="58" t="s">
        <v>1</v>
      </c>
      <c r="I35" s="59" t="str">
        <f>IFERROR(__xludf.DUMMYFUNCTION("""COMPUTED_VALUE"""),"Голубцы Картошка")</f>
        <v>Голубцы Картошка</v>
      </c>
      <c r="J35" s="59">
        <f>IFERROR(__xludf.DUMMYFUNCTION("""COMPUTED_VALUE"""),1.0)</f>
        <v>1</v>
      </c>
      <c r="K35" s="59" t="str">
        <f>IFERROR(__xludf.DUMMYFUNCTION("""COMPUTED_VALUE"""),"Олимп")</f>
        <v>Олимп</v>
      </c>
      <c r="L35" s="59"/>
      <c r="M35" s="59"/>
      <c r="N35" s="59"/>
      <c r="O35" s="59"/>
      <c r="P35" s="59"/>
      <c r="Q35" s="59"/>
      <c r="R35" s="60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</row>
    <row r="36" ht="30.0" customHeight="1">
      <c r="A36" s="75" t="s">
        <v>171</v>
      </c>
      <c r="B36" s="50">
        <v>32.0</v>
      </c>
      <c r="C36" s="53" t="s">
        <v>40</v>
      </c>
      <c r="D36" s="53" t="s">
        <v>50</v>
      </c>
      <c r="E36" s="53" t="s">
        <v>73</v>
      </c>
      <c r="F36" s="53"/>
      <c r="G36" s="56" t="str">
        <f t="shared" si="1"/>
        <v>Бл. твор </v>
      </c>
      <c r="H36" s="58" t="s">
        <v>1</v>
      </c>
      <c r="I36" s="59" t="str">
        <f>IFERROR(__xludf.DUMMYFUNCTION("""COMPUTED_VALUE"""),"Голубцы Туш. кап.")</f>
        <v>Голубцы Туш. кап.</v>
      </c>
      <c r="J36" s="59">
        <f>IFERROR(__xludf.DUMMYFUNCTION("""COMPUTED_VALUE"""),1.0)</f>
        <v>1</v>
      </c>
      <c r="K36" s="59" t="str">
        <f>IFERROR(__xludf.DUMMYFUNCTION("""COMPUTED_VALUE"""),"Олимп")</f>
        <v>Олимп</v>
      </c>
      <c r="L36" s="59"/>
      <c r="M36" s="59"/>
      <c r="N36" s="59"/>
      <c r="O36" s="59"/>
      <c r="P36" s="59"/>
      <c r="Q36" s="59"/>
      <c r="R36" s="60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</row>
    <row r="37" ht="30.0" customHeight="1">
      <c r="A37" s="75" t="s">
        <v>175</v>
      </c>
      <c r="B37" s="50">
        <v>33.0</v>
      </c>
      <c r="C37" s="53" t="s">
        <v>25</v>
      </c>
      <c r="D37" s="65" t="s">
        <v>50</v>
      </c>
      <c r="E37" s="53" t="s">
        <v>78</v>
      </c>
      <c r="F37" s="53"/>
      <c r="G37" s="56" t="str">
        <f t="shared" si="1"/>
        <v>Жульен </v>
      </c>
      <c r="H37" s="58" t="s">
        <v>1</v>
      </c>
      <c r="I37" s="59" t="str">
        <f>IFERROR(__xludf.DUMMYFUNCTION("""COMPUTED_VALUE"""),"Гуляш ")</f>
        <v>Гуляш </v>
      </c>
      <c r="J37" s="59">
        <f>IFERROR(__xludf.DUMMYFUNCTION("""COMPUTED_VALUE"""),1.0)</f>
        <v>1</v>
      </c>
      <c r="K37" s="59" t="str">
        <f>IFERROR(__xludf.DUMMYFUNCTION("""COMPUTED_VALUE"""),"Олимп")</f>
        <v>Олимп</v>
      </c>
      <c r="L37" s="59"/>
      <c r="M37" s="59"/>
      <c r="N37" s="59"/>
      <c r="O37" s="59"/>
      <c r="P37" s="59"/>
      <c r="Q37" s="59"/>
      <c r="R37" s="60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 ht="30.0" customHeight="1">
      <c r="A38" s="75" t="s">
        <v>179</v>
      </c>
      <c r="B38" s="50">
        <v>34.0</v>
      </c>
      <c r="C38" s="53" t="s">
        <v>40</v>
      </c>
      <c r="D38" s="53" t="s">
        <v>57</v>
      </c>
      <c r="E38" s="53" t="s">
        <v>65</v>
      </c>
      <c r="F38" s="53"/>
      <c r="G38" s="56" t="str">
        <f t="shared" si="1"/>
        <v>Вар.Кар </v>
      </c>
      <c r="H38" s="58" t="s">
        <v>1</v>
      </c>
      <c r="I38" s="59" t="str">
        <f>IFERROR(__xludf.DUMMYFUNCTION("""COMPUTED_VALUE"""),"Дорадо ")</f>
        <v>Дорадо </v>
      </c>
      <c r="J38" s="59">
        <f>IFERROR(__xludf.DUMMYFUNCTION("""COMPUTED_VALUE"""),1.0)</f>
        <v>1</v>
      </c>
      <c r="K38" s="59" t="str">
        <f>IFERROR(__xludf.DUMMYFUNCTION("""COMPUTED_VALUE"""),"Олимп")</f>
        <v>Олимп</v>
      </c>
      <c r="L38" s="59"/>
      <c r="M38" s="59"/>
      <c r="N38" s="59"/>
      <c r="O38" s="59"/>
      <c r="P38" s="59"/>
      <c r="Q38" s="59"/>
      <c r="R38" s="60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ht="30.0" customHeight="1">
      <c r="A39" s="49" t="s">
        <v>182</v>
      </c>
      <c r="B39" s="50">
        <v>35.0</v>
      </c>
      <c r="C39" s="53" t="s">
        <v>35</v>
      </c>
      <c r="D39" s="53" t="s">
        <v>50</v>
      </c>
      <c r="E39" s="53" t="s">
        <v>76</v>
      </c>
      <c r="F39" s="65"/>
      <c r="G39" s="56" t="str">
        <f t="shared" si="1"/>
        <v>Гуляш </v>
      </c>
      <c r="H39" s="58" t="s">
        <v>1</v>
      </c>
      <c r="I39" s="59" t="str">
        <f>IFERROR(__xludf.DUMMYFUNCTION("""COMPUTED_VALUE"""),"Жульен ")</f>
        <v>Жульен </v>
      </c>
      <c r="J39" s="59">
        <f>IFERROR(__xludf.DUMMYFUNCTION("""COMPUTED_VALUE"""),2.0)</f>
        <v>2</v>
      </c>
      <c r="K39" s="59" t="str">
        <f>IFERROR(__xludf.DUMMYFUNCTION("""COMPUTED_VALUE"""),"Олимп")</f>
        <v>Олимп</v>
      </c>
      <c r="L39" s="59"/>
      <c r="M39" s="59"/>
      <c r="N39" s="59"/>
      <c r="O39" s="59"/>
      <c r="P39" s="59"/>
      <c r="Q39" s="59"/>
      <c r="R39" s="60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</row>
    <row r="40" ht="30.0" customHeight="1">
      <c r="A40" s="63" t="s">
        <v>140</v>
      </c>
      <c r="B40" s="50">
        <v>36.0</v>
      </c>
      <c r="C40" s="53" t="s">
        <v>31</v>
      </c>
      <c r="D40" s="53" t="s">
        <v>57</v>
      </c>
      <c r="E40" s="53" t="s">
        <v>67</v>
      </c>
      <c r="F40" s="65" t="s">
        <v>117</v>
      </c>
      <c r="G40" s="56" t="str">
        <f t="shared" si="1"/>
        <v>S   Фасоль</v>
      </c>
      <c r="H40" s="58" t="s">
        <v>1</v>
      </c>
      <c r="I40" s="59" t="str">
        <f>IFERROR(__xludf.DUMMYFUNCTION("""COMPUTED_VALUE"""),"Жульен Картошка")</f>
        <v>Жульен Картошка</v>
      </c>
      <c r="J40" s="59">
        <f>IFERROR(__xludf.DUMMYFUNCTION("""COMPUTED_VALUE"""),1.0)</f>
        <v>1</v>
      </c>
      <c r="K40" s="59" t="str">
        <f>IFERROR(__xludf.DUMMYFUNCTION("""COMPUTED_VALUE"""),"Олимп")</f>
        <v>Олимп</v>
      </c>
      <c r="L40" s="59"/>
      <c r="M40" s="59"/>
      <c r="N40" s="59"/>
      <c r="O40" s="59"/>
      <c r="P40" s="59"/>
      <c r="Q40" s="59"/>
      <c r="R40" s="60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</row>
    <row r="41" ht="30.0" customHeight="1">
      <c r="A41" s="75" t="s">
        <v>188</v>
      </c>
      <c r="B41" s="50">
        <v>37.0</v>
      </c>
      <c r="C41" s="53" t="s">
        <v>25</v>
      </c>
      <c r="D41" s="53" t="s">
        <v>48</v>
      </c>
      <c r="E41" s="53" t="s">
        <v>73</v>
      </c>
      <c r="F41" s="53"/>
      <c r="G41" s="56" t="str">
        <f t="shared" si="1"/>
        <v>Бл. твор </v>
      </c>
      <c r="H41" s="58" t="s">
        <v>1</v>
      </c>
      <c r="I41" s="59" t="str">
        <f>IFERROR(__xludf.DUMMYFUNCTION("""COMPUTED_VALUE"""),"Жульен Паста  ")</f>
        <v>Жульен Паста  </v>
      </c>
      <c r="J41" s="59">
        <f>IFERROR(__xludf.DUMMYFUNCTION("""COMPUTED_VALUE"""),1.0)</f>
        <v>1</v>
      </c>
      <c r="K41" s="59" t="str">
        <f>IFERROR(__xludf.DUMMYFUNCTION("""COMPUTED_VALUE"""),"Олимп")</f>
        <v>Олимп</v>
      </c>
      <c r="L41" s="59"/>
      <c r="M41" s="59"/>
      <c r="N41" s="59"/>
      <c r="O41" s="59"/>
      <c r="P41" s="59"/>
      <c r="Q41" s="59"/>
      <c r="R41" s="60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</row>
    <row r="42" ht="30.0" customHeight="1">
      <c r="A42" s="75" t="s">
        <v>190</v>
      </c>
      <c r="B42" s="50">
        <v>38.0</v>
      </c>
      <c r="C42" s="53" t="s">
        <v>20</v>
      </c>
      <c r="D42" s="53" t="s">
        <v>59</v>
      </c>
      <c r="E42" s="53" t="s">
        <v>71</v>
      </c>
      <c r="F42" s="53" t="s">
        <v>90</v>
      </c>
      <c r="G42" s="56" t="str">
        <f t="shared" si="1"/>
        <v>Бл. мясо Туш. кап.</v>
      </c>
      <c r="H42" s="58" t="s">
        <v>1</v>
      </c>
      <c r="I42" s="59" t="str">
        <f>IFERROR(__xludf.DUMMYFUNCTION("""COMPUTED_VALUE"""),"Жульен Фасоль")</f>
        <v>Жульен Фасоль</v>
      </c>
      <c r="J42" s="59">
        <f>IFERROR(__xludf.DUMMYFUNCTION("""COMPUTED_VALUE"""),1.0)</f>
        <v>1</v>
      </c>
      <c r="K42" s="59" t="str">
        <f>IFERROR(__xludf.DUMMYFUNCTION("""COMPUTED_VALUE"""),"Олимп")</f>
        <v>Олимп</v>
      </c>
      <c r="L42" s="59"/>
      <c r="M42" s="59"/>
      <c r="N42" s="59"/>
      <c r="O42" s="59"/>
      <c r="P42" s="59"/>
      <c r="Q42" s="59"/>
      <c r="R42" s="60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</row>
    <row r="43" ht="30.0" customHeight="1">
      <c r="A43" s="99" t="s">
        <v>194</v>
      </c>
      <c r="B43" s="50">
        <v>39.0</v>
      </c>
      <c r="C43" s="53" t="s">
        <v>33</v>
      </c>
      <c r="D43" s="53" t="s">
        <v>57</v>
      </c>
      <c r="E43" s="53" t="s">
        <v>88</v>
      </c>
      <c r="F43" s="53" t="s">
        <v>90</v>
      </c>
      <c r="G43" s="56" t="str">
        <f t="shared" si="1"/>
        <v>Св. отбив   Туш. кап.</v>
      </c>
      <c r="H43" s="58" t="s">
        <v>1</v>
      </c>
      <c r="I43" s="59" t="str">
        <f>IFERROR(__xludf.DUMMYFUNCTION("""COMPUTED_VALUE"""),"Котл. кур ")</f>
        <v>Котл. кур </v>
      </c>
      <c r="J43" s="59">
        <f>IFERROR(__xludf.DUMMYFUNCTION("""COMPUTED_VALUE"""),1.0)</f>
        <v>1</v>
      </c>
      <c r="K43" s="59" t="str">
        <f>IFERROR(__xludf.DUMMYFUNCTION("""COMPUTED_VALUE"""),"Олимп")</f>
        <v>Олимп</v>
      </c>
      <c r="L43" s="59"/>
      <c r="M43" s="59"/>
      <c r="N43" s="59"/>
      <c r="O43" s="59"/>
      <c r="P43" s="59"/>
      <c r="Q43" s="59"/>
      <c r="R43" s="60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</row>
    <row r="44" ht="30.0" customHeight="1">
      <c r="A44" s="102" t="s">
        <v>198</v>
      </c>
      <c r="B44" s="50">
        <v>40.0</v>
      </c>
      <c r="C44" s="53" t="s">
        <v>40</v>
      </c>
      <c r="D44" s="53" t="s">
        <v>50</v>
      </c>
      <c r="E44" s="53" t="s">
        <v>75</v>
      </c>
      <c r="F44" s="53" t="s">
        <v>68</v>
      </c>
      <c r="G44" s="56" t="str">
        <f t="shared" si="1"/>
        <v>Голубцы Картошка</v>
      </c>
      <c r="H44" s="58" t="s">
        <v>1</v>
      </c>
      <c r="I44" s="59" t="str">
        <f>IFERROR(__xludf.DUMMYFUNCTION("""COMPUTED_VALUE"""),"Котл. кур Гр  ")</f>
        <v>Котл. кур Гр  </v>
      </c>
      <c r="J44" s="59">
        <f>IFERROR(__xludf.DUMMYFUNCTION("""COMPUTED_VALUE"""),1.0)</f>
        <v>1</v>
      </c>
      <c r="K44" s="59" t="str">
        <f>IFERROR(__xludf.DUMMYFUNCTION("""COMPUTED_VALUE"""),"Олимп")</f>
        <v>Олимп</v>
      </c>
      <c r="L44" s="59"/>
      <c r="M44" s="59"/>
      <c r="N44" s="59"/>
      <c r="O44" s="59"/>
      <c r="P44" s="59"/>
      <c r="Q44" s="59"/>
      <c r="R44" s="60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ht="30.0" customHeight="1">
      <c r="A45" s="99" t="s">
        <v>200</v>
      </c>
      <c r="B45" s="50">
        <v>41.0</v>
      </c>
      <c r="C45" s="53" t="s">
        <v>31</v>
      </c>
      <c r="D45" s="53" t="s">
        <v>50</v>
      </c>
      <c r="E45" s="53" t="s">
        <v>65</v>
      </c>
      <c r="F45" s="65"/>
      <c r="G45" s="56" t="str">
        <f t="shared" si="1"/>
        <v>Вар.Кар </v>
      </c>
      <c r="H45" s="58" t="s">
        <v>1</v>
      </c>
      <c r="I45" s="59" t="str">
        <f>IFERROR(__xludf.DUMMYFUNCTION("""COMPUTED_VALUE"""),"Котл. кур Картошка")</f>
        <v>Котл. кур Картошка</v>
      </c>
      <c r="J45" s="59">
        <f>IFERROR(__xludf.DUMMYFUNCTION("""COMPUTED_VALUE"""),1.0)</f>
        <v>1</v>
      </c>
      <c r="K45" s="59" t="str">
        <f>IFERROR(__xludf.DUMMYFUNCTION("""COMPUTED_VALUE"""),"Олимп")</f>
        <v>Олимп</v>
      </c>
      <c r="L45" s="59"/>
      <c r="M45" s="59"/>
      <c r="N45" s="59"/>
      <c r="O45" s="59"/>
      <c r="P45" s="59"/>
      <c r="Q45" s="59"/>
      <c r="R45" s="60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ht="30.0" customHeight="1">
      <c r="A46" s="75" t="s">
        <v>206</v>
      </c>
      <c r="B46" s="50">
        <v>42.0</v>
      </c>
      <c r="C46" s="53" t="s">
        <v>35</v>
      </c>
      <c r="D46" s="53" t="s">
        <v>55</v>
      </c>
      <c r="E46" s="65" t="s">
        <v>71</v>
      </c>
      <c r="F46" s="53" t="s">
        <v>111</v>
      </c>
      <c r="G46" s="56" t="str">
        <f t="shared" si="1"/>
        <v>Бл. мясо MP </v>
      </c>
      <c r="H46" s="58" t="s">
        <v>1</v>
      </c>
      <c r="I46" s="59" t="str">
        <f>IFERROR(__xludf.DUMMYFUNCTION("""COMPUTED_VALUE"""),"Котл. кур Туш. кап.")</f>
        <v>Котл. кур Туш. кап.</v>
      </c>
      <c r="J46" s="59">
        <f>IFERROR(__xludf.DUMMYFUNCTION("""COMPUTED_VALUE"""),1.0)</f>
        <v>1</v>
      </c>
      <c r="K46" s="59" t="str">
        <f>IFERROR(__xludf.DUMMYFUNCTION("""COMPUTED_VALUE"""),"Олимп")</f>
        <v>Олимп</v>
      </c>
      <c r="L46" s="59"/>
      <c r="M46" s="59"/>
      <c r="N46" s="59"/>
      <c r="O46" s="59"/>
      <c r="P46" s="59"/>
      <c r="Q46" s="59"/>
      <c r="R46" s="60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 ht="30.0" customHeight="1">
      <c r="A47" s="75" t="s">
        <v>209</v>
      </c>
      <c r="B47" s="50">
        <v>43.0</v>
      </c>
      <c r="C47" s="53" t="s">
        <v>25</v>
      </c>
      <c r="D47" s="53" t="s">
        <v>61</v>
      </c>
      <c r="E47" s="53" t="s">
        <v>71</v>
      </c>
      <c r="F47" s="65"/>
      <c r="G47" s="56" t="str">
        <f t="shared" si="1"/>
        <v>Бл. мясо </v>
      </c>
      <c r="H47" s="58" t="s">
        <v>1</v>
      </c>
      <c r="I47" s="59" t="str">
        <f>IFERROR(__xludf.DUMMYFUNCTION("""COMPUTED_VALUE"""),"Пельмени ")</f>
        <v>Пельмени </v>
      </c>
      <c r="J47" s="59">
        <f>IFERROR(__xludf.DUMMYFUNCTION("""COMPUTED_VALUE"""),2.0)</f>
        <v>2</v>
      </c>
      <c r="K47" s="59" t="str">
        <f>IFERROR(__xludf.DUMMYFUNCTION("""COMPUTED_VALUE"""),"Олимп")</f>
        <v>Олимп</v>
      </c>
      <c r="L47" s="59"/>
      <c r="M47" s="59"/>
      <c r="N47" s="59"/>
      <c r="O47" s="59"/>
      <c r="P47" s="59"/>
      <c r="Q47" s="59"/>
      <c r="R47" s="60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ht="30.0" customHeight="1">
      <c r="A48" s="75" t="s">
        <v>213</v>
      </c>
      <c r="B48" s="50">
        <v>44.0</v>
      </c>
      <c r="C48" s="53" t="s">
        <v>25</v>
      </c>
      <c r="D48" s="53" t="s">
        <v>48</v>
      </c>
      <c r="E48" s="65" t="s">
        <v>71</v>
      </c>
      <c r="F48" s="53"/>
      <c r="G48" s="56" t="str">
        <f t="shared" si="1"/>
        <v>Бл. мясо </v>
      </c>
      <c r="H48" s="58" t="s">
        <v>1</v>
      </c>
      <c r="I48" s="59" t="str">
        <f>IFERROR(__xludf.DUMMYFUNCTION("""COMPUTED_VALUE"""),"Поперечка ")</f>
        <v>Поперечка </v>
      </c>
      <c r="J48" s="59">
        <f>IFERROR(__xludf.DUMMYFUNCTION("""COMPUTED_VALUE"""),2.0)</f>
        <v>2</v>
      </c>
      <c r="K48" s="59" t="str">
        <f>IFERROR(__xludf.DUMMYFUNCTION("""COMPUTED_VALUE"""),"Олимп")</f>
        <v>Олимп</v>
      </c>
      <c r="L48" s="59"/>
      <c r="M48" s="59"/>
      <c r="N48" s="59"/>
      <c r="O48" s="59"/>
      <c r="P48" s="59"/>
      <c r="Q48" s="59"/>
      <c r="R48" s="60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 ht="30.0" customHeight="1">
      <c r="A49" s="70" t="s">
        <v>217</v>
      </c>
      <c r="B49" s="50">
        <v>45.0</v>
      </c>
      <c r="C49" s="65" t="s">
        <v>20</v>
      </c>
      <c r="D49" s="105" t="s">
        <v>59</v>
      </c>
      <c r="E49" s="65" t="s">
        <v>73</v>
      </c>
      <c r="F49" s="53"/>
      <c r="G49" s="56" t="str">
        <f t="shared" si="1"/>
        <v>Бл. твор </v>
      </c>
      <c r="H49" s="58" t="s">
        <v>1</v>
      </c>
      <c r="I49" s="59" t="str">
        <f>IFERROR(__xludf.DUMMYFUNCTION("""COMPUTED_VALUE"""),"Св. отбив   Паста  ")</f>
        <v>Св. отбив   Паста  </v>
      </c>
      <c r="J49" s="59">
        <f>IFERROR(__xludf.DUMMYFUNCTION("""COMPUTED_VALUE"""),1.0)</f>
        <v>1</v>
      </c>
      <c r="K49" s="59" t="str">
        <f>IFERROR(__xludf.DUMMYFUNCTION("""COMPUTED_VALUE"""),"Олимп")</f>
        <v>Олимп</v>
      </c>
      <c r="L49" s="59"/>
      <c r="M49" s="59"/>
      <c r="N49" s="59"/>
      <c r="O49" s="59"/>
      <c r="P49" s="59"/>
      <c r="Q49" s="59"/>
      <c r="R49" s="60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ht="30.0" customHeight="1">
      <c r="A50" s="63" t="s">
        <v>219</v>
      </c>
      <c r="B50" s="50">
        <v>46.0</v>
      </c>
      <c r="C50" s="53" t="s">
        <v>28</v>
      </c>
      <c r="D50" s="53" t="s">
        <v>52</v>
      </c>
      <c r="E50" s="53" t="s">
        <v>94</v>
      </c>
      <c r="F50" s="53" t="s">
        <v>64</v>
      </c>
      <c r="G50" s="56" t="str">
        <f t="shared" si="1"/>
        <v>Чалахач  FF</v>
      </c>
      <c r="H50" s="58" t="s">
        <v>1</v>
      </c>
      <c r="I50" s="59" t="str">
        <f>IFERROR(__xludf.DUMMYFUNCTION("""COMPUTED_VALUE"""),"Св. отбив   Туш. кап.")</f>
        <v>Св. отбив   Туш. кап.</v>
      </c>
      <c r="J50" s="59">
        <f>IFERROR(__xludf.DUMMYFUNCTION("""COMPUTED_VALUE"""),3.0)</f>
        <v>3</v>
      </c>
      <c r="K50" s="59" t="str">
        <f>IFERROR(__xludf.DUMMYFUNCTION("""COMPUTED_VALUE"""),"Олимп")</f>
        <v>Олимп</v>
      </c>
      <c r="L50" s="59"/>
      <c r="M50" s="59"/>
      <c r="N50" s="59"/>
      <c r="O50" s="59"/>
      <c r="P50" s="59"/>
      <c r="Q50" s="59"/>
      <c r="R50" s="60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 ht="30.0" customHeight="1">
      <c r="A51" s="63" t="s">
        <v>173</v>
      </c>
      <c r="B51" s="50">
        <v>47.0</v>
      </c>
      <c r="C51" s="53" t="s">
        <v>33</v>
      </c>
      <c r="D51" s="53" t="s">
        <v>50</v>
      </c>
      <c r="E51" s="53" t="s">
        <v>65</v>
      </c>
      <c r="F51" s="53"/>
      <c r="G51" s="56" t="str">
        <f t="shared" si="1"/>
        <v>Вар.Кар </v>
      </c>
      <c r="H51" s="58" t="s">
        <v>1</v>
      </c>
      <c r="I51" s="59" t="str">
        <f>IFERROR(__xludf.DUMMYFUNCTION("""COMPUTED_VALUE"""),"Чалахач ")</f>
        <v>Чалахач </v>
      </c>
      <c r="J51" s="59">
        <f>IFERROR(__xludf.DUMMYFUNCTION("""COMPUTED_VALUE"""),1.0)</f>
        <v>1</v>
      </c>
      <c r="K51" s="59" t="str">
        <f>IFERROR(__xludf.DUMMYFUNCTION("""COMPUTED_VALUE"""),"Олимп")</f>
        <v>Олимп</v>
      </c>
      <c r="L51" s="59"/>
      <c r="M51" s="59"/>
      <c r="N51" s="59"/>
      <c r="O51" s="59"/>
      <c r="P51" s="59"/>
      <c r="Q51" s="59"/>
      <c r="R51" s="60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ht="30.0" customHeight="1">
      <c r="A52" s="75" t="s">
        <v>229</v>
      </c>
      <c r="B52" s="50">
        <v>48.0</v>
      </c>
      <c r="C52" s="65" t="s">
        <v>45</v>
      </c>
      <c r="D52" s="53" t="s">
        <v>50</v>
      </c>
      <c r="E52" s="65" t="s">
        <v>78</v>
      </c>
      <c r="F52" s="53" t="s">
        <v>68</v>
      </c>
      <c r="G52" s="56" t="str">
        <f t="shared" si="1"/>
        <v>Жульен Картошка</v>
      </c>
      <c r="H52" s="58" t="s">
        <v>1</v>
      </c>
      <c r="I52" s="59" t="str">
        <f>IFERROR(__xludf.DUMMYFUNCTION("""COMPUTED_VALUE"""),"Чалахач  FF")</f>
        <v>Чалахач  FF</v>
      </c>
      <c r="J52" s="59">
        <f>IFERROR(__xludf.DUMMYFUNCTION("""COMPUTED_VALUE"""),1.0)</f>
        <v>1</v>
      </c>
      <c r="K52" s="59" t="str">
        <f>IFERROR(__xludf.DUMMYFUNCTION("""COMPUTED_VALUE"""),"Олимп")</f>
        <v>Олимп</v>
      </c>
      <c r="L52" s="59"/>
      <c r="M52" s="59"/>
      <c r="N52" s="59"/>
      <c r="O52" s="59"/>
      <c r="P52" s="59"/>
      <c r="Q52" s="59"/>
      <c r="R52" s="60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 ht="30.0" customHeight="1">
      <c r="A53" s="49" t="s">
        <v>233</v>
      </c>
      <c r="B53" s="50">
        <v>49.0</v>
      </c>
      <c r="C53" s="53" t="s">
        <v>28</v>
      </c>
      <c r="D53" s="53" t="s">
        <v>57</v>
      </c>
      <c r="E53" s="65" t="s">
        <v>73</v>
      </c>
      <c r="F53" s="65"/>
      <c r="G53" s="56" t="str">
        <f t="shared" si="1"/>
        <v>Бл. твор </v>
      </c>
      <c r="H53" s="58" t="s">
        <v>1</v>
      </c>
      <c r="I53" s="59" t="str">
        <f>IFERROR(__xludf.DUMMYFUNCTION("""COMPUTED_VALUE"""),"Чалахач Туш. кап.")</f>
        <v>Чалахач Туш. кап.</v>
      </c>
      <c r="J53" s="59">
        <f>IFERROR(__xludf.DUMMYFUNCTION("""COMPUTED_VALUE"""),2.0)</f>
        <v>2</v>
      </c>
      <c r="K53" s="59" t="str">
        <f>IFERROR(__xludf.DUMMYFUNCTION("""COMPUTED_VALUE"""),"Олимп")</f>
        <v>Олимп</v>
      </c>
      <c r="L53" s="59"/>
      <c r="M53" s="59"/>
      <c r="N53" s="59"/>
      <c r="O53" s="59"/>
      <c r="P53" s="59"/>
      <c r="Q53" s="59"/>
      <c r="R53" s="60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 ht="30.0" customHeight="1">
      <c r="A54" s="75" t="s">
        <v>196</v>
      </c>
      <c r="B54" s="50">
        <v>50.0</v>
      </c>
      <c r="C54" s="53" t="s">
        <v>40</v>
      </c>
      <c r="D54" s="53" t="s">
        <v>50</v>
      </c>
      <c r="E54" s="65" t="s">
        <v>78</v>
      </c>
      <c r="F54" s="107" t="s">
        <v>100</v>
      </c>
      <c r="G54" s="56" t="str">
        <f t="shared" si="1"/>
        <v>Жульен Паста  </v>
      </c>
      <c r="H54" s="58" t="s">
        <v>1</v>
      </c>
      <c r="I54" s="59" t="str">
        <f>IFERROR(__xludf.DUMMYFUNCTION("""COMPUTED_VALUE"""),"Шницель ")</f>
        <v>Шницель </v>
      </c>
      <c r="J54" s="59">
        <f>IFERROR(__xludf.DUMMYFUNCTION("""COMPUTED_VALUE"""),1.0)</f>
        <v>1</v>
      </c>
      <c r="K54" s="59" t="str">
        <f>IFERROR(__xludf.DUMMYFUNCTION("""COMPUTED_VALUE"""),"Олимп")</f>
        <v>Олимп</v>
      </c>
      <c r="L54" s="59"/>
      <c r="M54" s="59"/>
      <c r="N54" s="59"/>
      <c r="O54" s="59"/>
      <c r="P54" s="59"/>
      <c r="Q54" s="59"/>
      <c r="R54" s="60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ht="30.0" customHeight="1">
      <c r="A55" s="75" t="s">
        <v>240</v>
      </c>
      <c r="B55" s="50">
        <v>51.0</v>
      </c>
      <c r="C55" s="53" t="s">
        <v>45</v>
      </c>
      <c r="D55" s="53" t="s">
        <v>48</v>
      </c>
      <c r="E55" s="53" t="s">
        <v>80</v>
      </c>
      <c r="F55" s="108" t="s">
        <v>103</v>
      </c>
      <c r="G55" s="56" t="str">
        <f t="shared" si="1"/>
        <v>Котл. кур Гр  </v>
      </c>
      <c r="H55" s="58" t="s">
        <v>1</v>
      </c>
      <c r="I55" s="59" t="str">
        <f>IFERROR(__xludf.DUMMYFUNCTION("""COMPUTED_VALUE"""),"крылья ")</f>
        <v>крылья </v>
      </c>
      <c r="J55" s="59">
        <f>IFERROR(__xludf.DUMMYFUNCTION("""COMPUTED_VALUE"""),2.0)</f>
        <v>2</v>
      </c>
      <c r="K55" s="59" t="str">
        <f>IFERROR(__xludf.DUMMYFUNCTION("""COMPUTED_VALUE"""),"Олимп")</f>
        <v>Олимп</v>
      </c>
      <c r="L55" s="59"/>
      <c r="M55" s="59"/>
      <c r="N55" s="59"/>
      <c r="O55" s="59"/>
      <c r="P55" s="59"/>
      <c r="Q55" s="59"/>
      <c r="R55" s="6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ht="30.0" customHeight="1">
      <c r="A56" s="63" t="s">
        <v>245</v>
      </c>
      <c r="B56" s="50">
        <v>52.0</v>
      </c>
      <c r="C56" s="53" t="s">
        <v>40</v>
      </c>
      <c r="D56" s="53" t="s">
        <v>52</v>
      </c>
      <c r="E56" s="53" t="s">
        <v>71</v>
      </c>
      <c r="F56" s="53"/>
      <c r="G56" s="56" t="str">
        <f t="shared" si="1"/>
        <v>Бл. мясо </v>
      </c>
      <c r="H56" s="58" t="s">
        <v>1</v>
      </c>
      <c r="I56" s="59" t="str">
        <f>IFERROR(__xludf.DUMMYFUNCTION("""COMPUTED_VALUE"""),"крылья Туш. кап.")</f>
        <v>крылья Туш. кап.</v>
      </c>
      <c r="J56" s="59">
        <f>IFERROR(__xludf.DUMMYFUNCTION("""COMPUTED_VALUE"""),1.0)</f>
        <v>1</v>
      </c>
      <c r="K56" s="59" t="str">
        <f>IFERROR(__xludf.DUMMYFUNCTION("""COMPUTED_VALUE"""),"Олимп")</f>
        <v>Олимп</v>
      </c>
      <c r="L56" s="59"/>
      <c r="M56" s="59"/>
      <c r="N56" s="59"/>
      <c r="O56" s="59"/>
      <c r="P56" s="59"/>
      <c r="Q56" s="59"/>
      <c r="R56" s="60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 ht="30.0" customHeight="1">
      <c r="A57" s="75" t="s">
        <v>201</v>
      </c>
      <c r="B57" s="50">
        <v>53.0</v>
      </c>
      <c r="C57" s="53" t="s">
        <v>40</v>
      </c>
      <c r="D57" s="53" t="s">
        <v>50</v>
      </c>
      <c r="E57" s="65" t="s">
        <v>91</v>
      </c>
      <c r="F57" s="65" t="s">
        <v>68</v>
      </c>
      <c r="G57" s="56" t="str">
        <f t="shared" si="1"/>
        <v>табака  Картошка</v>
      </c>
      <c r="H57" s="58" t="s">
        <v>1</v>
      </c>
      <c r="I57" s="59" t="str">
        <f>IFERROR(__xludf.DUMMYFUNCTION("""COMPUTED_VALUE"""),"табака  ")</f>
        <v>табака  </v>
      </c>
      <c r="J57" s="59">
        <f>IFERROR(__xludf.DUMMYFUNCTION("""COMPUTED_VALUE"""),1.0)</f>
        <v>1</v>
      </c>
      <c r="K57" s="59" t="str">
        <f>IFERROR(__xludf.DUMMYFUNCTION("""COMPUTED_VALUE"""),"Олимп")</f>
        <v>Олимп</v>
      </c>
      <c r="L57" s="59"/>
      <c r="M57" s="59"/>
      <c r="N57" s="59"/>
      <c r="O57" s="59"/>
      <c r="P57" s="59"/>
      <c r="Q57" s="59"/>
      <c r="R57" s="60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ht="30.0" customHeight="1">
      <c r="A58" s="49" t="s">
        <v>252</v>
      </c>
      <c r="B58" s="50">
        <v>54.0</v>
      </c>
      <c r="C58" s="53" t="s">
        <v>31</v>
      </c>
      <c r="D58" s="53" t="s">
        <v>61</v>
      </c>
      <c r="E58" s="53" t="s">
        <v>88</v>
      </c>
      <c r="F58" s="53" t="s">
        <v>90</v>
      </c>
      <c r="G58" s="56" t="str">
        <f t="shared" si="1"/>
        <v>Св. отбив   Туш. кап.</v>
      </c>
      <c r="H58" s="58" t="s">
        <v>1</v>
      </c>
      <c r="I58" s="59" t="str">
        <f>IFERROR(__xludf.DUMMYFUNCTION("""COMPUTED_VALUE"""),"табака   FF")</f>
        <v>табака   FF</v>
      </c>
      <c r="J58" s="59">
        <f>IFERROR(__xludf.DUMMYFUNCTION("""COMPUTED_VALUE"""),1.0)</f>
        <v>1</v>
      </c>
      <c r="K58" s="59" t="str">
        <f>IFERROR(__xludf.DUMMYFUNCTION("""COMPUTED_VALUE"""),"Олимп")</f>
        <v>Олимп</v>
      </c>
      <c r="L58" s="59"/>
      <c r="M58" s="59"/>
      <c r="N58" s="59"/>
      <c r="O58" s="59"/>
      <c r="P58" s="59"/>
      <c r="Q58" s="59"/>
      <c r="R58" s="60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ht="30.0" customHeight="1">
      <c r="A59" s="75" t="s">
        <v>256</v>
      </c>
      <c r="B59" s="50">
        <v>55.0</v>
      </c>
      <c r="C59" s="53" t="s">
        <v>40</v>
      </c>
      <c r="D59" s="53" t="s">
        <v>55</v>
      </c>
      <c r="E59" s="53" t="s">
        <v>88</v>
      </c>
      <c r="F59" s="65" t="s">
        <v>90</v>
      </c>
      <c r="G59" s="56" t="str">
        <f t="shared" si="1"/>
        <v>Св. отбив   Туш. кап.</v>
      </c>
      <c r="H59" s="58" t="s">
        <v>1</v>
      </c>
      <c r="I59" s="59" t="str">
        <f>IFERROR(__xludf.DUMMYFUNCTION("""COMPUTED_VALUE"""),"табака  Картошка")</f>
        <v>табака  Картошка</v>
      </c>
      <c r="J59" s="59">
        <f>IFERROR(__xludf.DUMMYFUNCTION("""COMPUTED_VALUE"""),1.0)</f>
        <v>1</v>
      </c>
      <c r="K59" s="59" t="str">
        <f>IFERROR(__xludf.DUMMYFUNCTION("""COMPUTED_VALUE"""),"Олимп")</f>
        <v>Олимп</v>
      </c>
      <c r="L59" s="59"/>
      <c r="M59" s="59"/>
      <c r="N59" s="59"/>
      <c r="O59" s="59"/>
      <c r="P59" s="59"/>
      <c r="Q59" s="59"/>
      <c r="R59" s="60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ht="30.0" customHeight="1">
      <c r="A60" s="75" t="s">
        <v>259</v>
      </c>
      <c r="B60" s="50">
        <v>56.0</v>
      </c>
      <c r="C60" s="53" t="s">
        <v>25</v>
      </c>
      <c r="D60" s="53" t="s">
        <v>57</v>
      </c>
      <c r="E60" s="53" t="s">
        <v>77</v>
      </c>
      <c r="F60" s="65"/>
      <c r="G60" s="56" t="str">
        <f t="shared" si="1"/>
        <v>Дорадо </v>
      </c>
      <c r="H60" s="58" t="s">
        <v>1</v>
      </c>
      <c r="I60" s="59" t="str">
        <f>IFERROR(__xludf.DUMMYFUNCTION("""COMPUTED_VALUE"""),"табака  Паста  ")</f>
        <v>табака  Паста  </v>
      </c>
      <c r="J60" s="59">
        <f>IFERROR(__xludf.DUMMYFUNCTION("""COMPUTED_VALUE"""),1.0)</f>
        <v>1</v>
      </c>
      <c r="K60" s="59" t="str">
        <f>IFERROR(__xludf.DUMMYFUNCTION("""COMPUTED_VALUE"""),"Олимп")</f>
        <v>Олимп</v>
      </c>
      <c r="L60" s="59"/>
      <c r="M60" s="59"/>
      <c r="N60" s="59"/>
      <c r="O60" s="59"/>
      <c r="P60" s="59"/>
      <c r="Q60" s="59"/>
      <c r="R60" s="60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ht="30.0" customHeight="1">
      <c r="A61" s="75" t="s">
        <v>264</v>
      </c>
      <c r="B61" s="50">
        <v>57.0</v>
      </c>
      <c r="C61" s="53" t="s">
        <v>45</v>
      </c>
      <c r="D61" s="53" t="s">
        <v>50</v>
      </c>
      <c r="E61" s="53" t="s">
        <v>75</v>
      </c>
      <c r="F61" s="65" t="s">
        <v>90</v>
      </c>
      <c r="G61" s="56" t="str">
        <f t="shared" si="1"/>
        <v>Голубцы Туш. кап.</v>
      </c>
      <c r="H61" s="58" t="s">
        <v>1</v>
      </c>
      <c r="I61" s="59"/>
      <c r="J61" s="59"/>
      <c r="K61" s="59"/>
      <c r="L61" s="59"/>
      <c r="M61" s="59"/>
      <c r="N61" s="59"/>
      <c r="O61" s="59"/>
      <c r="P61" s="59"/>
      <c r="Q61" s="59"/>
      <c r="R61" s="60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 ht="30.0" customHeight="1">
      <c r="A62" s="63" t="s">
        <v>270</v>
      </c>
      <c r="B62" s="50">
        <v>58.0</v>
      </c>
      <c r="C62" s="53" t="s">
        <v>16</v>
      </c>
      <c r="D62" s="53" t="s">
        <v>57</v>
      </c>
      <c r="E62" s="53" t="s">
        <v>91</v>
      </c>
      <c r="F62" s="65"/>
      <c r="G62" s="56" t="str">
        <f t="shared" si="1"/>
        <v>табака  </v>
      </c>
      <c r="H62" s="58" t="s">
        <v>1</v>
      </c>
      <c r="I62" s="59"/>
      <c r="J62" s="59"/>
      <c r="K62" s="59"/>
      <c r="L62" s="59"/>
      <c r="M62" s="59"/>
      <c r="N62" s="59"/>
      <c r="O62" s="59"/>
      <c r="P62" s="59"/>
      <c r="Q62" s="59"/>
      <c r="R62" s="60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30.0" customHeight="1">
      <c r="A63" s="70" t="s">
        <v>275</v>
      </c>
      <c r="B63" s="50">
        <v>59.0</v>
      </c>
      <c r="C63" s="105" t="s">
        <v>16</v>
      </c>
      <c r="D63" s="105" t="s">
        <v>48</v>
      </c>
      <c r="E63" s="105" t="s">
        <v>91</v>
      </c>
      <c r="F63" s="105" t="s">
        <v>64</v>
      </c>
      <c r="G63" s="56" t="str">
        <f t="shared" si="1"/>
        <v>табака   FF</v>
      </c>
      <c r="H63" s="58" t="s">
        <v>1</v>
      </c>
      <c r="I63" s="59"/>
      <c r="J63" s="59"/>
      <c r="K63" s="59"/>
      <c r="L63" s="59"/>
      <c r="M63" s="59"/>
      <c r="N63" s="59"/>
      <c r="O63" s="59"/>
      <c r="P63" s="59"/>
      <c r="Q63" s="59"/>
      <c r="R63" s="60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ht="30.0" customHeight="1">
      <c r="A64" s="63" t="s">
        <v>282</v>
      </c>
      <c r="B64" s="50">
        <v>60.0</v>
      </c>
      <c r="C64" s="53" t="s">
        <v>40</v>
      </c>
      <c r="D64" s="53" t="s">
        <v>57</v>
      </c>
      <c r="E64" s="53" t="s">
        <v>71</v>
      </c>
      <c r="F64" s="65"/>
      <c r="G64" s="56" t="str">
        <f t="shared" si="1"/>
        <v>Бл. мясо </v>
      </c>
      <c r="H64" s="58" t="s">
        <v>1</v>
      </c>
      <c r="I64" s="59"/>
      <c r="J64" s="59"/>
      <c r="K64" s="59"/>
      <c r="L64" s="59"/>
      <c r="M64" s="59"/>
      <c r="N64" s="59"/>
      <c r="O64" s="59"/>
      <c r="P64" s="59"/>
      <c r="Q64" s="59"/>
      <c r="R64" s="60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ht="30.0" customHeight="1">
      <c r="A65" s="99" t="s">
        <v>290</v>
      </c>
      <c r="B65" s="50">
        <v>61.0</v>
      </c>
      <c r="C65" s="53" t="s">
        <v>31</v>
      </c>
      <c r="D65" s="53" t="s">
        <v>50</v>
      </c>
      <c r="E65" s="53" t="s">
        <v>71</v>
      </c>
      <c r="F65" s="53"/>
      <c r="G65" s="56" t="str">
        <f t="shared" si="1"/>
        <v>Бл. мясо </v>
      </c>
      <c r="H65" s="58" t="s">
        <v>1</v>
      </c>
      <c r="I65" s="117"/>
      <c r="J65" s="117"/>
      <c r="K65" s="117"/>
      <c r="L65" s="59"/>
      <c r="M65" s="59"/>
      <c r="N65" s="59"/>
      <c r="O65" s="59"/>
      <c r="P65" s="59"/>
      <c r="Q65" s="59"/>
      <c r="R65" s="60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30.0" customHeight="1">
      <c r="A66" s="75" t="s">
        <v>295</v>
      </c>
      <c r="B66" s="50">
        <v>62.0</v>
      </c>
      <c r="C66" s="53" t="s">
        <v>20</v>
      </c>
      <c r="D66" s="53" t="s">
        <v>52</v>
      </c>
      <c r="E66" s="53" t="s">
        <v>94</v>
      </c>
      <c r="F66" s="53" t="s">
        <v>90</v>
      </c>
      <c r="G66" s="56" t="str">
        <f t="shared" si="1"/>
        <v>Чалахач Туш. кап.</v>
      </c>
      <c r="H66" s="58" t="s">
        <v>1</v>
      </c>
      <c r="I66" s="117"/>
      <c r="J66" s="117"/>
      <c r="K66" s="117"/>
      <c r="L66" s="59"/>
      <c r="M66" s="59"/>
      <c r="N66" s="59"/>
      <c r="O66" s="59"/>
      <c r="P66" s="59"/>
      <c r="Q66" s="59"/>
      <c r="R66" s="60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ht="30.0" customHeight="1">
      <c r="A67" s="75" t="s">
        <v>296</v>
      </c>
      <c r="B67" s="50">
        <v>63.0</v>
      </c>
      <c r="C67" s="65" t="s">
        <v>33</v>
      </c>
      <c r="D67" s="53" t="s">
        <v>48</v>
      </c>
      <c r="E67" s="65" t="s">
        <v>65</v>
      </c>
      <c r="F67" s="65"/>
      <c r="G67" s="56" t="str">
        <f t="shared" si="1"/>
        <v>Вар.Кар </v>
      </c>
      <c r="H67" s="58" t="s">
        <v>1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ht="30.0" customHeight="1">
      <c r="A68" s="75" t="s">
        <v>298</v>
      </c>
      <c r="B68" s="50">
        <v>64.0</v>
      </c>
      <c r="C68" s="65" t="s">
        <v>31</v>
      </c>
      <c r="D68" s="65" t="s">
        <v>48</v>
      </c>
      <c r="E68" s="65" t="s">
        <v>85</v>
      </c>
      <c r="F68" s="53"/>
      <c r="G68" s="56" t="str">
        <f t="shared" si="1"/>
        <v>Поперечка </v>
      </c>
      <c r="H68" s="58" t="s">
        <v>1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75" t="s">
        <v>242</v>
      </c>
      <c r="B69" s="50">
        <v>65.0</v>
      </c>
      <c r="C69" s="53" t="s">
        <v>35</v>
      </c>
      <c r="D69" s="53" t="s">
        <v>48</v>
      </c>
      <c r="E69" s="53" t="s">
        <v>63</v>
      </c>
      <c r="F69" s="53" t="s">
        <v>90</v>
      </c>
      <c r="G69" s="56" t="str">
        <f t="shared" si="1"/>
        <v>Баса Туш. кап.</v>
      </c>
      <c r="H69" s="58" t="s">
        <v>1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6"/>
      <c r="B72" s="16"/>
      <c r="C72" s="16"/>
      <c r="D72" s="16"/>
      <c r="E72" s="16"/>
      <c r="F72" s="119"/>
      <c r="G72" s="120"/>
      <c r="H72" s="121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22" t="s">
        <v>126</v>
      </c>
      <c r="B79" s="123" t="s">
        <v>138</v>
      </c>
      <c r="C79" s="53" t="s">
        <v>25</v>
      </c>
      <c r="D79" s="53" t="s">
        <v>50</v>
      </c>
      <c r="E79" s="53" t="s">
        <v>94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75" t="s">
        <v>318</v>
      </c>
      <c r="B80" s="123">
        <v>37.0</v>
      </c>
      <c r="C80" s="53" t="s">
        <v>31</v>
      </c>
      <c r="D80" s="53" t="s">
        <v>48</v>
      </c>
      <c r="E80" s="53" t="s">
        <v>73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75" t="s">
        <v>321</v>
      </c>
      <c r="B81" s="123">
        <v>38.0</v>
      </c>
      <c r="C81" s="53" t="s">
        <v>40</v>
      </c>
      <c r="D81" s="53" t="s">
        <v>52</v>
      </c>
      <c r="E81" s="53" t="s">
        <v>83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75" t="s">
        <v>325</v>
      </c>
      <c r="B82" s="123" t="s">
        <v>326</v>
      </c>
      <c r="C82" s="53" t="s">
        <v>31</v>
      </c>
      <c r="D82" s="53" t="s">
        <v>50</v>
      </c>
      <c r="E82" s="53" t="s">
        <v>75</v>
      </c>
      <c r="F82" s="65" t="s">
        <v>90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63" t="s">
        <v>284</v>
      </c>
      <c r="B83" s="124" t="s">
        <v>286</v>
      </c>
      <c r="C83" s="53" t="s">
        <v>25</v>
      </c>
      <c r="D83" s="53" t="s">
        <v>48</v>
      </c>
      <c r="E83" s="53" t="s">
        <v>76</v>
      </c>
      <c r="F83" s="53" t="s">
        <v>100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49" t="s">
        <v>142</v>
      </c>
      <c r="B84" s="123" t="s">
        <v>138</v>
      </c>
      <c r="C84" s="53" t="s">
        <v>16</v>
      </c>
      <c r="D84" s="53" t="s">
        <v>50</v>
      </c>
      <c r="E84" s="53" t="s">
        <v>83</v>
      </c>
      <c r="F84" s="53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75" t="s">
        <v>144</v>
      </c>
      <c r="B85" s="123" t="s">
        <v>138</v>
      </c>
      <c r="C85" s="53" t="s">
        <v>35</v>
      </c>
      <c r="D85" s="53" t="s">
        <v>48</v>
      </c>
      <c r="E85" s="53" t="s">
        <v>78</v>
      </c>
      <c r="F85" s="53" t="s">
        <v>100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122" t="s">
        <v>126</v>
      </c>
      <c r="B86" s="123" t="s">
        <v>138</v>
      </c>
      <c r="C86" s="53" t="s">
        <v>25</v>
      </c>
      <c r="D86" s="53" t="s">
        <v>50</v>
      </c>
      <c r="E86" s="53" t="s">
        <v>94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99" t="s">
        <v>333</v>
      </c>
      <c r="B87" s="50" t="s">
        <v>274</v>
      </c>
      <c r="C87" s="53" t="s">
        <v>16</v>
      </c>
      <c r="D87" s="53" t="s">
        <v>59</v>
      </c>
      <c r="E87" s="53" t="s">
        <v>63</v>
      </c>
      <c r="F87" s="53" t="s">
        <v>64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</sheetData>
  <dataValidations>
    <dataValidation type="list" allowBlank="1" sqref="F63">
      <formula1>#REF!</formula1>
    </dataValidation>
    <dataValidation type="list" allowBlank="1" sqref="C5:C8 C10:C11 C13:C24 C26:C36 C38:C46 C48:C51 C53:C57 C59:C62 C64:C69 C71:C76 C78:C87">
      <formula1>Menu!$B$2:$B$16</formula1>
    </dataValidation>
    <dataValidation type="list" allowBlank="1" sqref="F6 F10 F12:F13 F15 F21 F24 F31:F33 F36 F44 F57 F68 F87">
      <formula1>Menu!$B$73:$B$84</formula1>
    </dataValidation>
    <dataValidation type="list" allowBlank="1" sqref="D63">
      <formula1>#REF!</formula1>
    </dataValidation>
    <dataValidation type="list" allowBlank="1" sqref="D5:D8 D10:D11 D13 D15:D17 D19:D23 D26:D30 D32:D39 D41:D51 D53:D55 D59:D62 D64:D69 D71:D76 D78:D80 D82 D85:D87">
      <formula1>Menu!$B$19:$B$27</formula1>
    </dataValidation>
    <dataValidation type="list" allowBlank="1" sqref="C9 C12 C25 C37 C47 C52 C58">
      <formula1>Menu!$B$2:$B$15</formula1>
    </dataValidation>
    <dataValidation type="list" allowBlank="1" sqref="D9 D12 D14 D18 D24:D25 D31 D40 D52 D56:D58 D83:D84">
      <formula1>Menu!$B$19:$B$26</formula1>
    </dataValidation>
    <dataValidation type="list" allowBlank="1" sqref="D81">
      <formula1>Menu!$B$19:$B$25</formula1>
    </dataValidation>
    <dataValidation type="list" allowBlank="1" sqref="E5:E62 E64:E69 E71:E76 E78:E87">
      <formula1>Menu!$B$36:$B$58</formula1>
    </dataValidation>
    <dataValidation type="list" allowBlank="1" sqref="C63">
      <formula1>#REF!</formula1>
    </dataValidation>
    <dataValidation type="list" allowBlank="1" sqref="F5 F7:F9 F11 F14 F16:F17 F19:F20 F22:F23 F25:F30 F34:F35 F37:F43 F45:F56 F58:F62 F64:F67 F69 F71:F78 F82:F85">
      <formula1>Menu!$B$73:$B$86</formula1>
    </dataValidation>
    <dataValidation type="list" allowBlank="1" sqref="E63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5.88"/>
    <col customWidth="1" min="3" max="3" width="15.13"/>
    <col customWidth="1" min="4" max="4" width="16.13"/>
    <col customWidth="1" min="5" max="5" width="18.63"/>
    <col customWidth="1" min="6" max="6" width="16.88"/>
    <col customWidth="1" min="7" max="7" width="25.5"/>
    <col customWidth="1" min="9" max="9" width="11.5"/>
    <col customWidth="1" min="10" max="10" width="7.5"/>
    <col customWidth="1" min="11" max="11" width="9.0"/>
    <col customWidth="1" min="12" max="12" width="13.13"/>
  </cols>
  <sheetData>
    <row r="1" ht="30.0" customHeight="1">
      <c r="A1" s="1" t="s">
        <v>0</v>
      </c>
      <c r="B1" s="1"/>
      <c r="C1" s="3"/>
      <c r="D1" s="1"/>
      <c r="E1" s="1"/>
      <c r="F1" s="1"/>
      <c r="G1" s="5"/>
      <c r="H1" s="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2"/>
      <c r="V1" s="12"/>
      <c r="W1" s="12"/>
      <c r="X1" s="12"/>
      <c r="Y1" s="12"/>
    </row>
    <row r="2" ht="30.0" customHeight="1">
      <c r="A2" s="15" t="s">
        <v>9</v>
      </c>
      <c r="B2" s="18"/>
      <c r="C2" s="3"/>
      <c r="D2" s="1"/>
      <c r="E2" s="1"/>
      <c r="F2" s="1"/>
      <c r="G2" s="5"/>
      <c r="H2" s="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2"/>
      <c r="V2" s="12"/>
      <c r="W2" s="12"/>
      <c r="X2" s="12"/>
      <c r="Y2" s="12"/>
    </row>
    <row r="3" ht="30.0" customHeight="1">
      <c r="A3" s="22" t="s">
        <v>26</v>
      </c>
      <c r="B3" s="1"/>
      <c r="C3" s="3"/>
      <c r="D3" s="1"/>
      <c r="E3" s="1"/>
      <c r="F3" s="1"/>
      <c r="G3" s="5"/>
      <c r="H3" s="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2"/>
      <c r="V3" s="12"/>
      <c r="W3" s="12"/>
      <c r="X3" s="12"/>
      <c r="Y3" s="12"/>
    </row>
    <row r="4" ht="30.0" customHeight="1">
      <c r="A4" s="27" t="s">
        <v>34</v>
      </c>
      <c r="B4" s="3"/>
      <c r="C4" s="27" t="s">
        <v>38</v>
      </c>
      <c r="D4" s="29" t="s">
        <v>41</v>
      </c>
      <c r="E4" s="29" t="s">
        <v>44</v>
      </c>
      <c r="F4" s="29" t="s">
        <v>46</v>
      </c>
      <c r="G4" s="30"/>
      <c r="H4" s="30"/>
      <c r="I4" s="36" t="str">
        <f>IFERROR(__xludf.DUMMYFUNCTION("QUERY(A5:H71, ""Select C, count(A), H group by C, H order by H"")"),"")</f>
        <v/>
      </c>
      <c r="J4" s="39" t="str">
        <f>IFERROR(__xludf.DUMMYFUNCTION("""COMPUTED_VALUE"""),"count ")</f>
        <v>count </v>
      </c>
      <c r="K4" s="36" t="str">
        <f>IFERROR(__xludf.DUMMYFUNCTION("""COMPUTED_VALUE"""),"")</f>
        <v/>
      </c>
      <c r="L4" s="36" t="str">
        <f>IFERROR(__xludf.DUMMYFUNCTION("QUERY(A5:H71, ""Select D, count(A), H group by D, H order by H"")"),"")</f>
        <v/>
      </c>
      <c r="M4" s="36" t="str">
        <f>IFERROR(__xludf.DUMMYFUNCTION("""COMPUTED_VALUE"""),"count ")</f>
        <v>count </v>
      </c>
      <c r="N4" s="5" t="str">
        <f>IFERROR(__xludf.DUMMYFUNCTION("""COMPUTED_VALUE"""),"")</f>
        <v/>
      </c>
      <c r="O4" s="10"/>
      <c r="P4" s="10"/>
      <c r="Q4" s="10"/>
      <c r="R4" s="10"/>
      <c r="S4" s="10"/>
      <c r="T4" s="10"/>
      <c r="U4" s="12"/>
      <c r="V4" s="12"/>
      <c r="W4" s="12"/>
      <c r="X4" s="12"/>
      <c r="Y4" s="12"/>
    </row>
    <row r="5" ht="30.0" customHeight="1">
      <c r="A5" s="44" t="s">
        <v>53</v>
      </c>
      <c r="B5" s="47">
        <v>1.0</v>
      </c>
      <c r="C5" s="51" t="s">
        <v>45</v>
      </c>
      <c r="D5" s="51" t="s">
        <v>48</v>
      </c>
      <c r="E5" s="51" t="s">
        <v>63</v>
      </c>
      <c r="F5" s="51" t="s">
        <v>64</v>
      </c>
      <c r="G5" s="55" t="str">
        <f t="shared" ref="G5:G11" si="1"> CONCATENATE(E5," ", F5)</f>
        <v>Баса  FF</v>
      </c>
      <c r="H5" s="57" t="s">
        <v>1</v>
      </c>
      <c r="I5" s="10"/>
      <c r="J5" s="10">
        <f>IFERROR(__xludf.DUMMYFUNCTION("""COMPUTED_VALUE"""),0.0)</f>
        <v>0</v>
      </c>
      <c r="K5" s="10"/>
      <c r="L5" s="10"/>
      <c r="M5" s="10">
        <f>IFERROR(__xludf.DUMMYFUNCTION("""COMPUTED_VALUE"""),1.0)</f>
        <v>1</v>
      </c>
      <c r="N5" s="10"/>
      <c r="O5" s="10"/>
      <c r="P5" s="10"/>
      <c r="Q5" s="10"/>
      <c r="R5" s="10"/>
      <c r="S5" s="10"/>
      <c r="T5" s="10"/>
      <c r="U5" s="12"/>
      <c r="V5" s="12"/>
      <c r="W5" s="12"/>
      <c r="X5" s="12"/>
      <c r="Y5" s="12"/>
    </row>
    <row r="6" ht="30.0" customHeight="1">
      <c r="A6" s="44" t="s">
        <v>84</v>
      </c>
      <c r="B6" s="47">
        <v>2.0</v>
      </c>
      <c r="C6" s="51" t="s">
        <v>40</v>
      </c>
      <c r="D6" s="51" t="s">
        <v>55</v>
      </c>
      <c r="E6" s="62" t="s">
        <v>63</v>
      </c>
      <c r="F6" s="62" t="s">
        <v>90</v>
      </c>
      <c r="G6" s="55" t="str">
        <f t="shared" si="1"/>
        <v>Баса Туш. кап.</v>
      </c>
      <c r="H6" s="57" t="s">
        <v>1</v>
      </c>
      <c r="I6" s="10" t="str">
        <f>IFERROR(__xludf.DUMMYFUNCTION("""COMPUTED_VALUE"""),"cosher")</f>
        <v>cosher</v>
      </c>
      <c r="J6" s="10">
        <f>IFERROR(__xludf.DUMMYFUNCTION("""COMPUTED_VALUE"""),1.0)</f>
        <v>1</v>
      </c>
      <c r="K6" s="10"/>
      <c r="L6" s="10" t="str">
        <f>IFERROR(__xludf.DUMMYFUNCTION("""COMPUTED_VALUE"""),"Б ")</f>
        <v>Б </v>
      </c>
      <c r="M6" s="10">
        <f>IFERROR(__xludf.DUMMYFUNCTION("""COMPUTED_VALUE"""),1.0)</f>
        <v>1</v>
      </c>
      <c r="N6" s="10"/>
      <c r="O6" s="10"/>
      <c r="P6" s="10"/>
      <c r="Q6" s="10"/>
      <c r="R6" s="10"/>
      <c r="S6" s="10"/>
      <c r="T6" s="10"/>
      <c r="U6" s="12"/>
      <c r="V6" s="12"/>
      <c r="W6" s="12"/>
      <c r="X6" s="12"/>
      <c r="Y6" s="12"/>
    </row>
    <row r="7" ht="30.0" customHeight="1">
      <c r="A7" s="44" t="s">
        <v>96</v>
      </c>
      <c r="B7" s="47">
        <v>3.0</v>
      </c>
      <c r="C7" s="51" t="s">
        <v>40</v>
      </c>
      <c r="D7" s="51" t="s">
        <v>48</v>
      </c>
      <c r="E7" s="51" t="s">
        <v>75</v>
      </c>
      <c r="F7" s="64"/>
      <c r="G7" s="55" t="str">
        <f t="shared" si="1"/>
        <v>Голубцы </v>
      </c>
      <c r="H7" s="57" t="s">
        <v>1</v>
      </c>
      <c r="I7" s="10" t="str">
        <f>IFERROR(__xludf.DUMMYFUNCTION("""COMPUTED_VALUE"""),"Вин")</f>
        <v>Вин</v>
      </c>
      <c r="J7" s="10">
        <f>IFERROR(__xludf.DUMMYFUNCTION("""COMPUTED_VALUE"""),1.0)</f>
        <v>1</v>
      </c>
      <c r="K7" s="10"/>
      <c r="L7" s="10" t="str">
        <f>IFERROR(__xludf.DUMMYFUNCTION("""COMPUTED_VALUE"""),"Кур ")</f>
        <v>Кур </v>
      </c>
      <c r="M7" s="10">
        <f>IFERROR(__xludf.DUMMYFUNCTION("""COMPUTED_VALUE"""),2.0)</f>
        <v>2</v>
      </c>
      <c r="N7" s="10"/>
      <c r="O7" s="10"/>
      <c r="P7" s="10"/>
      <c r="Q7" s="10"/>
      <c r="R7" s="10"/>
      <c r="S7" s="10"/>
      <c r="T7" s="10"/>
      <c r="U7" s="12"/>
      <c r="V7" s="12"/>
      <c r="W7" s="12"/>
      <c r="X7" s="12"/>
      <c r="Y7" s="12"/>
    </row>
    <row r="8" ht="30.0" customHeight="1">
      <c r="A8" s="3" t="s">
        <v>99</v>
      </c>
      <c r="B8" s="47">
        <v>4.0</v>
      </c>
      <c r="C8" s="51" t="s">
        <v>45</v>
      </c>
      <c r="D8" s="51" t="s">
        <v>50</v>
      </c>
      <c r="E8" s="51" t="s">
        <v>73</v>
      </c>
      <c r="F8" s="51" t="s">
        <v>100</v>
      </c>
      <c r="G8" s="55" t="str">
        <f t="shared" si="1"/>
        <v>Бл. твор Паста  </v>
      </c>
      <c r="H8" s="57" t="s">
        <v>1</v>
      </c>
      <c r="I8" s="36" t="str">
        <f>IFERROR(__xludf.DUMMYFUNCTION("""COMPUTED_VALUE"""),"Ол ")</f>
        <v>Ол </v>
      </c>
      <c r="J8" s="68">
        <f>IFERROR(__xludf.DUMMYFUNCTION("""COMPUTED_VALUE"""),2.0)</f>
        <v>2</v>
      </c>
      <c r="K8" s="68"/>
      <c r="L8" s="68"/>
      <c r="M8" s="68">
        <f>IFERROR(__xludf.DUMMYFUNCTION("""COMPUTED_VALUE"""),0.0)</f>
        <v>0</v>
      </c>
      <c r="N8" s="68" t="str">
        <f>IFERROR(__xludf.DUMMYFUNCTION("""COMPUTED_VALUE"""),"Олимп")</f>
        <v>Олимп</v>
      </c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ht="30.0" customHeight="1">
      <c r="A9" s="44" t="s">
        <v>102</v>
      </c>
      <c r="B9" s="47">
        <v>5.0</v>
      </c>
      <c r="C9" s="51" t="s">
        <v>25</v>
      </c>
      <c r="D9" s="51" t="s">
        <v>48</v>
      </c>
      <c r="E9" s="51" t="s">
        <v>94</v>
      </c>
      <c r="F9" s="51" t="s">
        <v>103</v>
      </c>
      <c r="G9" s="55" t="str">
        <f t="shared" si="1"/>
        <v>Чалахач Гр  </v>
      </c>
      <c r="H9" s="57" t="s">
        <v>1</v>
      </c>
      <c r="I9" s="36"/>
      <c r="J9" s="68">
        <f>IFERROR(__xludf.DUMMYFUNCTION("""COMPUTED_VALUE"""),0.0)</f>
        <v>0</v>
      </c>
      <c r="K9" s="68" t="str">
        <f>IFERROR(__xludf.DUMMYFUNCTION("""COMPUTED_VALUE"""),"Олимп")</f>
        <v>Олимп</v>
      </c>
      <c r="L9" s="68" t="str">
        <f>IFERROR(__xludf.DUMMYFUNCTION("""COMPUTED_VALUE"""),"3.Б")</f>
        <v>3.Б</v>
      </c>
      <c r="M9" s="68">
        <f>IFERROR(__xludf.DUMMYFUNCTION("""COMPUTED_VALUE"""),15.0)</f>
        <v>15</v>
      </c>
      <c r="N9" s="68" t="str">
        <f>IFERROR(__xludf.DUMMYFUNCTION("""COMPUTED_VALUE"""),"Олимп")</f>
        <v>Олимп</v>
      </c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ht="30.0" customHeight="1">
      <c r="A10" s="44" t="s">
        <v>104</v>
      </c>
      <c r="B10" s="47">
        <v>6.0</v>
      </c>
      <c r="C10" s="51" t="s">
        <v>25</v>
      </c>
      <c r="D10" s="51" t="s">
        <v>48</v>
      </c>
      <c r="E10" s="51" t="s">
        <v>71</v>
      </c>
      <c r="F10" s="51"/>
      <c r="G10" s="55" t="str">
        <f t="shared" si="1"/>
        <v>Бл. мясо </v>
      </c>
      <c r="H10" s="57" t="s">
        <v>1</v>
      </c>
      <c r="I10" s="10" t="str">
        <f>IFERROR(__xludf.DUMMYFUNCTION("""COMPUTED_VALUE"""),"Весна")</f>
        <v>Весна</v>
      </c>
      <c r="J10" s="10">
        <f>IFERROR(__xludf.DUMMYFUNCTION("""COMPUTED_VALUE"""),3.0)</f>
        <v>3</v>
      </c>
      <c r="K10" s="10" t="str">
        <f>IFERROR(__xludf.DUMMYFUNCTION("""COMPUTED_VALUE"""),"Олимп")</f>
        <v>Олимп</v>
      </c>
      <c r="L10" s="10" t="str">
        <f>IFERROR(__xludf.DUMMYFUNCTION("""COMPUTED_VALUE"""),"Б ")</f>
        <v>Б </v>
      </c>
      <c r="M10" s="10">
        <f>IFERROR(__xludf.DUMMYFUNCTION("""COMPUTED_VALUE"""),16.0)</f>
        <v>16</v>
      </c>
      <c r="N10" s="10" t="str">
        <f>IFERROR(__xludf.DUMMYFUNCTION("""COMPUTED_VALUE"""),"Олимп")</f>
        <v>Олимп</v>
      </c>
      <c r="O10" s="10"/>
      <c r="P10" s="10"/>
      <c r="Q10" s="10"/>
      <c r="R10" s="10"/>
      <c r="S10" s="10"/>
      <c r="T10" s="10"/>
      <c r="U10" s="12"/>
      <c r="V10" s="12"/>
      <c r="W10" s="12"/>
      <c r="X10" s="12"/>
      <c r="Y10" s="12"/>
    </row>
    <row r="11" ht="30.0" customHeight="1">
      <c r="A11" s="44" t="s">
        <v>106</v>
      </c>
      <c r="B11" s="47">
        <v>7.0</v>
      </c>
      <c r="C11" s="51" t="s">
        <v>35</v>
      </c>
      <c r="D11" s="51" t="s">
        <v>61</v>
      </c>
      <c r="E11" s="51" t="s">
        <v>67</v>
      </c>
      <c r="F11" s="51" t="s">
        <v>64</v>
      </c>
      <c r="G11" s="55" t="str">
        <f t="shared" si="1"/>
        <v>S    FF</v>
      </c>
      <c r="H11" s="57" t="s">
        <v>1</v>
      </c>
      <c r="I11" s="10" t="str">
        <f>IFERROR(__xludf.DUMMYFUNCTION("""COMPUTED_VALUE"""),"Вин")</f>
        <v>Вин</v>
      </c>
      <c r="J11" s="10">
        <f>IFERROR(__xludf.DUMMYFUNCTION("""COMPUTED_VALUE"""),14.0)</f>
        <v>14</v>
      </c>
      <c r="K11" s="10" t="str">
        <f>IFERROR(__xludf.DUMMYFUNCTION("""COMPUTED_VALUE"""),"Олимп")</f>
        <v>Олимп</v>
      </c>
      <c r="L11" s="10" t="str">
        <f>IFERROR(__xludf.DUMMYFUNCTION("""COMPUTED_VALUE"""),"Горох")</f>
        <v>Горох</v>
      </c>
      <c r="M11" s="10">
        <f>IFERROR(__xludf.DUMMYFUNCTION("""COMPUTED_VALUE"""),5.0)</f>
        <v>5</v>
      </c>
      <c r="N11" s="10" t="str">
        <f>IFERROR(__xludf.DUMMYFUNCTION("""COMPUTED_VALUE"""),"Олимп")</f>
        <v>Олимп</v>
      </c>
      <c r="O11" s="10"/>
      <c r="P11" s="10"/>
      <c r="Q11" s="10"/>
      <c r="R11" s="10"/>
      <c r="S11" s="10"/>
      <c r="T11" s="10"/>
      <c r="U11" s="12"/>
      <c r="V11" s="12"/>
      <c r="W11" s="12"/>
      <c r="X11" s="12"/>
      <c r="Y11" s="12"/>
    </row>
    <row r="12" ht="30.0" customHeight="1">
      <c r="G12" s="55" t="str">
        <f t="shared" ref="G12:G13" si="2"> CONCATENATE(E73," ", F73)</f>
        <v>S   MP </v>
      </c>
      <c r="H12" s="57" t="s">
        <v>1</v>
      </c>
      <c r="I12" s="5" t="str">
        <f>IFERROR(__xludf.DUMMYFUNCTION("""COMPUTED_VALUE"""),"Ол ")</f>
        <v>Ол </v>
      </c>
      <c r="J12" s="10">
        <f>IFERROR(__xludf.DUMMYFUNCTION("""COMPUTED_VALUE"""),4.0)</f>
        <v>4</v>
      </c>
      <c r="K12" s="10" t="str">
        <f>IFERROR(__xludf.DUMMYFUNCTION("""COMPUTED_VALUE"""),"Олимп")</f>
        <v>Олимп</v>
      </c>
      <c r="L12" s="10" t="str">
        <f>IFERROR(__xludf.DUMMYFUNCTION("""COMPUTED_VALUE"""),"Гриб")</f>
        <v>Гриб</v>
      </c>
      <c r="M12" s="71">
        <f>IFERROR(__xludf.DUMMYFUNCTION("""COMPUTED_VALUE"""),7.0)</f>
        <v>7</v>
      </c>
      <c r="N12" s="10" t="str">
        <f>IFERROR(__xludf.DUMMYFUNCTION("""COMPUTED_VALUE"""),"Олимп")</f>
        <v>Олимп</v>
      </c>
      <c r="O12" s="10"/>
      <c r="P12" s="10"/>
      <c r="Q12" s="10"/>
      <c r="R12" s="10"/>
      <c r="S12" s="10"/>
      <c r="T12" s="10"/>
      <c r="U12" s="12"/>
      <c r="V12" s="12"/>
      <c r="W12" s="12"/>
      <c r="X12" s="12"/>
      <c r="Y12" s="12"/>
    </row>
    <row r="13" ht="30.0" customHeight="1">
      <c r="G13" s="55" t="str">
        <f t="shared" si="2"/>
        <v>Шницель Гр  </v>
      </c>
      <c r="H13" s="57" t="s">
        <v>1</v>
      </c>
      <c r="I13" s="5" t="str">
        <f>IFERROR(__xludf.DUMMYFUNCTION("""COMPUTED_VALUE"""),"Сало")</f>
        <v>Сало</v>
      </c>
      <c r="J13" s="10">
        <f>IFERROR(__xludf.DUMMYFUNCTION("""COMPUTED_VALUE"""),8.0)</f>
        <v>8</v>
      </c>
      <c r="K13" s="10" t="str">
        <f>IFERROR(__xludf.DUMMYFUNCTION("""COMPUTED_VALUE"""),"Олимп")</f>
        <v>Олимп</v>
      </c>
      <c r="L13" s="10" t="str">
        <f>IFERROR(__xludf.DUMMYFUNCTION("""COMPUTED_VALUE"""),"Кур ")</f>
        <v>Кур </v>
      </c>
      <c r="M13" s="71">
        <f>IFERROR(__xludf.DUMMYFUNCTION("""COMPUTED_VALUE"""),3.0)</f>
        <v>3</v>
      </c>
      <c r="N13" s="10" t="str">
        <f>IFERROR(__xludf.DUMMYFUNCTION("""COMPUTED_VALUE"""),"Олимп")</f>
        <v>Олимп</v>
      </c>
      <c r="O13" s="10"/>
      <c r="P13" s="10"/>
      <c r="Q13" s="10"/>
      <c r="R13" s="10"/>
      <c r="S13" s="10"/>
      <c r="T13" s="10"/>
      <c r="U13" s="12"/>
      <c r="V13" s="12"/>
      <c r="W13" s="12"/>
      <c r="X13" s="12"/>
      <c r="Y13" s="12"/>
    </row>
    <row r="14" ht="30.0" customHeight="1">
      <c r="A14" s="72" t="s">
        <v>119</v>
      </c>
      <c r="B14" s="47">
        <v>10.0</v>
      </c>
      <c r="C14" s="51" t="s">
        <v>31</v>
      </c>
      <c r="D14" s="51" t="s">
        <v>50</v>
      </c>
      <c r="E14" s="51" t="s">
        <v>63</v>
      </c>
      <c r="F14" s="51" t="s">
        <v>68</v>
      </c>
      <c r="G14" s="55" t="str">
        <f t="shared" ref="G14:G60" si="3"> CONCATENATE(E14," ", F14)</f>
        <v>Баса Картошка</v>
      </c>
      <c r="H14" s="57" t="s">
        <v>1</v>
      </c>
      <c r="I14" s="10" t="str">
        <f>IFERROR(__xludf.DUMMYFUNCTION("""COMPUTED_VALUE"""),"Свкл")</f>
        <v>Свкл</v>
      </c>
      <c r="J14" s="10">
        <f>IFERROR(__xludf.DUMMYFUNCTION("""COMPUTED_VALUE"""),13.0)</f>
        <v>13</v>
      </c>
      <c r="K14" s="10" t="str">
        <f>IFERROR(__xludf.DUMMYFUNCTION("""COMPUTED_VALUE"""),"Олимп")</f>
        <v>Олимп</v>
      </c>
      <c r="L14" s="10" t="str">
        <f>IFERROR(__xludf.DUMMYFUNCTION("""COMPUTED_VALUE"""),"Овощ")</f>
        <v>Овощ</v>
      </c>
      <c r="M14" s="10">
        <f>IFERROR(__xludf.DUMMYFUNCTION("""COMPUTED_VALUE"""),4.0)</f>
        <v>4</v>
      </c>
      <c r="N14" s="10" t="str">
        <f>IFERROR(__xludf.DUMMYFUNCTION("""COMPUTED_VALUE"""),"Олимп")</f>
        <v>Олимп</v>
      </c>
      <c r="O14" s="10"/>
      <c r="P14" s="10"/>
      <c r="Q14" s="10"/>
      <c r="R14" s="10"/>
      <c r="S14" s="10"/>
      <c r="T14" s="10"/>
      <c r="U14" s="12"/>
      <c r="V14" s="12"/>
      <c r="W14" s="12"/>
      <c r="X14" s="12"/>
      <c r="Y14" s="12"/>
    </row>
    <row r="15" ht="30.0" customHeight="1">
      <c r="A15" s="72" t="s">
        <v>121</v>
      </c>
      <c r="B15" s="47">
        <v>11.0</v>
      </c>
      <c r="C15" s="51" t="s">
        <v>45</v>
      </c>
      <c r="D15" s="51" t="s">
        <v>59</v>
      </c>
      <c r="E15" s="51" t="s">
        <v>94</v>
      </c>
      <c r="F15" s="51" t="s">
        <v>90</v>
      </c>
      <c r="G15" s="55" t="str">
        <f t="shared" si="3"/>
        <v>Чалахач Туш. кап.</v>
      </c>
      <c r="H15" s="57" t="s">
        <v>1</v>
      </c>
      <c r="I15" s="10" t="str">
        <f>IFERROR(__xludf.DUMMYFUNCTION("""COMPUTED_VALUE"""),"Селедка")</f>
        <v>Селедка</v>
      </c>
      <c r="J15" s="10">
        <f>IFERROR(__xludf.DUMMYFUNCTION("""COMPUTED_VALUE"""),6.0)</f>
        <v>6</v>
      </c>
      <c r="K15" s="10" t="str">
        <f>IFERROR(__xludf.DUMMYFUNCTION("""COMPUTED_VALUE"""),"Олимп")</f>
        <v>Олимп</v>
      </c>
      <c r="L15" s="10" t="str">
        <f>IFERROR(__xludf.DUMMYFUNCTION("""COMPUTED_VALUE"""),"Харчо ")</f>
        <v>Харчо </v>
      </c>
      <c r="M15" s="10">
        <f>IFERROR(__xludf.DUMMYFUNCTION("""COMPUTED_VALUE"""),4.0)</f>
        <v>4</v>
      </c>
      <c r="N15" s="10" t="str">
        <f>IFERROR(__xludf.DUMMYFUNCTION("""COMPUTED_VALUE"""),"Олимп")</f>
        <v>Олимп</v>
      </c>
      <c r="O15" s="10"/>
      <c r="P15" s="10"/>
      <c r="Q15" s="10"/>
      <c r="R15" s="10"/>
      <c r="S15" s="10"/>
      <c r="T15" s="10"/>
      <c r="U15" s="12"/>
      <c r="V15" s="12"/>
      <c r="W15" s="12"/>
      <c r="X15" s="12"/>
      <c r="Y15" s="12"/>
    </row>
    <row r="16" ht="30.0" customHeight="1">
      <c r="A16" s="77" t="s">
        <v>122</v>
      </c>
      <c r="B16" s="47">
        <v>12.0</v>
      </c>
      <c r="C16" s="51" t="s">
        <v>40</v>
      </c>
      <c r="D16" s="51" t="s">
        <v>52</v>
      </c>
      <c r="E16" s="51" t="s">
        <v>82</v>
      </c>
      <c r="F16" s="51" t="s">
        <v>111</v>
      </c>
      <c r="G16" s="55" t="str">
        <f t="shared" si="3"/>
        <v>крылья MP </v>
      </c>
      <c r="H16" s="57" t="s">
        <v>1</v>
      </c>
      <c r="I16" s="10" t="str">
        <f>IFERROR(__xludf.DUMMYFUNCTION("""COMPUTED_VALUE"""),"баклаж")</f>
        <v>баклаж</v>
      </c>
      <c r="J16" s="10">
        <f>IFERROR(__xludf.DUMMYFUNCTION("""COMPUTED_VALUE"""),3.0)</f>
        <v>3</v>
      </c>
      <c r="K16" s="10" t="str">
        <f>IFERROR(__xludf.DUMMYFUNCTION("""COMPUTED_VALUE"""),"Олимп")</f>
        <v>Олимп</v>
      </c>
      <c r="L16" s="10"/>
      <c r="M16" s="10"/>
      <c r="N16" s="10"/>
      <c r="O16" s="10"/>
      <c r="P16" s="10"/>
      <c r="Q16" s="10"/>
      <c r="R16" s="10"/>
      <c r="S16" s="10"/>
      <c r="T16" s="10"/>
      <c r="U16" s="12"/>
      <c r="V16" s="12"/>
      <c r="W16" s="12"/>
      <c r="X16" s="12"/>
      <c r="Y16" s="12"/>
    </row>
    <row r="17" ht="30.0" customHeight="1">
      <c r="A17" s="77" t="s">
        <v>124</v>
      </c>
      <c r="B17" s="47">
        <v>13.0</v>
      </c>
      <c r="C17" s="51" t="s">
        <v>33</v>
      </c>
      <c r="D17" s="51" t="s">
        <v>57</v>
      </c>
      <c r="E17" s="51" t="s">
        <v>67</v>
      </c>
      <c r="F17" s="51" t="s">
        <v>90</v>
      </c>
      <c r="G17" s="55" t="str">
        <f t="shared" si="3"/>
        <v>S   Туш. кап.</v>
      </c>
      <c r="H17" s="57" t="s">
        <v>1</v>
      </c>
      <c r="I17" s="10" t="str">
        <f>IFERROR(__xludf.DUMMYFUNCTION("""COMPUTED_VALUE"""),"капуста")</f>
        <v>капуста</v>
      </c>
      <c r="J17" s="10">
        <f>IFERROR(__xludf.DUMMYFUNCTION("""COMPUTED_VALUE"""),3.0)</f>
        <v>3</v>
      </c>
      <c r="K17" s="10" t="str">
        <f>IFERROR(__xludf.DUMMYFUNCTION("""COMPUTED_VALUE"""),"Олимп")</f>
        <v>Олимп</v>
      </c>
      <c r="L17" s="10"/>
      <c r="M17" s="10"/>
      <c r="N17" s="10"/>
      <c r="O17" s="10"/>
      <c r="P17" s="10"/>
      <c r="Q17" s="10"/>
      <c r="R17" s="10"/>
      <c r="S17" s="10"/>
      <c r="T17" s="10"/>
      <c r="U17" s="12"/>
      <c r="V17" s="12"/>
      <c r="W17" s="12"/>
      <c r="X17" s="12"/>
      <c r="Y17" s="12"/>
    </row>
    <row r="18" ht="30.0" customHeight="1">
      <c r="A18" s="71" t="s">
        <v>126</v>
      </c>
      <c r="B18" s="47">
        <v>14.0</v>
      </c>
      <c r="C18" s="51" t="s">
        <v>40</v>
      </c>
      <c r="D18" s="51" t="s">
        <v>61</v>
      </c>
      <c r="E18" s="51" t="s">
        <v>97</v>
      </c>
      <c r="F18" s="51" t="s">
        <v>68</v>
      </c>
      <c r="G18" s="55" t="str">
        <f t="shared" si="3"/>
        <v>Шницель Картошка</v>
      </c>
      <c r="H18" s="57" t="s">
        <v>1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64"/>
      <c r="V18" s="64"/>
      <c r="W18" s="64"/>
      <c r="X18" s="64"/>
      <c r="Y18" s="64"/>
    </row>
    <row r="19" ht="30.0" customHeight="1">
      <c r="A19" s="3" t="s">
        <v>128</v>
      </c>
      <c r="B19" s="47">
        <v>15.0</v>
      </c>
      <c r="C19" s="51" t="s">
        <v>25</v>
      </c>
      <c r="D19" s="51" t="s">
        <v>50</v>
      </c>
      <c r="E19" s="51" t="s">
        <v>63</v>
      </c>
      <c r="F19" s="51" t="s">
        <v>100</v>
      </c>
      <c r="G19" s="55" t="str">
        <f t="shared" si="3"/>
        <v>Баса Паста  </v>
      </c>
      <c r="H19" s="57" t="s">
        <v>1</v>
      </c>
      <c r="I19" s="3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2"/>
      <c r="V19" s="12"/>
      <c r="W19" s="12"/>
      <c r="X19" s="12"/>
      <c r="Y19" s="12"/>
    </row>
    <row r="20" ht="30.0" customHeight="1">
      <c r="A20" s="3" t="s">
        <v>130</v>
      </c>
      <c r="B20" s="47">
        <v>16.0</v>
      </c>
      <c r="C20" s="51" t="s">
        <v>35</v>
      </c>
      <c r="D20" s="51" t="s">
        <v>50</v>
      </c>
      <c r="E20" s="51" t="s">
        <v>65</v>
      </c>
      <c r="F20" s="51"/>
      <c r="G20" s="55" t="str">
        <f t="shared" si="3"/>
        <v>Вар.Кар </v>
      </c>
      <c r="H20" s="57" t="s">
        <v>1</v>
      </c>
      <c r="I20" s="3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2"/>
      <c r="V20" s="12"/>
      <c r="W20" s="12"/>
      <c r="X20" s="12"/>
      <c r="Y20" s="12"/>
    </row>
    <row r="21" ht="30.0" customHeight="1">
      <c r="A21" s="81" t="s">
        <v>131</v>
      </c>
      <c r="B21" s="47">
        <v>17.0</v>
      </c>
      <c r="C21" s="51" t="s">
        <v>25</v>
      </c>
      <c r="D21" s="51" t="s">
        <v>50</v>
      </c>
      <c r="E21" s="51" t="s">
        <v>80</v>
      </c>
      <c r="F21" s="62" t="s">
        <v>117</v>
      </c>
      <c r="G21" s="55" t="str">
        <f t="shared" si="3"/>
        <v>Котл. кур Фасоль</v>
      </c>
      <c r="H21" s="57" t="s">
        <v>1</v>
      </c>
      <c r="I21" s="36" t="str">
        <f>IFERROR(__xludf.DUMMYFUNCTION("QUERY(A5:H71, ""Select G, count(A), H group by G, H order by H"")"),"")</f>
        <v/>
      </c>
      <c r="J21" s="10" t="str">
        <f>IFERROR(__xludf.DUMMYFUNCTION("""COMPUTED_VALUE"""),"count ")</f>
        <v>count </v>
      </c>
      <c r="K21" s="10" t="str">
        <f>IFERROR(__xludf.DUMMYFUNCTION("""COMPUTED_VALUE"""),"")</f>
        <v/>
      </c>
      <c r="L21" s="10"/>
      <c r="M21" s="10"/>
      <c r="N21" s="10"/>
      <c r="O21" s="10"/>
      <c r="P21" s="10"/>
      <c r="Q21" s="10"/>
      <c r="R21" s="10"/>
      <c r="S21" s="10"/>
      <c r="T21" s="10"/>
      <c r="U21" s="12"/>
      <c r="V21" s="12"/>
      <c r="W21" s="12"/>
      <c r="X21" s="12"/>
      <c r="Y21" s="12"/>
    </row>
    <row r="22" ht="30.0" customHeight="1">
      <c r="A22" s="3" t="s">
        <v>133</v>
      </c>
      <c r="B22" s="47">
        <v>18.0</v>
      </c>
      <c r="C22" s="51" t="s">
        <v>25</v>
      </c>
      <c r="D22" s="51" t="s">
        <v>48</v>
      </c>
      <c r="E22" s="51" t="s">
        <v>71</v>
      </c>
      <c r="F22" s="51"/>
      <c r="G22" s="55" t="str">
        <f t="shared" si="3"/>
        <v>Бл. мясо </v>
      </c>
      <c r="H22" s="57" t="s">
        <v>1</v>
      </c>
      <c r="I22" s="36"/>
      <c r="J22" s="10">
        <f>IFERROR(__xludf.DUMMYFUNCTION("""COMPUTED_VALUE"""),4.0)</f>
        <v>4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2"/>
      <c r="V22" s="12"/>
      <c r="W22" s="12"/>
      <c r="X22" s="12"/>
      <c r="Y22" s="12"/>
    </row>
    <row r="23" ht="30.0" customHeight="1">
      <c r="A23" s="77" t="s">
        <v>135</v>
      </c>
      <c r="B23" s="47">
        <v>19.0</v>
      </c>
      <c r="C23" s="51" t="s">
        <v>35</v>
      </c>
      <c r="D23" s="51" t="s">
        <v>48</v>
      </c>
      <c r="E23" s="51" t="s">
        <v>67</v>
      </c>
      <c r="F23" s="51" t="s">
        <v>100</v>
      </c>
      <c r="G23" s="55" t="str">
        <f t="shared" si="3"/>
        <v>S   Паста  </v>
      </c>
      <c r="H23" s="57" t="s">
        <v>1</v>
      </c>
      <c r="I23" s="36" t="str">
        <f>IFERROR(__xludf.DUMMYFUNCTION("""COMPUTED_VALUE"""),"S    FF")</f>
        <v>S    FF</v>
      </c>
      <c r="J23" s="10">
        <f>IFERROR(__xludf.DUMMYFUNCTION("""COMPUTED_VALUE"""),1.0)</f>
        <v>1</v>
      </c>
      <c r="K23" s="10" t="str">
        <f>IFERROR(__xludf.DUMMYFUNCTION("""COMPUTED_VALUE"""),"Олимп")</f>
        <v>Олимп</v>
      </c>
      <c r="L23" s="10"/>
      <c r="M23" s="10"/>
      <c r="N23" s="10"/>
      <c r="O23" s="10"/>
      <c r="P23" s="10"/>
      <c r="Q23" s="10"/>
      <c r="R23" s="10"/>
      <c r="S23" s="10"/>
      <c r="T23" s="10"/>
      <c r="U23" s="12"/>
      <c r="V23" s="12"/>
      <c r="W23" s="12"/>
      <c r="X23" s="12"/>
      <c r="Y23" s="12"/>
    </row>
    <row r="24" ht="30.0" customHeight="1">
      <c r="A24" s="77" t="s">
        <v>139</v>
      </c>
      <c r="B24" s="47">
        <v>20.0</v>
      </c>
      <c r="C24" s="51" t="s">
        <v>40</v>
      </c>
      <c r="D24" s="51" t="s">
        <v>55</v>
      </c>
      <c r="E24" s="51" t="s">
        <v>77</v>
      </c>
      <c r="F24" s="51" t="s">
        <v>90</v>
      </c>
      <c r="G24" s="55" t="str">
        <f t="shared" si="3"/>
        <v>Дорадо Туш. кап.</v>
      </c>
      <c r="H24" s="57" t="s">
        <v>1</v>
      </c>
      <c r="I24" s="36" t="str">
        <f>IFERROR(__xludf.DUMMYFUNCTION("""COMPUTED_VALUE"""),"S   MP ")</f>
        <v>S   MP </v>
      </c>
      <c r="J24" s="10">
        <f>IFERROR(__xludf.DUMMYFUNCTION("""COMPUTED_VALUE"""),0.0)</f>
        <v>0</v>
      </c>
      <c r="K24" s="10" t="str">
        <f>IFERROR(__xludf.DUMMYFUNCTION("""COMPUTED_VALUE"""),"Олимп")</f>
        <v>Олимп</v>
      </c>
      <c r="L24" s="10"/>
      <c r="M24" s="10"/>
      <c r="N24" s="10"/>
      <c r="O24" s="10"/>
      <c r="P24" s="10"/>
      <c r="Q24" s="10"/>
      <c r="R24" s="10"/>
      <c r="S24" s="10"/>
      <c r="T24" s="10"/>
      <c r="U24" s="12"/>
      <c r="V24" s="12"/>
      <c r="W24" s="12"/>
      <c r="X24" s="12"/>
      <c r="Y24" s="12"/>
    </row>
    <row r="25" ht="29.25" customHeight="1">
      <c r="A25" s="44" t="s">
        <v>140</v>
      </c>
      <c r="B25" s="47">
        <v>21.0</v>
      </c>
      <c r="C25" s="51" t="s">
        <v>20</v>
      </c>
      <c r="D25" s="51" t="s">
        <v>48</v>
      </c>
      <c r="E25" s="51" t="s">
        <v>80</v>
      </c>
      <c r="F25" s="62" t="s">
        <v>90</v>
      </c>
      <c r="G25" s="55" t="str">
        <f t="shared" si="3"/>
        <v>Котл. кур Туш. кап.</v>
      </c>
      <c r="H25" s="57" t="s">
        <v>1</v>
      </c>
      <c r="I25" s="10" t="str">
        <f>IFERROR(__xludf.DUMMYFUNCTION("""COMPUTED_VALUE"""),"S   Паста  ")</f>
        <v>S   Паста  </v>
      </c>
      <c r="J25" s="10">
        <f>IFERROR(__xludf.DUMMYFUNCTION("""COMPUTED_VALUE"""),1.0)</f>
        <v>1</v>
      </c>
      <c r="K25" s="10" t="str">
        <f>IFERROR(__xludf.DUMMYFUNCTION("""COMPUTED_VALUE"""),"Олимп")</f>
        <v>Олимп</v>
      </c>
      <c r="L25" s="10"/>
      <c r="M25" s="10"/>
      <c r="N25" s="10"/>
      <c r="O25" s="10"/>
      <c r="P25" s="10"/>
      <c r="Q25" s="10"/>
      <c r="R25" s="10"/>
      <c r="S25" s="10"/>
      <c r="T25" s="10"/>
      <c r="U25" s="12"/>
      <c r="V25" s="12"/>
      <c r="W25" s="12"/>
      <c r="X25" s="12"/>
      <c r="Y25" s="12"/>
    </row>
    <row r="26" ht="29.25" customHeight="1">
      <c r="A26" s="3" t="s">
        <v>142</v>
      </c>
      <c r="B26" s="47">
        <v>22.0</v>
      </c>
      <c r="C26" s="51" t="s">
        <v>35</v>
      </c>
      <c r="D26" s="51" t="s">
        <v>52</v>
      </c>
      <c r="E26" s="51" t="s">
        <v>82</v>
      </c>
      <c r="F26" s="84"/>
      <c r="G26" s="55" t="str">
        <f t="shared" si="3"/>
        <v>крылья </v>
      </c>
      <c r="H26" s="57" t="s">
        <v>1</v>
      </c>
      <c r="I26" s="10" t="str">
        <f>IFERROR(__xludf.DUMMYFUNCTION("""COMPUTED_VALUE"""),"S   Туш. кап.")</f>
        <v>S   Туш. кап.</v>
      </c>
      <c r="J26" s="10">
        <f>IFERROR(__xludf.DUMMYFUNCTION("""COMPUTED_VALUE"""),1.0)</f>
        <v>1</v>
      </c>
      <c r="K26" s="10" t="str">
        <f>IFERROR(__xludf.DUMMYFUNCTION("""COMPUTED_VALUE"""),"Олимп")</f>
        <v>Олимп</v>
      </c>
      <c r="L26" s="10"/>
      <c r="M26" s="10"/>
      <c r="N26" s="10"/>
      <c r="O26" s="10"/>
      <c r="P26" s="10"/>
      <c r="Q26" s="10"/>
      <c r="R26" s="10"/>
      <c r="S26" s="10"/>
      <c r="T26" s="10"/>
      <c r="U26" s="12"/>
      <c r="V26" s="12"/>
      <c r="W26" s="12"/>
      <c r="X26" s="12"/>
      <c r="Y26" s="12"/>
    </row>
    <row r="27" ht="29.25" customHeight="1">
      <c r="A27" s="3" t="s">
        <v>144</v>
      </c>
      <c r="B27" s="47">
        <v>23.0</v>
      </c>
      <c r="C27" s="51" t="s">
        <v>31</v>
      </c>
      <c r="D27" s="51" t="s">
        <v>50</v>
      </c>
      <c r="E27" s="51" t="s">
        <v>94</v>
      </c>
      <c r="F27" s="51" t="s">
        <v>68</v>
      </c>
      <c r="G27" s="55" t="str">
        <f t="shared" si="3"/>
        <v>Чалахач Картошка</v>
      </c>
      <c r="H27" s="57" t="s">
        <v>1</v>
      </c>
      <c r="I27" s="10" t="str">
        <f>IFERROR(__xludf.DUMMYFUNCTION("""COMPUTED_VALUE"""),"S   Фасоль")</f>
        <v>S   Фасоль</v>
      </c>
      <c r="J27" s="10">
        <f>IFERROR(__xludf.DUMMYFUNCTION("""COMPUTED_VALUE"""),2.0)</f>
        <v>2</v>
      </c>
      <c r="K27" s="10" t="str">
        <f>IFERROR(__xludf.DUMMYFUNCTION("""COMPUTED_VALUE"""),"Олимп")</f>
        <v>Олимп</v>
      </c>
      <c r="L27" s="10"/>
      <c r="M27" s="10"/>
      <c r="N27" s="10"/>
      <c r="O27" s="10"/>
      <c r="P27" s="10"/>
      <c r="Q27" s="10"/>
      <c r="R27" s="10"/>
      <c r="S27" s="10"/>
      <c r="T27" s="10"/>
      <c r="U27" s="12"/>
      <c r="V27" s="12"/>
      <c r="W27" s="12"/>
      <c r="X27" s="12"/>
      <c r="Y27" s="12"/>
    </row>
    <row r="28" ht="29.25" customHeight="1">
      <c r="A28" s="44" t="s">
        <v>146</v>
      </c>
      <c r="B28" s="47">
        <v>24.0</v>
      </c>
      <c r="C28" s="51" t="s">
        <v>20</v>
      </c>
      <c r="D28" s="51" t="s">
        <v>50</v>
      </c>
      <c r="E28" s="51" t="s">
        <v>80</v>
      </c>
      <c r="F28" s="51" t="s">
        <v>103</v>
      </c>
      <c r="G28" s="55" t="str">
        <f t="shared" si="3"/>
        <v>Котл. кур Гр  </v>
      </c>
      <c r="H28" s="57" t="s">
        <v>1</v>
      </c>
      <c r="I28" s="10" t="str">
        <f>IFERROR(__xludf.DUMMYFUNCTION("""COMPUTED_VALUE"""),"Баса ")</f>
        <v>Баса </v>
      </c>
      <c r="J28" s="10">
        <f>IFERROR(__xludf.DUMMYFUNCTION("""COMPUTED_VALUE"""),4.0)</f>
        <v>4</v>
      </c>
      <c r="K28" s="10" t="str">
        <f>IFERROR(__xludf.DUMMYFUNCTION("""COMPUTED_VALUE"""),"Олимп")</f>
        <v>Олимп</v>
      </c>
      <c r="L28" s="10"/>
      <c r="M28" s="10"/>
      <c r="N28" s="10"/>
      <c r="O28" s="10"/>
      <c r="P28" s="10"/>
      <c r="Q28" s="10"/>
      <c r="R28" s="10"/>
      <c r="S28" s="10"/>
      <c r="T28" s="10"/>
      <c r="U28" s="12"/>
      <c r="V28" s="12"/>
      <c r="W28" s="12"/>
      <c r="X28" s="12"/>
      <c r="Y28" s="12"/>
    </row>
    <row r="29" ht="29.25" customHeight="1">
      <c r="A29" s="44" t="s">
        <v>149</v>
      </c>
      <c r="B29" s="47">
        <v>25.0</v>
      </c>
      <c r="C29" s="51" t="s">
        <v>35</v>
      </c>
      <c r="D29" s="51" t="s">
        <v>52</v>
      </c>
      <c r="E29" s="62" t="s">
        <v>65</v>
      </c>
      <c r="F29" s="51"/>
      <c r="G29" s="88" t="str">
        <f t="shared" si="3"/>
        <v>Вар.Кар </v>
      </c>
      <c r="H29" s="57" t="s">
        <v>1</v>
      </c>
      <c r="I29" s="10" t="str">
        <f>IFERROR(__xludf.DUMMYFUNCTION("""COMPUTED_VALUE"""),"Баса  FF")</f>
        <v>Баса  FF</v>
      </c>
      <c r="J29" s="10">
        <f>IFERROR(__xludf.DUMMYFUNCTION("""COMPUTED_VALUE"""),1.0)</f>
        <v>1</v>
      </c>
      <c r="K29" s="10" t="str">
        <f>IFERROR(__xludf.DUMMYFUNCTION("""COMPUTED_VALUE"""),"Олимп")</f>
        <v>Олимп</v>
      </c>
      <c r="L29" s="10"/>
      <c r="M29" s="10"/>
      <c r="N29" s="10"/>
      <c r="O29" s="10"/>
      <c r="P29" s="10"/>
      <c r="Q29" s="10"/>
      <c r="R29" s="10"/>
      <c r="S29" s="10"/>
      <c r="T29" s="10"/>
      <c r="U29" s="12"/>
      <c r="V29" s="12"/>
      <c r="W29" s="12"/>
      <c r="X29" s="12"/>
      <c r="Y29" s="12"/>
    </row>
    <row r="30" ht="29.25" customHeight="1">
      <c r="A30" s="77" t="s">
        <v>152</v>
      </c>
      <c r="B30" s="47">
        <v>26.0</v>
      </c>
      <c r="C30" s="51" t="s">
        <v>40</v>
      </c>
      <c r="D30" s="51" t="s">
        <v>59</v>
      </c>
      <c r="E30" s="51" t="s">
        <v>76</v>
      </c>
      <c r="F30" s="51" t="s">
        <v>103</v>
      </c>
      <c r="G30" s="55" t="str">
        <f t="shared" si="3"/>
        <v>Гуляш Гр  </v>
      </c>
      <c r="H30" s="57" t="s">
        <v>1</v>
      </c>
      <c r="I30" s="10" t="str">
        <f>IFERROR(__xludf.DUMMYFUNCTION("""COMPUTED_VALUE"""),"Баса Гр  ")</f>
        <v>Баса Гр  </v>
      </c>
      <c r="J30" s="10">
        <f>IFERROR(__xludf.DUMMYFUNCTION("""COMPUTED_VALUE"""),1.0)</f>
        <v>1</v>
      </c>
      <c r="K30" s="10" t="str">
        <f>IFERROR(__xludf.DUMMYFUNCTION("""COMPUTED_VALUE"""),"Олимп")</f>
        <v>Олимп</v>
      </c>
      <c r="L30" s="10"/>
      <c r="M30" s="10"/>
      <c r="N30" s="10"/>
      <c r="O30" s="10"/>
      <c r="P30" s="10"/>
      <c r="Q30" s="10"/>
      <c r="R30" s="10"/>
      <c r="S30" s="10"/>
      <c r="T30" s="10"/>
      <c r="U30" s="12"/>
      <c r="V30" s="12"/>
      <c r="W30" s="12"/>
      <c r="X30" s="12"/>
      <c r="Y30" s="12"/>
    </row>
    <row r="31" ht="29.25" customHeight="1">
      <c r="A31" s="44" t="s">
        <v>154</v>
      </c>
      <c r="B31" s="47">
        <v>27.0</v>
      </c>
      <c r="C31" s="51" t="s">
        <v>33</v>
      </c>
      <c r="D31" s="51" t="s">
        <v>48</v>
      </c>
      <c r="E31" s="51" t="s">
        <v>73</v>
      </c>
      <c r="F31" s="51"/>
      <c r="G31" s="55" t="str">
        <f t="shared" si="3"/>
        <v>Бл. твор </v>
      </c>
      <c r="H31" s="57" t="s">
        <v>1</v>
      </c>
      <c r="I31" s="10" t="str">
        <f>IFERROR(__xludf.DUMMYFUNCTION("""COMPUTED_VALUE"""),"Баса Картошка")</f>
        <v>Баса Картошка</v>
      </c>
      <c r="J31" s="10">
        <f>IFERROR(__xludf.DUMMYFUNCTION("""COMPUTED_VALUE"""),1.0)</f>
        <v>1</v>
      </c>
      <c r="K31" s="10" t="str">
        <f>IFERROR(__xludf.DUMMYFUNCTION("""COMPUTED_VALUE"""),"Олимп")</f>
        <v>Олимп</v>
      </c>
      <c r="L31" s="10"/>
      <c r="M31" s="10"/>
      <c r="N31" s="10"/>
      <c r="O31" s="10"/>
      <c r="P31" s="10"/>
      <c r="Q31" s="10"/>
      <c r="R31" s="10"/>
      <c r="S31" s="10"/>
      <c r="T31" s="10"/>
      <c r="U31" s="12"/>
      <c r="V31" s="12"/>
      <c r="W31" s="12"/>
      <c r="X31" s="12"/>
      <c r="Y31" s="12"/>
    </row>
    <row r="32" ht="29.25" customHeight="1">
      <c r="A32" s="3" t="s">
        <v>156</v>
      </c>
      <c r="B32" s="47">
        <v>28.0</v>
      </c>
      <c r="C32" s="51" t="s">
        <v>20</v>
      </c>
      <c r="D32" s="62" t="s">
        <v>52</v>
      </c>
      <c r="E32" s="51" t="s">
        <v>67</v>
      </c>
      <c r="F32" s="51" t="s">
        <v>117</v>
      </c>
      <c r="G32" s="55" t="str">
        <f t="shared" si="3"/>
        <v>S   Фасоль</v>
      </c>
      <c r="H32" s="57" t="s">
        <v>1</v>
      </c>
      <c r="I32" s="10" t="str">
        <f>IFERROR(__xludf.DUMMYFUNCTION("""COMPUTED_VALUE"""),"Баса Паста  ")</f>
        <v>Баса Паста  </v>
      </c>
      <c r="J32" s="10">
        <f>IFERROR(__xludf.DUMMYFUNCTION("""COMPUTED_VALUE"""),1.0)</f>
        <v>1</v>
      </c>
      <c r="K32" s="10" t="str">
        <f>IFERROR(__xludf.DUMMYFUNCTION("""COMPUTED_VALUE"""),"Олимп")</f>
        <v>Олимп</v>
      </c>
      <c r="L32" s="10"/>
      <c r="M32" s="10"/>
      <c r="N32" s="10"/>
      <c r="O32" s="10"/>
      <c r="P32" s="10"/>
      <c r="Q32" s="10"/>
      <c r="R32" s="10"/>
      <c r="S32" s="10"/>
      <c r="T32" s="10"/>
      <c r="U32" s="12"/>
      <c r="V32" s="12"/>
      <c r="W32" s="12"/>
      <c r="X32" s="12"/>
      <c r="Y32" s="12"/>
    </row>
    <row r="33" ht="29.25" customHeight="1">
      <c r="A33" s="44" t="s">
        <v>159</v>
      </c>
      <c r="B33" s="47">
        <v>29.0</v>
      </c>
      <c r="C33" s="51" t="s">
        <v>40</v>
      </c>
      <c r="D33" s="51" t="s">
        <v>48</v>
      </c>
      <c r="E33" s="51" t="s">
        <v>94</v>
      </c>
      <c r="F33" s="62" t="s">
        <v>68</v>
      </c>
      <c r="G33" s="55" t="str">
        <f t="shared" si="3"/>
        <v>Чалахач Картошка</v>
      </c>
      <c r="H33" s="57" t="s">
        <v>1</v>
      </c>
      <c r="I33" s="10" t="str">
        <f>IFERROR(__xludf.DUMMYFUNCTION("""COMPUTED_VALUE"""),"Баса Туш. кап.")</f>
        <v>Баса Туш. кап.</v>
      </c>
      <c r="J33" s="10">
        <f>IFERROR(__xludf.DUMMYFUNCTION("""COMPUTED_VALUE"""),2.0)</f>
        <v>2</v>
      </c>
      <c r="K33" s="10" t="str">
        <f>IFERROR(__xludf.DUMMYFUNCTION("""COMPUTED_VALUE"""),"Олимп")</f>
        <v>Олимп</v>
      </c>
      <c r="L33" s="10"/>
      <c r="M33" s="10"/>
      <c r="N33" s="10"/>
      <c r="O33" s="10"/>
      <c r="P33" s="10"/>
      <c r="Q33" s="10"/>
      <c r="R33" s="10"/>
      <c r="S33" s="10"/>
      <c r="T33" s="10"/>
      <c r="U33" s="12"/>
      <c r="V33" s="12"/>
      <c r="W33" s="12"/>
      <c r="X33" s="12"/>
      <c r="Y33" s="12"/>
    </row>
    <row r="34" ht="30.0" customHeight="1">
      <c r="A34" s="91" t="s">
        <v>161</v>
      </c>
      <c r="B34" s="47">
        <v>30.0</v>
      </c>
      <c r="C34" s="51" t="s">
        <v>25</v>
      </c>
      <c r="D34" s="62" t="s">
        <v>50</v>
      </c>
      <c r="E34" s="51" t="s">
        <v>77</v>
      </c>
      <c r="F34" s="62" t="s">
        <v>90</v>
      </c>
      <c r="G34" s="88" t="str">
        <f t="shared" si="3"/>
        <v>Дорадо Туш. кап.</v>
      </c>
      <c r="H34" s="57" t="s">
        <v>1</v>
      </c>
      <c r="I34" s="10" t="str">
        <f>IFERROR(__xludf.DUMMYFUNCTION("""COMPUTED_VALUE"""),"Бл. мясо ")</f>
        <v>Бл. мясо </v>
      </c>
      <c r="J34" s="10">
        <f>IFERROR(__xludf.DUMMYFUNCTION("""COMPUTED_VALUE"""),3.0)</f>
        <v>3</v>
      </c>
      <c r="K34" s="10" t="str">
        <f>IFERROR(__xludf.DUMMYFUNCTION("""COMPUTED_VALUE"""),"Олимп")</f>
        <v>Олимп</v>
      </c>
      <c r="L34" s="10"/>
      <c r="M34" s="10"/>
      <c r="N34" s="10"/>
      <c r="O34" s="10"/>
      <c r="P34" s="10"/>
      <c r="Q34" s="10"/>
      <c r="R34" s="10"/>
      <c r="S34" s="10"/>
      <c r="T34" s="10"/>
      <c r="U34" s="12"/>
      <c r="V34" s="12"/>
      <c r="W34" s="12"/>
      <c r="X34" s="12"/>
      <c r="Y34" s="12"/>
    </row>
    <row r="35" ht="30.0" customHeight="1">
      <c r="A35" s="77" t="s">
        <v>162</v>
      </c>
      <c r="B35" s="47">
        <v>31.0</v>
      </c>
      <c r="C35" s="62" t="s">
        <v>25</v>
      </c>
      <c r="D35" s="62" t="s">
        <v>50</v>
      </c>
      <c r="E35" s="62" t="s">
        <v>80</v>
      </c>
      <c r="F35" s="93" t="s">
        <v>68</v>
      </c>
      <c r="G35" s="55" t="str">
        <f t="shared" si="3"/>
        <v>Котл. кур Картошка</v>
      </c>
      <c r="H35" s="57" t="s">
        <v>1</v>
      </c>
      <c r="I35" s="10" t="str">
        <f>IFERROR(__xludf.DUMMYFUNCTION("""COMPUTED_VALUE"""),"Бл. твор ")</f>
        <v>Бл. твор </v>
      </c>
      <c r="J35" s="10">
        <f>IFERROR(__xludf.DUMMYFUNCTION("""COMPUTED_VALUE"""),2.0)</f>
        <v>2</v>
      </c>
      <c r="K35" s="10" t="str">
        <f>IFERROR(__xludf.DUMMYFUNCTION("""COMPUTED_VALUE"""),"Олимп")</f>
        <v>Олимп</v>
      </c>
      <c r="L35" s="10"/>
      <c r="M35" s="10"/>
      <c r="N35" s="10"/>
      <c r="O35" s="10"/>
      <c r="P35" s="10"/>
      <c r="Q35" s="10"/>
      <c r="R35" s="10"/>
      <c r="S35" s="10"/>
      <c r="T35" s="10"/>
      <c r="U35" s="12"/>
      <c r="V35" s="12"/>
      <c r="W35" s="12"/>
      <c r="X35" s="12"/>
      <c r="Y35" s="12"/>
    </row>
    <row r="36" ht="30.0" customHeight="1">
      <c r="A36" s="77" t="s">
        <v>165</v>
      </c>
      <c r="B36" s="47">
        <v>32.0</v>
      </c>
      <c r="C36" s="51" t="s">
        <v>25</v>
      </c>
      <c r="D36" s="51" t="s">
        <v>61</v>
      </c>
      <c r="E36" s="62" t="s">
        <v>65</v>
      </c>
      <c r="G36" s="55" t="str">
        <f t="shared" si="3"/>
        <v>Вар.Кар </v>
      </c>
      <c r="H36" s="57" t="s">
        <v>1</v>
      </c>
      <c r="I36" s="10" t="str">
        <f>IFERROR(__xludf.DUMMYFUNCTION("""COMPUTED_VALUE"""),"Бл. твор Паста  ")</f>
        <v>Бл. твор Паста  </v>
      </c>
      <c r="J36" s="10">
        <f>IFERROR(__xludf.DUMMYFUNCTION("""COMPUTED_VALUE"""),1.0)</f>
        <v>1</v>
      </c>
      <c r="K36" s="10" t="str">
        <f>IFERROR(__xludf.DUMMYFUNCTION("""COMPUTED_VALUE"""),"Олимп")</f>
        <v>Олимп</v>
      </c>
      <c r="L36" s="10"/>
      <c r="M36" s="10"/>
      <c r="N36" s="10"/>
      <c r="O36" s="10"/>
      <c r="P36" s="10"/>
      <c r="Q36" s="10"/>
      <c r="R36" s="10"/>
      <c r="S36" s="10"/>
      <c r="T36" s="10"/>
      <c r="U36" s="12"/>
      <c r="V36" s="12"/>
      <c r="W36" s="12"/>
      <c r="X36" s="12"/>
      <c r="Y36" s="12"/>
    </row>
    <row r="37" ht="30.0" customHeight="1">
      <c r="A37" s="44" t="s">
        <v>167</v>
      </c>
      <c r="B37" s="47">
        <v>33.0</v>
      </c>
      <c r="C37" s="51" t="s">
        <v>45</v>
      </c>
      <c r="D37" s="51" t="s">
        <v>57</v>
      </c>
      <c r="E37" s="62" t="s">
        <v>63</v>
      </c>
      <c r="F37" s="51"/>
      <c r="G37" s="55" t="str">
        <f t="shared" si="3"/>
        <v>Баса </v>
      </c>
      <c r="H37" s="57" t="s">
        <v>1</v>
      </c>
      <c r="I37" s="10" t="str">
        <f>IFERROR(__xludf.DUMMYFUNCTION("""COMPUTED_VALUE"""),"Вар.Кар ")</f>
        <v>Вар.Кар </v>
      </c>
      <c r="J37" s="10">
        <f>IFERROR(__xludf.DUMMYFUNCTION("""COMPUTED_VALUE"""),4.0)</f>
        <v>4</v>
      </c>
      <c r="K37" s="10" t="str">
        <f>IFERROR(__xludf.DUMMYFUNCTION("""COMPUTED_VALUE"""),"Олимп")</f>
        <v>Олимп</v>
      </c>
      <c r="L37" s="10"/>
      <c r="M37" s="10"/>
      <c r="N37" s="10"/>
      <c r="O37" s="10"/>
      <c r="P37" s="10"/>
      <c r="Q37" s="10"/>
      <c r="R37" s="10"/>
      <c r="S37" s="10"/>
      <c r="T37" s="10"/>
      <c r="U37" s="12"/>
      <c r="V37" s="12"/>
      <c r="W37" s="12"/>
      <c r="X37" s="12"/>
      <c r="Y37" s="12"/>
    </row>
    <row r="38" ht="30.0" customHeight="1">
      <c r="A38" s="44" t="s">
        <v>170</v>
      </c>
      <c r="B38" s="47">
        <v>34.0</v>
      </c>
      <c r="C38" s="51" t="s">
        <v>33</v>
      </c>
      <c r="D38" s="51" t="s">
        <v>50</v>
      </c>
      <c r="E38" s="51" t="s">
        <v>63</v>
      </c>
      <c r="F38" s="51"/>
      <c r="G38" s="55" t="str">
        <f t="shared" si="3"/>
        <v>Баса </v>
      </c>
      <c r="H38" s="57" t="s">
        <v>1</v>
      </c>
      <c r="I38" s="10" t="str">
        <f>IFERROR(__xludf.DUMMYFUNCTION("""COMPUTED_VALUE"""),"Голубцы ")</f>
        <v>Голубцы </v>
      </c>
      <c r="J38" s="10">
        <f>IFERROR(__xludf.DUMMYFUNCTION("""COMPUTED_VALUE"""),1.0)</f>
        <v>1</v>
      </c>
      <c r="K38" s="10" t="str">
        <f>IFERROR(__xludf.DUMMYFUNCTION("""COMPUTED_VALUE"""),"Олимп")</f>
        <v>Олимп</v>
      </c>
      <c r="L38" s="10"/>
      <c r="M38" s="10"/>
      <c r="N38" s="10"/>
      <c r="O38" s="10"/>
      <c r="P38" s="10"/>
      <c r="Q38" s="10"/>
      <c r="R38" s="10"/>
      <c r="S38" s="10"/>
      <c r="T38" s="10"/>
      <c r="U38" s="12"/>
      <c r="V38" s="12"/>
      <c r="W38" s="12"/>
      <c r="X38" s="12"/>
      <c r="Y38" s="12"/>
    </row>
    <row r="39" ht="30.0" customHeight="1">
      <c r="A39" s="44" t="s">
        <v>173</v>
      </c>
      <c r="B39" s="47">
        <v>35.0</v>
      </c>
      <c r="C39" s="51" t="s">
        <v>40</v>
      </c>
      <c r="D39" s="51" t="s">
        <v>48</v>
      </c>
      <c r="E39" s="51" t="s">
        <v>76</v>
      </c>
      <c r="F39" s="51" t="s">
        <v>90</v>
      </c>
      <c r="G39" s="55" t="str">
        <f t="shared" si="3"/>
        <v>Гуляш Туш. кап.</v>
      </c>
      <c r="H39" s="57" t="s">
        <v>1</v>
      </c>
      <c r="I39" s="10" t="str">
        <f>IFERROR(__xludf.DUMMYFUNCTION("""COMPUTED_VALUE"""),"Гуляш Гр  ")</f>
        <v>Гуляш Гр  </v>
      </c>
      <c r="J39" s="10">
        <f>IFERROR(__xludf.DUMMYFUNCTION("""COMPUTED_VALUE"""),1.0)</f>
        <v>1</v>
      </c>
      <c r="K39" s="10" t="str">
        <f>IFERROR(__xludf.DUMMYFUNCTION("""COMPUTED_VALUE"""),"Олимп")</f>
        <v>Олимп</v>
      </c>
      <c r="L39" s="10"/>
      <c r="M39" s="10"/>
      <c r="N39" s="10"/>
      <c r="O39" s="10"/>
      <c r="P39" s="10"/>
      <c r="Q39" s="10"/>
      <c r="R39" s="10"/>
      <c r="S39" s="10"/>
      <c r="T39" s="10"/>
      <c r="U39" s="12"/>
      <c r="V39" s="12"/>
      <c r="W39" s="12"/>
      <c r="X39" s="12"/>
      <c r="Y39" s="12"/>
    </row>
    <row r="40" ht="30.0" customHeight="1">
      <c r="A40" s="44" t="s">
        <v>178</v>
      </c>
      <c r="B40" s="47">
        <v>36.0</v>
      </c>
      <c r="C40" s="51" t="s">
        <v>35</v>
      </c>
      <c r="D40" s="51" t="s">
        <v>48</v>
      </c>
      <c r="E40" s="51" t="s">
        <v>67</v>
      </c>
      <c r="F40" s="51" t="s">
        <v>117</v>
      </c>
      <c r="G40" s="55" t="str">
        <f t="shared" si="3"/>
        <v>S   Фасоль</v>
      </c>
      <c r="H40" s="57" t="s">
        <v>1</v>
      </c>
      <c r="I40" s="10" t="str">
        <f>IFERROR(__xludf.DUMMYFUNCTION("""COMPUTED_VALUE"""),"Гуляш Туш. кап.")</f>
        <v>Гуляш Туш. кап.</v>
      </c>
      <c r="J40" s="10">
        <f>IFERROR(__xludf.DUMMYFUNCTION("""COMPUTED_VALUE"""),1.0)</f>
        <v>1</v>
      </c>
      <c r="K40" s="10" t="str">
        <f>IFERROR(__xludf.DUMMYFUNCTION("""COMPUTED_VALUE"""),"Олимп")</f>
        <v>Олимп</v>
      </c>
      <c r="L40" s="10"/>
      <c r="M40" s="10"/>
      <c r="N40" s="10"/>
      <c r="O40" s="10"/>
      <c r="P40" s="10"/>
      <c r="Q40" s="10"/>
      <c r="R40" s="10"/>
      <c r="S40" s="10"/>
      <c r="T40" s="10"/>
      <c r="U40" s="12"/>
      <c r="V40" s="12"/>
      <c r="W40" s="12"/>
      <c r="X40" s="12"/>
      <c r="Y40" s="12"/>
    </row>
    <row r="41" ht="30.0" customHeight="1">
      <c r="A41" s="77" t="s">
        <v>181</v>
      </c>
      <c r="B41" s="47">
        <v>37.0</v>
      </c>
      <c r="C41" s="51" t="s">
        <v>35</v>
      </c>
      <c r="D41" s="51" t="s">
        <v>57</v>
      </c>
      <c r="E41" s="51" t="s">
        <v>73</v>
      </c>
      <c r="F41" s="51"/>
      <c r="G41" s="55" t="str">
        <f t="shared" si="3"/>
        <v>Бл. твор </v>
      </c>
      <c r="H41" s="57" t="s">
        <v>1</v>
      </c>
      <c r="I41" s="10" t="str">
        <f>IFERROR(__xludf.DUMMYFUNCTION("""COMPUTED_VALUE"""),"Гуляш Фасоль")</f>
        <v>Гуляш Фасоль</v>
      </c>
      <c r="J41" s="10">
        <f>IFERROR(__xludf.DUMMYFUNCTION("""COMPUTED_VALUE"""),1.0)</f>
        <v>1</v>
      </c>
      <c r="K41" s="10" t="str">
        <f>IFERROR(__xludf.DUMMYFUNCTION("""COMPUTED_VALUE"""),"Олимп")</f>
        <v>Олимп</v>
      </c>
      <c r="L41" s="10"/>
      <c r="M41" s="10"/>
      <c r="N41" s="10"/>
      <c r="O41" s="10"/>
      <c r="P41" s="10"/>
      <c r="Q41" s="10"/>
      <c r="R41" s="10"/>
      <c r="S41" s="10"/>
      <c r="T41" s="10"/>
      <c r="U41" s="12"/>
      <c r="V41" s="12"/>
      <c r="W41" s="12"/>
      <c r="X41" s="12"/>
      <c r="Y41" s="12"/>
    </row>
    <row r="42" ht="30.0" customHeight="1">
      <c r="A42" s="91" t="s">
        <v>184</v>
      </c>
      <c r="B42" s="47">
        <v>38.0</v>
      </c>
      <c r="C42" s="51" t="s">
        <v>40</v>
      </c>
      <c r="D42" s="51" t="s">
        <v>50</v>
      </c>
      <c r="E42" s="51" t="s">
        <v>91</v>
      </c>
      <c r="F42" s="62" t="s">
        <v>103</v>
      </c>
      <c r="G42" s="55" t="str">
        <f t="shared" si="3"/>
        <v>табака  Гр  </v>
      </c>
      <c r="H42" s="57" t="s">
        <v>1</v>
      </c>
      <c r="I42" s="10" t="str">
        <f>IFERROR(__xludf.DUMMYFUNCTION("""COMPUTED_VALUE"""),"Дорадо Гр  ")</f>
        <v>Дорадо Гр  </v>
      </c>
      <c r="J42" s="10">
        <f>IFERROR(__xludf.DUMMYFUNCTION("""COMPUTED_VALUE"""),2.0)</f>
        <v>2</v>
      </c>
      <c r="K42" s="10" t="str">
        <f>IFERROR(__xludf.DUMMYFUNCTION("""COMPUTED_VALUE"""),"Олимп")</f>
        <v>Олимп</v>
      </c>
      <c r="L42" s="10"/>
      <c r="M42" s="10"/>
      <c r="N42" s="10"/>
      <c r="O42" s="10"/>
      <c r="P42" s="10"/>
      <c r="Q42" s="10"/>
      <c r="R42" s="10"/>
      <c r="S42" s="10"/>
      <c r="T42" s="10"/>
      <c r="U42" s="12"/>
      <c r="V42" s="12"/>
      <c r="W42" s="12"/>
      <c r="X42" s="12"/>
      <c r="Y42" s="12"/>
    </row>
    <row r="43" ht="30.0" customHeight="1">
      <c r="A43" s="77" t="s">
        <v>187</v>
      </c>
      <c r="B43" s="47">
        <v>39.0</v>
      </c>
      <c r="C43" s="51" t="s">
        <v>25</v>
      </c>
      <c r="D43" s="51" t="s">
        <v>48</v>
      </c>
      <c r="E43" s="51" t="s">
        <v>71</v>
      </c>
      <c r="F43" s="62"/>
      <c r="G43" s="55" t="str">
        <f t="shared" si="3"/>
        <v>Бл. мясо </v>
      </c>
      <c r="H43" s="57" t="s">
        <v>1</v>
      </c>
      <c r="I43" s="10" t="str">
        <f>IFERROR(__xludf.DUMMYFUNCTION("""COMPUTED_VALUE"""),"Дорадо Туш. кап.")</f>
        <v>Дорадо Туш. кап.</v>
      </c>
      <c r="J43" s="10">
        <f>IFERROR(__xludf.DUMMYFUNCTION("""COMPUTED_VALUE"""),2.0)</f>
        <v>2</v>
      </c>
      <c r="K43" s="10" t="str">
        <f>IFERROR(__xludf.DUMMYFUNCTION("""COMPUTED_VALUE"""),"Олимп")</f>
        <v>Олимп</v>
      </c>
      <c r="L43" s="10"/>
      <c r="M43" s="10"/>
      <c r="N43" s="10"/>
      <c r="O43" s="10"/>
      <c r="P43" s="10"/>
      <c r="Q43" s="10"/>
      <c r="R43" s="10"/>
      <c r="S43" s="10"/>
      <c r="T43" s="10"/>
      <c r="U43" s="12"/>
      <c r="V43" s="12"/>
      <c r="W43" s="12"/>
      <c r="X43" s="12"/>
      <c r="Y43" s="12"/>
    </row>
    <row r="44" ht="30.0" customHeight="1">
      <c r="A44" s="3" t="s">
        <v>189</v>
      </c>
      <c r="B44" s="47">
        <v>40.0</v>
      </c>
      <c r="C44" s="51" t="s">
        <v>25</v>
      </c>
      <c r="D44" s="51" t="s">
        <v>48</v>
      </c>
      <c r="E44" s="51" t="s">
        <v>63</v>
      </c>
      <c r="F44" s="51" t="s">
        <v>103</v>
      </c>
      <c r="G44" s="55" t="str">
        <f t="shared" si="3"/>
        <v>Баса Гр  </v>
      </c>
      <c r="H44" s="57" t="s">
        <v>1</v>
      </c>
      <c r="I44" s="10" t="str">
        <f>IFERROR(__xludf.DUMMYFUNCTION("""COMPUTED_VALUE"""),"Котл. кур ")</f>
        <v>Котл. кур </v>
      </c>
      <c r="J44" s="10">
        <f>IFERROR(__xludf.DUMMYFUNCTION("""COMPUTED_VALUE"""),1.0)</f>
        <v>1</v>
      </c>
      <c r="K44" s="10" t="str">
        <f>IFERROR(__xludf.DUMMYFUNCTION("""COMPUTED_VALUE"""),"Олимп")</f>
        <v>Олимп</v>
      </c>
      <c r="L44" s="10"/>
      <c r="M44" s="10"/>
      <c r="N44" s="10"/>
      <c r="O44" s="10"/>
      <c r="P44" s="10"/>
      <c r="Q44" s="10"/>
      <c r="R44" s="10"/>
      <c r="S44" s="10"/>
      <c r="T44" s="10"/>
      <c r="U44" s="12"/>
      <c r="V44" s="12"/>
      <c r="W44" s="12"/>
      <c r="X44" s="12"/>
      <c r="Y44" s="12"/>
    </row>
    <row r="45" ht="30.0" customHeight="1">
      <c r="A45" s="77" t="s">
        <v>193</v>
      </c>
      <c r="B45" s="47">
        <v>41.0</v>
      </c>
      <c r="C45" s="51" t="s">
        <v>40</v>
      </c>
      <c r="D45" s="51" t="s">
        <v>50</v>
      </c>
      <c r="E45" s="51" t="s">
        <v>80</v>
      </c>
      <c r="F45" s="62" t="s">
        <v>103</v>
      </c>
      <c r="G45" s="55" t="str">
        <f t="shared" si="3"/>
        <v>Котл. кур Гр  </v>
      </c>
      <c r="H45" s="57" t="s">
        <v>1</v>
      </c>
      <c r="I45" s="10" t="str">
        <f>IFERROR(__xludf.DUMMYFUNCTION("""COMPUTED_VALUE"""),"Котл. кур MP ")</f>
        <v>Котл. кур MP </v>
      </c>
      <c r="J45" s="10">
        <f>IFERROR(__xludf.DUMMYFUNCTION("""COMPUTED_VALUE"""),1.0)</f>
        <v>1</v>
      </c>
      <c r="K45" s="10" t="str">
        <f>IFERROR(__xludf.DUMMYFUNCTION("""COMPUTED_VALUE"""),"Олимп")</f>
        <v>Олимп</v>
      </c>
      <c r="L45" s="10"/>
      <c r="M45" s="10"/>
      <c r="N45" s="10"/>
      <c r="O45" s="10"/>
      <c r="P45" s="10"/>
      <c r="Q45" s="10"/>
      <c r="R45" s="10"/>
      <c r="S45" s="10"/>
      <c r="T45" s="10"/>
      <c r="U45" s="12"/>
      <c r="V45" s="12"/>
      <c r="W45" s="12"/>
      <c r="X45" s="12"/>
      <c r="Y45" s="12"/>
    </row>
    <row r="46" ht="30.0" customHeight="1">
      <c r="A46" s="77" t="s">
        <v>196</v>
      </c>
      <c r="B46" s="47">
        <v>42.0</v>
      </c>
      <c r="C46" s="51" t="s">
        <v>16</v>
      </c>
      <c r="D46" s="51" t="s">
        <v>50</v>
      </c>
      <c r="E46" s="62" t="s">
        <v>83</v>
      </c>
      <c r="F46" s="101"/>
      <c r="G46" s="55" t="str">
        <f t="shared" si="3"/>
        <v>Пельмени </v>
      </c>
      <c r="H46" s="57" t="s">
        <v>1</v>
      </c>
      <c r="I46" s="10" t="str">
        <f>IFERROR(__xludf.DUMMYFUNCTION("""COMPUTED_VALUE"""),"Котл. кур Гр  ")</f>
        <v>Котл. кур Гр  </v>
      </c>
      <c r="J46" s="10">
        <f>IFERROR(__xludf.DUMMYFUNCTION("""COMPUTED_VALUE"""),3.0)</f>
        <v>3</v>
      </c>
      <c r="K46" s="10" t="str">
        <f>IFERROR(__xludf.DUMMYFUNCTION("""COMPUTED_VALUE"""),"Олимп")</f>
        <v>Олимп</v>
      </c>
      <c r="L46" s="10"/>
      <c r="M46" s="10"/>
      <c r="N46" s="10"/>
      <c r="O46" s="10"/>
      <c r="P46" s="10"/>
      <c r="Q46" s="10"/>
      <c r="R46" s="10"/>
      <c r="S46" s="10"/>
      <c r="T46" s="10"/>
      <c r="U46" s="12"/>
      <c r="V46" s="12"/>
      <c r="W46" s="12"/>
      <c r="X46" s="12"/>
      <c r="Y46" s="12"/>
    </row>
    <row r="47" ht="30.0" customHeight="1">
      <c r="A47" s="44" t="s">
        <v>199</v>
      </c>
      <c r="B47" s="47">
        <v>43.0</v>
      </c>
      <c r="C47" s="51" t="s">
        <v>33</v>
      </c>
      <c r="D47" s="51" t="s">
        <v>50</v>
      </c>
      <c r="E47" s="62" t="s">
        <v>63</v>
      </c>
      <c r="F47" s="51"/>
      <c r="G47" s="55" t="str">
        <f t="shared" si="3"/>
        <v>Баса </v>
      </c>
      <c r="H47" s="57" t="s">
        <v>1</v>
      </c>
      <c r="I47" s="10" t="str">
        <f>IFERROR(__xludf.DUMMYFUNCTION("""COMPUTED_VALUE"""),"Котл. кур Картошка")</f>
        <v>Котл. кур Картошка</v>
      </c>
      <c r="J47" s="10">
        <f>IFERROR(__xludf.DUMMYFUNCTION("""COMPUTED_VALUE"""),1.0)</f>
        <v>1</v>
      </c>
      <c r="K47" s="10" t="str">
        <f>IFERROR(__xludf.DUMMYFUNCTION("""COMPUTED_VALUE"""),"Олимп")</f>
        <v>Олимп</v>
      </c>
      <c r="L47" s="10"/>
      <c r="M47" s="10"/>
      <c r="N47" s="10"/>
      <c r="O47" s="10"/>
      <c r="P47" s="10"/>
      <c r="Q47" s="10"/>
      <c r="R47" s="10"/>
      <c r="S47" s="10"/>
      <c r="T47" s="10"/>
      <c r="U47" s="12"/>
      <c r="V47" s="12"/>
      <c r="W47" s="12"/>
      <c r="X47" s="12"/>
      <c r="Y47" s="12"/>
    </row>
    <row r="48" ht="30.0" customHeight="1">
      <c r="A48" s="77" t="s">
        <v>201</v>
      </c>
      <c r="B48" s="47">
        <v>44.0</v>
      </c>
      <c r="C48" s="51" t="s">
        <v>25</v>
      </c>
      <c r="D48" s="51" t="s">
        <v>61</v>
      </c>
      <c r="E48" s="51" t="s">
        <v>65</v>
      </c>
      <c r="F48" s="51"/>
      <c r="G48" s="55" t="str">
        <f t="shared" si="3"/>
        <v>Вар.Кар </v>
      </c>
      <c r="H48" s="57" t="s">
        <v>1</v>
      </c>
      <c r="I48" s="10" t="str">
        <f>IFERROR(__xludf.DUMMYFUNCTION("""COMPUTED_VALUE"""),"Котл. кур Туш. кап.")</f>
        <v>Котл. кур Туш. кап.</v>
      </c>
      <c r="J48" s="10">
        <f>IFERROR(__xludf.DUMMYFUNCTION("""COMPUTED_VALUE"""),2.0)</f>
        <v>2</v>
      </c>
      <c r="K48" s="10" t="str">
        <f>IFERROR(__xludf.DUMMYFUNCTION("""COMPUTED_VALUE"""),"Олимп")</f>
        <v>Олимп</v>
      </c>
      <c r="L48" s="10"/>
      <c r="M48" s="10"/>
      <c r="N48" s="10"/>
      <c r="O48" s="10"/>
      <c r="P48" s="10"/>
      <c r="Q48" s="10"/>
      <c r="R48" s="10"/>
      <c r="S48" s="10"/>
      <c r="T48" s="10"/>
      <c r="U48" s="12"/>
      <c r="V48" s="12"/>
      <c r="W48" s="12"/>
      <c r="X48" s="12"/>
      <c r="Y48" s="12"/>
    </row>
    <row r="49" ht="30.0" customHeight="1">
      <c r="A49" s="91" t="s">
        <v>205</v>
      </c>
      <c r="B49" s="47">
        <v>45.0</v>
      </c>
      <c r="C49" s="103" t="s">
        <v>45</v>
      </c>
      <c r="D49" s="92" t="s">
        <v>50</v>
      </c>
      <c r="E49" s="103" t="s">
        <v>80</v>
      </c>
      <c r="F49" s="103" t="s">
        <v>111</v>
      </c>
      <c r="G49" s="104" t="str">
        <f t="shared" si="3"/>
        <v>Котл. кур MP </v>
      </c>
      <c r="H49" s="104" t="s">
        <v>1</v>
      </c>
      <c r="I49" s="10" t="str">
        <f>IFERROR(__xludf.DUMMYFUNCTION("""COMPUTED_VALUE"""),"Котл. кур Фасоль")</f>
        <v>Котл. кур Фасоль</v>
      </c>
      <c r="J49" s="10">
        <f>IFERROR(__xludf.DUMMYFUNCTION("""COMPUTED_VALUE"""),1.0)</f>
        <v>1</v>
      </c>
      <c r="K49" s="10" t="str">
        <f>IFERROR(__xludf.DUMMYFUNCTION("""COMPUTED_VALUE"""),"Олимп")</f>
        <v>Олимп</v>
      </c>
      <c r="L49" s="10"/>
      <c r="M49" s="10"/>
      <c r="N49" s="10"/>
      <c r="O49" s="10"/>
      <c r="P49" s="10"/>
      <c r="Q49" s="10"/>
      <c r="R49" s="10"/>
      <c r="S49" s="10"/>
      <c r="T49" s="10"/>
      <c r="U49" s="12"/>
      <c r="V49" s="12"/>
      <c r="W49" s="12"/>
      <c r="X49" s="12"/>
      <c r="Y49" s="12"/>
    </row>
    <row r="50" ht="30.0" customHeight="1">
      <c r="A50" s="44" t="s">
        <v>211</v>
      </c>
      <c r="B50" s="47">
        <v>46.0</v>
      </c>
      <c r="C50" s="51" t="s">
        <v>25</v>
      </c>
      <c r="D50" s="51" t="s">
        <v>55</v>
      </c>
      <c r="E50" s="51" t="s">
        <v>80</v>
      </c>
      <c r="F50" s="51" t="s">
        <v>103</v>
      </c>
      <c r="G50" s="55" t="str">
        <f t="shared" si="3"/>
        <v>Котл. кур Гр  </v>
      </c>
      <c r="H50" s="57" t="s">
        <v>1</v>
      </c>
      <c r="I50" s="10" t="str">
        <f>IFERROR(__xludf.DUMMYFUNCTION("""COMPUTED_VALUE"""),"Пельмени ")</f>
        <v>Пельмени </v>
      </c>
      <c r="J50" s="10">
        <f>IFERROR(__xludf.DUMMYFUNCTION("""COMPUTED_VALUE"""),2.0)</f>
        <v>2</v>
      </c>
      <c r="K50" s="10" t="str">
        <f>IFERROR(__xludf.DUMMYFUNCTION("""COMPUTED_VALUE"""),"Олимп")</f>
        <v>Олимп</v>
      </c>
      <c r="L50" s="10"/>
      <c r="M50" s="10"/>
      <c r="N50" s="10"/>
      <c r="O50" s="10"/>
      <c r="P50" s="10"/>
      <c r="Q50" s="10"/>
      <c r="R50" s="10"/>
      <c r="S50" s="10"/>
      <c r="T50" s="10"/>
      <c r="U50" s="12"/>
      <c r="V50" s="12"/>
      <c r="W50" s="12"/>
      <c r="X50" s="12"/>
      <c r="Y50" s="12"/>
    </row>
    <row r="51" ht="30.0" customHeight="1">
      <c r="A51" s="3" t="s">
        <v>214</v>
      </c>
      <c r="B51" s="47">
        <v>47.0</v>
      </c>
      <c r="C51" s="51" t="s">
        <v>31</v>
      </c>
      <c r="D51" s="51" t="s">
        <v>59</v>
      </c>
      <c r="E51" s="51" t="s">
        <v>80</v>
      </c>
      <c r="F51" s="51" t="s">
        <v>90</v>
      </c>
      <c r="G51" s="55" t="str">
        <f t="shared" si="3"/>
        <v>Котл. кур Туш. кап.</v>
      </c>
      <c r="H51" s="57" t="s">
        <v>1</v>
      </c>
      <c r="I51" s="10" t="str">
        <f>IFERROR(__xludf.DUMMYFUNCTION("""COMPUTED_VALUE"""),"Поперечка Туш. кап.")</f>
        <v>Поперечка Туш. кап.</v>
      </c>
      <c r="J51" s="10">
        <f>IFERROR(__xludf.DUMMYFUNCTION("""COMPUTED_VALUE"""),1.0)</f>
        <v>1</v>
      </c>
      <c r="K51" s="10" t="str">
        <f>IFERROR(__xludf.DUMMYFUNCTION("""COMPUTED_VALUE"""),"Олимп")</f>
        <v>Олимп</v>
      </c>
      <c r="L51" s="10"/>
      <c r="M51" s="10"/>
      <c r="N51" s="10"/>
      <c r="O51" s="10"/>
      <c r="P51" s="10"/>
      <c r="Q51" s="10"/>
      <c r="R51" s="10"/>
      <c r="S51" s="10"/>
      <c r="T51" s="10"/>
      <c r="U51" s="12"/>
      <c r="V51" s="12"/>
      <c r="W51" s="12"/>
      <c r="X51" s="12"/>
      <c r="Y51" s="12"/>
    </row>
    <row r="52" ht="30.0" customHeight="1">
      <c r="A52" s="44" t="s">
        <v>218</v>
      </c>
      <c r="B52" s="47">
        <v>48.0</v>
      </c>
      <c r="C52" s="51" t="s">
        <v>16</v>
      </c>
      <c r="D52" s="51" t="s">
        <v>55</v>
      </c>
      <c r="E52" s="51" t="s">
        <v>83</v>
      </c>
      <c r="F52" s="62"/>
      <c r="G52" s="55" t="str">
        <f t="shared" si="3"/>
        <v>Пельмени </v>
      </c>
      <c r="H52" s="57" t="s">
        <v>1</v>
      </c>
      <c r="I52" s="10" t="str">
        <f>IFERROR(__xludf.DUMMYFUNCTION("""COMPUTED_VALUE"""),"Терияки Паста  ")</f>
        <v>Терияки Паста  </v>
      </c>
      <c r="J52" s="10">
        <f>IFERROR(__xludf.DUMMYFUNCTION("""COMPUTED_VALUE"""),1.0)</f>
        <v>1</v>
      </c>
      <c r="K52" s="10" t="str">
        <f>IFERROR(__xludf.DUMMYFUNCTION("""COMPUTED_VALUE"""),"Олимп")</f>
        <v>Олимп</v>
      </c>
      <c r="L52" s="10"/>
      <c r="M52" s="10"/>
      <c r="N52" s="10"/>
      <c r="O52" s="10"/>
      <c r="P52" s="10"/>
      <c r="Q52" s="10"/>
      <c r="R52" s="10"/>
      <c r="S52" s="10"/>
      <c r="T52" s="10"/>
      <c r="U52" s="12"/>
      <c r="V52" s="12"/>
      <c r="W52" s="12"/>
      <c r="X52" s="12"/>
      <c r="Y52" s="12"/>
    </row>
    <row r="53" ht="30.0" customHeight="1">
      <c r="A53" s="44" t="s">
        <v>220</v>
      </c>
      <c r="B53" s="47">
        <v>49.0</v>
      </c>
      <c r="C53" s="51" t="s">
        <v>40</v>
      </c>
      <c r="D53" s="51" t="s">
        <v>50</v>
      </c>
      <c r="E53" s="51" t="s">
        <v>76</v>
      </c>
      <c r="F53" s="51" t="s">
        <v>117</v>
      </c>
      <c r="G53" s="55" t="str">
        <f t="shared" si="3"/>
        <v>Гуляш Фасоль</v>
      </c>
      <c r="H53" s="57" t="s">
        <v>1</v>
      </c>
      <c r="I53" s="10" t="str">
        <f>IFERROR(__xludf.DUMMYFUNCTION("""COMPUTED_VALUE"""),"Чалахач Гр  ")</f>
        <v>Чалахач Гр  </v>
      </c>
      <c r="J53" s="10">
        <f>IFERROR(__xludf.DUMMYFUNCTION("""COMPUTED_VALUE"""),1.0)</f>
        <v>1</v>
      </c>
      <c r="K53" s="10" t="str">
        <f>IFERROR(__xludf.DUMMYFUNCTION("""COMPUTED_VALUE"""),"Олимп")</f>
        <v>Олимп</v>
      </c>
      <c r="L53" s="10"/>
      <c r="M53" s="10"/>
      <c r="N53" s="10"/>
      <c r="O53" s="10"/>
      <c r="P53" s="10"/>
      <c r="Q53" s="10"/>
      <c r="R53" s="10"/>
      <c r="S53" s="10"/>
      <c r="T53" s="10"/>
      <c r="U53" s="12"/>
      <c r="V53" s="12"/>
      <c r="W53" s="12"/>
      <c r="X53" s="12"/>
      <c r="Y53" s="12"/>
    </row>
    <row r="54" ht="30.0" customHeight="1">
      <c r="A54" s="44" t="s">
        <v>226</v>
      </c>
      <c r="B54" s="47">
        <v>50.0</v>
      </c>
      <c r="C54" s="51" t="s">
        <v>25</v>
      </c>
      <c r="D54" s="51" t="s">
        <v>55</v>
      </c>
      <c r="E54" s="51" t="s">
        <v>77</v>
      </c>
      <c r="F54" s="51" t="s">
        <v>103</v>
      </c>
      <c r="G54" s="55" t="str">
        <f t="shared" si="3"/>
        <v>Дорадо Гр  </v>
      </c>
      <c r="H54" s="57" t="s">
        <v>1</v>
      </c>
      <c r="I54" s="10" t="str">
        <f>IFERROR(__xludf.DUMMYFUNCTION("""COMPUTED_VALUE"""),"Чалахач Картошка")</f>
        <v>Чалахач Картошка</v>
      </c>
      <c r="J54" s="10">
        <f>IFERROR(__xludf.DUMMYFUNCTION("""COMPUTED_VALUE"""),2.0)</f>
        <v>2</v>
      </c>
      <c r="K54" s="10" t="str">
        <f>IFERROR(__xludf.DUMMYFUNCTION("""COMPUTED_VALUE"""),"Олимп")</f>
        <v>Олимп</v>
      </c>
      <c r="L54" s="10"/>
      <c r="M54" s="10"/>
      <c r="N54" s="10"/>
      <c r="O54" s="10"/>
      <c r="P54" s="10"/>
      <c r="Q54" s="10"/>
      <c r="R54" s="10"/>
      <c r="S54" s="10"/>
      <c r="T54" s="10"/>
      <c r="U54" s="12"/>
      <c r="V54" s="12"/>
      <c r="W54" s="12"/>
      <c r="X54" s="12"/>
      <c r="Y54" s="12"/>
    </row>
    <row r="55" ht="30.0" customHeight="1">
      <c r="A55" s="91" t="s">
        <v>228</v>
      </c>
      <c r="B55" s="47">
        <v>51.0</v>
      </c>
      <c r="C55" s="51" t="s">
        <v>25</v>
      </c>
      <c r="D55" s="51" t="s">
        <v>59</v>
      </c>
      <c r="E55" s="51" t="s">
        <v>80</v>
      </c>
      <c r="F55" s="51"/>
      <c r="G55" s="55" t="str">
        <f t="shared" si="3"/>
        <v>Котл. кур </v>
      </c>
      <c r="H55" s="57" t="s">
        <v>1</v>
      </c>
      <c r="I55" s="10" t="str">
        <f>IFERROR(__xludf.DUMMYFUNCTION("""COMPUTED_VALUE"""),"Чалахач Туш. кап.")</f>
        <v>Чалахач Туш. кап.</v>
      </c>
      <c r="J55" s="10">
        <f>IFERROR(__xludf.DUMMYFUNCTION("""COMPUTED_VALUE"""),1.0)</f>
        <v>1</v>
      </c>
      <c r="K55" s="10" t="str">
        <f>IFERROR(__xludf.DUMMYFUNCTION("""COMPUTED_VALUE"""),"Олимп")</f>
        <v>Олимп</v>
      </c>
      <c r="L55" s="10"/>
      <c r="M55" s="10"/>
      <c r="N55" s="10"/>
      <c r="O55" s="10"/>
      <c r="P55" s="10"/>
      <c r="Q55" s="10"/>
      <c r="R55" s="10"/>
      <c r="S55" s="10"/>
      <c r="T55" s="10"/>
      <c r="U55" s="12"/>
      <c r="V55" s="12"/>
      <c r="W55" s="12"/>
      <c r="X55" s="12"/>
      <c r="Y55" s="12"/>
    </row>
    <row r="56" ht="30.0" customHeight="1">
      <c r="A56" s="77" t="s">
        <v>232</v>
      </c>
      <c r="B56" s="47">
        <v>52.0</v>
      </c>
      <c r="C56" s="51" t="s">
        <v>16</v>
      </c>
      <c r="D56" s="51" t="s">
        <v>48</v>
      </c>
      <c r="E56" s="62" t="s">
        <v>63</v>
      </c>
      <c r="F56" s="62"/>
      <c r="G56" s="55" t="str">
        <f t="shared" si="3"/>
        <v>Баса </v>
      </c>
      <c r="H56" s="57" t="s">
        <v>1</v>
      </c>
      <c r="I56" s="10" t="str">
        <f>IFERROR(__xludf.DUMMYFUNCTION("""COMPUTED_VALUE"""),"Шницель Гр  ")</f>
        <v>Шницель Гр  </v>
      </c>
      <c r="J56" s="10">
        <f>IFERROR(__xludf.DUMMYFUNCTION("""COMPUTED_VALUE"""),0.0)</f>
        <v>0</v>
      </c>
      <c r="K56" s="10" t="str">
        <f>IFERROR(__xludf.DUMMYFUNCTION("""COMPUTED_VALUE"""),"Олимп")</f>
        <v>Олимп</v>
      </c>
      <c r="L56" s="10"/>
      <c r="M56" s="10"/>
      <c r="N56" s="10"/>
      <c r="O56" s="10"/>
      <c r="P56" s="10"/>
      <c r="Q56" s="10"/>
      <c r="R56" s="10"/>
      <c r="S56" s="10"/>
      <c r="T56" s="10"/>
      <c r="U56" s="12"/>
      <c r="V56" s="12"/>
      <c r="W56" s="12"/>
      <c r="X56" s="12"/>
      <c r="Y56" s="12"/>
    </row>
    <row r="57" ht="30.0" customHeight="1">
      <c r="A57" s="77" t="s">
        <v>235</v>
      </c>
      <c r="B57" s="47">
        <v>53.0</v>
      </c>
      <c r="C57" s="51" t="s">
        <v>35</v>
      </c>
      <c r="D57" s="51" t="s">
        <v>55</v>
      </c>
      <c r="E57" s="62" t="s">
        <v>77</v>
      </c>
      <c r="F57" s="62" t="s">
        <v>103</v>
      </c>
      <c r="G57" s="55" t="str">
        <f t="shared" si="3"/>
        <v>Дорадо Гр  </v>
      </c>
      <c r="H57" s="57" t="s">
        <v>1</v>
      </c>
      <c r="I57" s="10" t="str">
        <f>IFERROR(__xludf.DUMMYFUNCTION("""COMPUTED_VALUE"""),"Шницель Картошка")</f>
        <v>Шницель Картошка</v>
      </c>
      <c r="J57" s="10">
        <f>IFERROR(__xludf.DUMMYFUNCTION("""COMPUTED_VALUE"""),1.0)</f>
        <v>1</v>
      </c>
      <c r="K57" s="10" t="str">
        <f>IFERROR(__xludf.DUMMYFUNCTION("""COMPUTED_VALUE"""),"Олимп")</f>
        <v>Олимп</v>
      </c>
      <c r="L57" s="10"/>
      <c r="M57" s="10"/>
      <c r="N57" s="10"/>
      <c r="O57" s="10"/>
      <c r="P57" s="10"/>
      <c r="Q57" s="10"/>
      <c r="R57" s="10"/>
      <c r="S57" s="10"/>
      <c r="T57" s="10"/>
      <c r="U57" s="12"/>
      <c r="V57" s="12"/>
      <c r="W57" s="12"/>
      <c r="X57" s="12"/>
      <c r="Y57" s="12"/>
    </row>
    <row r="58" ht="30.0" customHeight="1">
      <c r="A58" s="77" t="s">
        <v>238</v>
      </c>
      <c r="B58" s="47">
        <v>54.0</v>
      </c>
      <c r="C58" s="51" t="s">
        <v>40</v>
      </c>
      <c r="D58" s="51" t="s">
        <v>48</v>
      </c>
      <c r="E58" s="51" t="s">
        <v>63</v>
      </c>
      <c r="F58" s="51" t="s">
        <v>90</v>
      </c>
      <c r="G58" s="55" t="str">
        <f t="shared" si="3"/>
        <v>Баса Туш. кап.</v>
      </c>
      <c r="H58" s="57" t="s">
        <v>1</v>
      </c>
      <c r="I58" s="10" t="str">
        <f>IFERROR(__xludf.DUMMYFUNCTION("""COMPUTED_VALUE"""),"крылья ")</f>
        <v>крылья </v>
      </c>
      <c r="J58" s="10">
        <f>IFERROR(__xludf.DUMMYFUNCTION("""COMPUTED_VALUE"""),1.0)</f>
        <v>1</v>
      </c>
      <c r="K58" s="10" t="str">
        <f>IFERROR(__xludf.DUMMYFUNCTION("""COMPUTED_VALUE"""),"Олимп")</f>
        <v>Олимп</v>
      </c>
      <c r="L58" s="10"/>
      <c r="M58" s="10"/>
      <c r="N58" s="10"/>
      <c r="O58" s="10"/>
      <c r="P58" s="10"/>
      <c r="Q58" s="10"/>
      <c r="R58" s="10"/>
      <c r="S58" s="10"/>
      <c r="T58" s="10"/>
      <c r="U58" s="12"/>
      <c r="V58" s="12"/>
      <c r="W58" s="12"/>
      <c r="X58" s="12"/>
      <c r="Y58" s="12"/>
    </row>
    <row r="59" ht="30.0" customHeight="1">
      <c r="A59" s="77" t="s">
        <v>242</v>
      </c>
      <c r="B59" s="47">
        <v>55.0</v>
      </c>
      <c r="C59" s="51" t="s">
        <v>45</v>
      </c>
      <c r="D59" s="51" t="s">
        <v>55</v>
      </c>
      <c r="E59" s="51" t="s">
        <v>93</v>
      </c>
      <c r="F59" s="51" t="s">
        <v>100</v>
      </c>
      <c r="G59" s="55" t="str">
        <f t="shared" si="3"/>
        <v>Терияки Паста  </v>
      </c>
      <c r="H59" s="57" t="s">
        <v>1</v>
      </c>
      <c r="I59" s="10" t="str">
        <f>IFERROR(__xludf.DUMMYFUNCTION("""COMPUTED_VALUE"""),"крылья MP ")</f>
        <v>крылья MP </v>
      </c>
      <c r="J59" s="10">
        <f>IFERROR(__xludf.DUMMYFUNCTION("""COMPUTED_VALUE"""),1.0)</f>
        <v>1</v>
      </c>
      <c r="K59" s="10" t="str">
        <f>IFERROR(__xludf.DUMMYFUNCTION("""COMPUTED_VALUE"""),"Олимп")</f>
        <v>Олимп</v>
      </c>
      <c r="L59" s="10"/>
      <c r="M59" s="10"/>
      <c r="N59" s="10"/>
      <c r="O59" s="10"/>
      <c r="P59" s="10"/>
      <c r="Q59" s="10"/>
      <c r="R59" s="10"/>
      <c r="S59" s="10"/>
      <c r="T59" s="10"/>
      <c r="U59" s="12"/>
      <c r="V59" s="12"/>
      <c r="W59" s="12"/>
      <c r="X59" s="12"/>
      <c r="Y59" s="12"/>
    </row>
    <row r="60">
      <c r="A60" s="44" t="s">
        <v>247</v>
      </c>
      <c r="B60" s="47">
        <v>56.0</v>
      </c>
      <c r="C60" s="51" t="s">
        <v>40</v>
      </c>
      <c r="D60" s="51" t="s">
        <v>52</v>
      </c>
      <c r="E60" s="51" t="s">
        <v>85</v>
      </c>
      <c r="F60" s="51" t="s">
        <v>90</v>
      </c>
      <c r="G60" s="55" t="str">
        <f t="shared" si="3"/>
        <v>Поперечка Туш. кап.</v>
      </c>
      <c r="H60" s="57" t="s">
        <v>1</v>
      </c>
      <c r="I60" s="80" t="str">
        <f>IFERROR(__xludf.DUMMYFUNCTION("""COMPUTED_VALUE"""),"табака  Гр  ")</f>
        <v>табака  Гр  </v>
      </c>
      <c r="J60" s="80">
        <f>IFERROR(__xludf.DUMMYFUNCTION("""COMPUTED_VALUE"""),1.0)</f>
        <v>1</v>
      </c>
      <c r="K60" s="80" t="str">
        <f>IFERROR(__xludf.DUMMYFUNCTION("""COMPUTED_VALUE"""),"Олимп")</f>
        <v>Олимп</v>
      </c>
      <c r="L60" s="80"/>
      <c r="M60" s="80"/>
      <c r="N60" s="80"/>
      <c r="O60" s="80"/>
      <c r="P60" s="80"/>
      <c r="Q60" s="80"/>
      <c r="R60" s="80"/>
      <c r="S60" s="80"/>
      <c r="T60" s="80"/>
      <c r="U60" s="64"/>
      <c r="V60" s="64"/>
      <c r="W60" s="64"/>
      <c r="X60" s="64"/>
      <c r="Y60" s="64"/>
    </row>
    <row r="61">
      <c r="A61" s="3" t="s">
        <v>250</v>
      </c>
      <c r="B61" s="47">
        <v>57.0</v>
      </c>
      <c r="C61" s="109" t="s">
        <v>251</v>
      </c>
      <c r="D61" s="64"/>
      <c r="E61" s="64"/>
      <c r="F61" s="64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64"/>
      <c r="V61" s="64"/>
      <c r="W61" s="64"/>
      <c r="X61" s="64"/>
      <c r="Y61" s="64"/>
    </row>
    <row r="62">
      <c r="A62" s="64"/>
      <c r="B62" s="64"/>
      <c r="C62" s="64"/>
      <c r="D62" s="64"/>
      <c r="E62" s="64"/>
      <c r="F62" s="64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64"/>
      <c r="V62" s="64"/>
      <c r="W62" s="64"/>
      <c r="X62" s="64"/>
      <c r="Y62" s="64"/>
    </row>
    <row r="63">
      <c r="A63" s="64"/>
      <c r="B63" s="64"/>
      <c r="C63" s="64"/>
      <c r="D63" s="64"/>
      <c r="E63" s="64"/>
      <c r="F63" s="64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64"/>
      <c r="V63" s="64"/>
      <c r="W63" s="64"/>
      <c r="X63" s="64"/>
      <c r="Y63" s="64"/>
    </row>
    <row r="64">
      <c r="A64" s="64"/>
      <c r="B64" s="64"/>
      <c r="C64" s="64"/>
      <c r="D64" s="64"/>
      <c r="E64" s="64"/>
      <c r="F64" s="64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64"/>
      <c r="V64" s="64"/>
      <c r="W64" s="64"/>
      <c r="X64" s="64"/>
      <c r="Y64" s="64"/>
    </row>
    <row r="65">
      <c r="A65" s="64"/>
      <c r="B65" s="64"/>
      <c r="C65" s="64"/>
      <c r="D65" s="64"/>
      <c r="E65" s="64"/>
      <c r="F65" s="64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64"/>
      <c r="V65" s="64"/>
      <c r="W65" s="64"/>
      <c r="X65" s="64"/>
      <c r="Y65" s="64"/>
    </row>
    <row r="66">
      <c r="A66" s="64"/>
      <c r="B66" s="64"/>
      <c r="C66" s="64"/>
      <c r="D66" s="64"/>
      <c r="E66" s="64"/>
      <c r="F66" s="64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64"/>
      <c r="V66" s="64"/>
      <c r="W66" s="64"/>
      <c r="X66" s="64"/>
      <c r="Y66" s="64"/>
    </row>
    <row r="67">
      <c r="A67" s="64"/>
      <c r="B67" s="64"/>
      <c r="C67" s="64"/>
      <c r="D67" s="64"/>
      <c r="E67" s="64"/>
      <c r="F67" s="64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64"/>
      <c r="V67" s="64"/>
      <c r="W67" s="64"/>
      <c r="X67" s="64"/>
      <c r="Y67" s="64"/>
    </row>
    <row r="68">
      <c r="A68" s="110"/>
      <c r="B68" s="111"/>
      <c r="C68" s="64"/>
      <c r="D68" s="64"/>
      <c r="E68" s="64"/>
      <c r="F68" s="64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64"/>
      <c r="V68" s="64"/>
      <c r="W68" s="64"/>
      <c r="X68" s="64"/>
      <c r="Y68" s="64"/>
    </row>
    <row r="69">
      <c r="A69" s="77" t="s">
        <v>267</v>
      </c>
      <c r="B69" s="113" t="s">
        <v>268</v>
      </c>
      <c r="C69" s="51" t="s">
        <v>25</v>
      </c>
      <c r="D69" s="51" t="s">
        <v>57</v>
      </c>
      <c r="E69" s="51" t="s">
        <v>91</v>
      </c>
      <c r="F69" s="101" t="s">
        <v>68</v>
      </c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64"/>
      <c r="V69" s="64"/>
      <c r="W69" s="64"/>
      <c r="X69" s="64"/>
      <c r="Y69" s="64"/>
    </row>
    <row r="70">
      <c r="A70" s="77" t="s">
        <v>272</v>
      </c>
      <c r="B70" s="47" t="s">
        <v>274</v>
      </c>
      <c r="C70" s="51" t="s">
        <v>33</v>
      </c>
      <c r="D70" s="51" t="s">
        <v>50</v>
      </c>
      <c r="E70" s="51" t="s">
        <v>67</v>
      </c>
      <c r="F70" s="62" t="s">
        <v>90</v>
      </c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64"/>
      <c r="V70" s="64"/>
      <c r="W70" s="64"/>
      <c r="X70" s="64"/>
      <c r="Y70" s="64"/>
    </row>
    <row r="71">
      <c r="A71" s="3" t="s">
        <v>278</v>
      </c>
      <c r="B71" s="114" t="s">
        <v>280</v>
      </c>
      <c r="C71" s="51" t="s">
        <v>33</v>
      </c>
      <c r="D71" s="51" t="s">
        <v>57</v>
      </c>
      <c r="E71" s="51" t="s">
        <v>71</v>
      </c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64"/>
      <c r="V71" s="64"/>
      <c r="W71" s="64"/>
      <c r="X71" s="64"/>
      <c r="Y71" s="64"/>
    </row>
    <row r="72">
      <c r="A72" s="44" t="s">
        <v>284</v>
      </c>
      <c r="B72" s="115" t="s">
        <v>286</v>
      </c>
      <c r="C72" s="51" t="s">
        <v>28</v>
      </c>
      <c r="D72" s="51" t="s">
        <v>48</v>
      </c>
      <c r="E72" s="51" t="s">
        <v>80</v>
      </c>
      <c r="F72" s="51" t="s">
        <v>103</v>
      </c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64"/>
      <c r="V72" s="64"/>
      <c r="W72" s="64"/>
      <c r="X72" s="64"/>
      <c r="Y72" s="64"/>
    </row>
    <row r="73">
      <c r="A73" s="91" t="s">
        <v>137</v>
      </c>
      <c r="B73" s="116" t="s">
        <v>138</v>
      </c>
      <c r="C73" s="51" t="s">
        <v>35</v>
      </c>
      <c r="D73" s="51" t="s">
        <v>50</v>
      </c>
      <c r="E73" s="51" t="s">
        <v>67</v>
      </c>
      <c r="F73" s="51" t="s">
        <v>111</v>
      </c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64"/>
      <c r="V73" s="64"/>
      <c r="W73" s="64"/>
      <c r="X73" s="64"/>
      <c r="Y73" s="64"/>
    </row>
    <row r="74">
      <c r="A74" s="118" t="s">
        <v>141</v>
      </c>
      <c r="B74" s="116" t="s">
        <v>138</v>
      </c>
      <c r="C74" s="51" t="s">
        <v>35</v>
      </c>
      <c r="D74" s="51" t="s">
        <v>50</v>
      </c>
      <c r="E74" s="51" t="s">
        <v>97</v>
      </c>
      <c r="F74" s="51" t="s">
        <v>103</v>
      </c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64"/>
      <c r="V74" s="64"/>
      <c r="W74" s="64"/>
      <c r="X74" s="64"/>
      <c r="Y74" s="64"/>
    </row>
    <row r="75">
      <c r="A75" s="110"/>
      <c r="B75" s="111"/>
      <c r="C75" s="64"/>
      <c r="D75" s="64"/>
      <c r="E75" s="64"/>
      <c r="F75" s="64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64"/>
      <c r="V75" s="64"/>
      <c r="W75" s="64"/>
      <c r="X75" s="64"/>
      <c r="Y75" s="64"/>
    </row>
    <row r="76">
      <c r="A76" s="110"/>
      <c r="B76" s="111"/>
      <c r="C76" s="64"/>
      <c r="D76" s="64"/>
      <c r="E76" s="64"/>
      <c r="F76" s="64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64"/>
      <c r="V76" s="64"/>
      <c r="W76" s="64"/>
      <c r="X76" s="64"/>
      <c r="Y76" s="64"/>
    </row>
    <row r="77">
      <c r="A77" s="110"/>
      <c r="B77" s="111"/>
      <c r="C77" s="64"/>
      <c r="D77" s="64"/>
      <c r="E77" s="64"/>
      <c r="F77" s="64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64"/>
      <c r="V77" s="64"/>
      <c r="W77" s="64"/>
      <c r="X77" s="64"/>
      <c r="Y77" s="64"/>
    </row>
    <row r="78">
      <c r="A78" s="110"/>
      <c r="B78" s="111"/>
      <c r="C78" s="64"/>
      <c r="D78" s="64"/>
      <c r="E78" s="64"/>
      <c r="F78" s="64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64"/>
      <c r="V78" s="64"/>
      <c r="W78" s="64"/>
      <c r="X78" s="64"/>
      <c r="Y78" s="64"/>
    </row>
    <row r="79">
      <c r="A79" s="110"/>
      <c r="B79" s="111"/>
      <c r="C79" s="64"/>
      <c r="D79" s="64"/>
      <c r="E79" s="64"/>
      <c r="F79" s="64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64"/>
      <c r="V79" s="64"/>
      <c r="W79" s="64"/>
      <c r="X79" s="64"/>
      <c r="Y79" s="64"/>
    </row>
    <row r="80">
      <c r="A80" s="110"/>
      <c r="B80" s="111"/>
      <c r="C80" s="64"/>
      <c r="D80" s="64"/>
      <c r="E80" s="64"/>
      <c r="F80" s="64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64"/>
      <c r="V80" s="64"/>
      <c r="W80" s="64"/>
      <c r="X80" s="64"/>
      <c r="Y80" s="64"/>
    </row>
    <row r="81">
      <c r="A81" s="64"/>
      <c r="F81" s="64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64"/>
      <c r="V81" s="64"/>
      <c r="W81" s="64"/>
      <c r="X81" s="64"/>
      <c r="Y81" s="64"/>
    </row>
    <row r="82">
      <c r="A82" s="110"/>
      <c r="B82" s="111"/>
      <c r="C82" s="64"/>
      <c r="D82" s="64"/>
      <c r="E82" s="64"/>
      <c r="F82" s="64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64"/>
      <c r="V82" s="64"/>
      <c r="W82" s="64"/>
      <c r="X82" s="64"/>
      <c r="Y82" s="64"/>
    </row>
    <row r="83">
      <c r="A83" s="110"/>
      <c r="B83" s="111"/>
      <c r="C83" s="64"/>
      <c r="D83" s="64"/>
      <c r="E83" s="64"/>
      <c r="F83" s="64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64"/>
      <c r="V83" s="64"/>
      <c r="W83" s="64"/>
      <c r="X83" s="64"/>
      <c r="Y83" s="64"/>
    </row>
    <row r="84">
      <c r="A84" s="110"/>
      <c r="B84" s="111"/>
      <c r="C84" s="64"/>
      <c r="D84" s="64"/>
      <c r="E84" s="64"/>
      <c r="F84" s="64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64"/>
      <c r="V84" s="64"/>
      <c r="W84" s="64"/>
      <c r="X84" s="64"/>
      <c r="Y84" s="64"/>
    </row>
    <row r="85">
      <c r="A85" s="110"/>
      <c r="B85" s="111"/>
      <c r="C85" s="64"/>
      <c r="D85" s="64"/>
      <c r="E85" s="64"/>
      <c r="F85" s="64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64"/>
      <c r="V85" s="64"/>
      <c r="W85" s="64"/>
      <c r="X85" s="64"/>
      <c r="Y85" s="64"/>
    </row>
    <row r="86">
      <c r="A86" s="110"/>
      <c r="B86" s="111"/>
      <c r="C86" s="64"/>
      <c r="D86" s="64"/>
      <c r="E86" s="64"/>
      <c r="F86" s="64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64"/>
      <c r="V86" s="64"/>
      <c r="W86" s="64"/>
      <c r="X86" s="64"/>
      <c r="Y86" s="64"/>
    </row>
    <row r="87">
      <c r="A87" s="110"/>
      <c r="B87" s="111"/>
      <c r="C87" s="64"/>
      <c r="D87" s="64"/>
      <c r="E87" s="64"/>
      <c r="F87" s="64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64"/>
      <c r="V87" s="64"/>
      <c r="W87" s="64"/>
      <c r="X87" s="64"/>
      <c r="Y87" s="64"/>
    </row>
    <row r="88">
      <c r="A88" s="110"/>
      <c r="B88" s="111"/>
      <c r="C88" s="64"/>
      <c r="D88" s="64"/>
      <c r="E88" s="64"/>
      <c r="F88" s="64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64"/>
      <c r="V88" s="64"/>
      <c r="W88" s="64"/>
      <c r="X88" s="64"/>
      <c r="Y88" s="64"/>
    </row>
    <row r="89">
      <c r="A89" s="110"/>
      <c r="B89" s="111"/>
      <c r="C89" s="64"/>
      <c r="D89" s="64"/>
      <c r="E89" s="64"/>
      <c r="F89" s="64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64"/>
      <c r="V89" s="64"/>
      <c r="W89" s="64"/>
      <c r="X89" s="64"/>
      <c r="Y89" s="64"/>
    </row>
    <row r="90">
      <c r="A90" s="110"/>
      <c r="B90" s="111"/>
      <c r="C90" s="64"/>
      <c r="D90" s="64"/>
      <c r="E90" s="64"/>
      <c r="F90" s="64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64"/>
      <c r="V90" s="64"/>
      <c r="W90" s="64"/>
      <c r="X90" s="64"/>
      <c r="Y90" s="64"/>
    </row>
    <row r="91">
      <c r="A91" s="110"/>
      <c r="B91" s="111"/>
      <c r="C91" s="64"/>
      <c r="D91" s="64"/>
      <c r="E91" s="64"/>
      <c r="F91" s="64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64"/>
      <c r="V91" s="64"/>
      <c r="W91" s="64"/>
      <c r="X91" s="64"/>
      <c r="Y91" s="64"/>
    </row>
    <row r="92">
      <c r="A92" s="110"/>
      <c r="B92" s="111"/>
      <c r="C92" s="64"/>
      <c r="D92" s="64"/>
      <c r="E92" s="64"/>
      <c r="F92" s="64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64"/>
      <c r="V92" s="64"/>
      <c r="W92" s="64"/>
      <c r="X92" s="64"/>
      <c r="Y92" s="64"/>
    </row>
    <row r="93">
      <c r="A93" s="110"/>
      <c r="B93" s="111"/>
      <c r="C93" s="64"/>
      <c r="D93" s="64"/>
      <c r="E93" s="64"/>
      <c r="F93" s="64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64"/>
      <c r="V93" s="64"/>
      <c r="W93" s="64"/>
      <c r="X93" s="64"/>
      <c r="Y93" s="64"/>
    </row>
    <row r="94">
      <c r="A94" s="110"/>
      <c r="B94" s="111"/>
      <c r="C94" s="64"/>
      <c r="D94" s="64"/>
      <c r="E94" s="64"/>
      <c r="F94" s="64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64"/>
      <c r="V94" s="64"/>
      <c r="W94" s="64"/>
      <c r="X94" s="64"/>
      <c r="Y94" s="64"/>
    </row>
    <row r="95">
      <c r="A95" s="110"/>
      <c r="B95" s="111"/>
      <c r="C95" s="64"/>
      <c r="D95" s="64"/>
      <c r="E95" s="64"/>
      <c r="F95" s="64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64"/>
      <c r="V95" s="64"/>
      <c r="W95" s="64"/>
      <c r="X95" s="64"/>
      <c r="Y95" s="64"/>
    </row>
    <row r="96">
      <c r="A96" s="110"/>
      <c r="B96" s="111"/>
      <c r="C96" s="64"/>
      <c r="D96" s="64"/>
      <c r="E96" s="64"/>
      <c r="F96" s="64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64"/>
      <c r="V96" s="64"/>
      <c r="W96" s="64"/>
      <c r="X96" s="64"/>
      <c r="Y96" s="64"/>
    </row>
    <row r="97">
      <c r="A97" s="110"/>
      <c r="B97" s="111"/>
      <c r="C97" s="64"/>
      <c r="D97" s="64"/>
      <c r="E97" s="64"/>
      <c r="F97" s="64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64"/>
      <c r="V97" s="64"/>
      <c r="W97" s="64"/>
      <c r="X97" s="64"/>
      <c r="Y97" s="64"/>
    </row>
    <row r="98">
      <c r="A98" s="110"/>
      <c r="B98" s="111"/>
      <c r="C98" s="64"/>
      <c r="D98" s="64"/>
      <c r="E98" s="64"/>
      <c r="F98" s="64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64"/>
      <c r="V98" s="64"/>
      <c r="W98" s="64"/>
      <c r="X98" s="64"/>
      <c r="Y98" s="64"/>
    </row>
    <row r="99">
      <c r="A99" s="110"/>
      <c r="B99" s="111"/>
      <c r="C99" s="64"/>
      <c r="D99" s="64"/>
      <c r="E99" s="64"/>
      <c r="F99" s="64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64"/>
      <c r="V99" s="64"/>
      <c r="W99" s="64"/>
      <c r="X99" s="64"/>
      <c r="Y99" s="64"/>
    </row>
    <row r="100">
      <c r="A100" s="110"/>
      <c r="B100" s="111"/>
      <c r="C100" s="64"/>
      <c r="D100" s="64"/>
      <c r="E100" s="64"/>
      <c r="F100" s="64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64"/>
      <c r="V100" s="64"/>
      <c r="W100" s="64"/>
      <c r="X100" s="64"/>
      <c r="Y100" s="64"/>
    </row>
    <row r="101">
      <c r="A101" s="110"/>
      <c r="B101" s="111"/>
      <c r="C101" s="64"/>
      <c r="D101" s="64"/>
      <c r="E101" s="64"/>
      <c r="F101" s="64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64"/>
      <c r="V101" s="64"/>
      <c r="W101" s="64"/>
      <c r="X101" s="64"/>
      <c r="Y101" s="64"/>
    </row>
    <row r="102">
      <c r="A102" s="110"/>
      <c r="B102" s="111"/>
      <c r="C102" s="64"/>
      <c r="D102" s="64"/>
      <c r="E102" s="64"/>
      <c r="F102" s="64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64"/>
      <c r="V102" s="64"/>
      <c r="W102" s="64"/>
      <c r="X102" s="64"/>
      <c r="Y102" s="64"/>
    </row>
    <row r="103">
      <c r="A103" s="110"/>
      <c r="B103" s="111"/>
      <c r="C103" s="64"/>
      <c r="D103" s="64"/>
      <c r="E103" s="64"/>
      <c r="F103" s="64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64"/>
      <c r="V103" s="64"/>
      <c r="W103" s="64"/>
      <c r="X103" s="64"/>
      <c r="Y103" s="64"/>
    </row>
    <row r="104">
      <c r="A104" s="110"/>
      <c r="B104" s="111"/>
      <c r="C104" s="64"/>
      <c r="D104" s="64"/>
      <c r="E104" s="64"/>
      <c r="F104" s="64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64"/>
      <c r="V104" s="64"/>
      <c r="W104" s="64"/>
      <c r="X104" s="64"/>
      <c r="Y104" s="64"/>
    </row>
    <row r="105">
      <c r="A105" s="110"/>
      <c r="B105" s="111"/>
      <c r="C105" s="64"/>
      <c r="D105" s="64"/>
      <c r="E105" s="64"/>
      <c r="F105" s="64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64"/>
      <c r="V105" s="64"/>
      <c r="W105" s="64"/>
      <c r="X105" s="64"/>
      <c r="Y105" s="64"/>
    </row>
    <row r="106">
      <c r="A106" s="110"/>
      <c r="B106" s="111"/>
      <c r="C106" s="64"/>
      <c r="D106" s="64"/>
      <c r="E106" s="64"/>
      <c r="F106" s="64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64"/>
      <c r="V106" s="64"/>
      <c r="W106" s="64"/>
      <c r="X106" s="64"/>
      <c r="Y106" s="64"/>
    </row>
    <row r="107">
      <c r="A107" s="110"/>
      <c r="B107" s="111"/>
      <c r="C107" s="64"/>
      <c r="D107" s="64"/>
      <c r="E107" s="64"/>
      <c r="F107" s="64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64"/>
      <c r="V107" s="64"/>
      <c r="W107" s="64"/>
      <c r="X107" s="64"/>
      <c r="Y107" s="64"/>
    </row>
    <row r="108">
      <c r="A108" s="110"/>
      <c r="B108" s="111"/>
      <c r="C108" s="64"/>
      <c r="D108" s="64"/>
      <c r="E108" s="64"/>
      <c r="F108" s="64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64"/>
      <c r="V108" s="64"/>
      <c r="W108" s="64"/>
      <c r="X108" s="64"/>
      <c r="Y108" s="64"/>
    </row>
    <row r="109">
      <c r="A109" s="110"/>
      <c r="B109" s="111"/>
      <c r="C109" s="64"/>
      <c r="D109" s="64"/>
      <c r="E109" s="64"/>
      <c r="F109" s="64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64"/>
      <c r="V109" s="64"/>
      <c r="W109" s="64"/>
      <c r="X109" s="64"/>
      <c r="Y109" s="64"/>
    </row>
    <row r="110">
      <c r="A110" s="110"/>
      <c r="B110" s="111"/>
      <c r="C110" s="64"/>
      <c r="D110" s="64"/>
      <c r="E110" s="64"/>
      <c r="F110" s="64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64"/>
      <c r="V110" s="64"/>
      <c r="W110" s="64"/>
      <c r="X110" s="64"/>
      <c r="Y110" s="64"/>
    </row>
    <row r="111">
      <c r="A111" s="110"/>
      <c r="B111" s="111"/>
      <c r="C111" s="64"/>
      <c r="D111" s="64"/>
      <c r="E111" s="64"/>
      <c r="F111" s="64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64"/>
      <c r="V111" s="64"/>
      <c r="W111" s="64"/>
      <c r="X111" s="64"/>
      <c r="Y111" s="64"/>
    </row>
    <row r="112">
      <c r="A112" s="110"/>
      <c r="B112" s="111"/>
      <c r="C112" s="64"/>
      <c r="D112" s="64"/>
      <c r="E112" s="64"/>
      <c r="F112" s="64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64"/>
      <c r="V112" s="64"/>
      <c r="W112" s="64"/>
      <c r="X112" s="64"/>
      <c r="Y112" s="64"/>
    </row>
    <row r="113">
      <c r="A113" s="110"/>
      <c r="B113" s="111"/>
      <c r="C113" s="64"/>
      <c r="D113" s="64"/>
      <c r="E113" s="64"/>
      <c r="F113" s="64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64"/>
      <c r="V113" s="64"/>
      <c r="W113" s="64"/>
      <c r="X113" s="64"/>
      <c r="Y113" s="64"/>
    </row>
    <row r="114">
      <c r="A114" s="110"/>
      <c r="B114" s="111"/>
      <c r="C114" s="64"/>
      <c r="D114" s="64"/>
      <c r="E114" s="64"/>
      <c r="F114" s="64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64"/>
      <c r="V114" s="64"/>
      <c r="W114" s="64"/>
      <c r="X114" s="64"/>
      <c r="Y114" s="64"/>
    </row>
    <row r="115">
      <c r="A115" s="110"/>
      <c r="B115" s="111"/>
      <c r="C115" s="64"/>
      <c r="D115" s="64"/>
      <c r="E115" s="64"/>
      <c r="F115" s="64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64"/>
      <c r="V115" s="64"/>
      <c r="W115" s="64"/>
      <c r="X115" s="64"/>
      <c r="Y115" s="64"/>
    </row>
    <row r="116">
      <c r="A116" s="110"/>
      <c r="B116" s="111"/>
      <c r="C116" s="64"/>
      <c r="D116" s="64"/>
      <c r="E116" s="64"/>
      <c r="F116" s="64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64"/>
      <c r="V116" s="64"/>
      <c r="W116" s="64"/>
      <c r="X116" s="64"/>
      <c r="Y116" s="64"/>
    </row>
    <row r="117">
      <c r="A117" s="110"/>
      <c r="B117" s="111"/>
      <c r="C117" s="64"/>
      <c r="D117" s="64"/>
      <c r="E117" s="64"/>
      <c r="F117" s="64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64"/>
      <c r="V117" s="64"/>
      <c r="W117" s="64"/>
      <c r="X117" s="64"/>
      <c r="Y117" s="64"/>
    </row>
    <row r="118">
      <c r="A118" s="110"/>
      <c r="B118" s="111"/>
      <c r="C118" s="64"/>
      <c r="D118" s="64"/>
      <c r="E118" s="64"/>
      <c r="F118" s="64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64"/>
      <c r="V118" s="64"/>
      <c r="W118" s="64"/>
      <c r="X118" s="64"/>
      <c r="Y118" s="64"/>
    </row>
    <row r="119">
      <c r="A119" s="110"/>
      <c r="B119" s="111"/>
      <c r="C119" s="64"/>
      <c r="D119" s="64"/>
      <c r="E119" s="64"/>
      <c r="F119" s="64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64"/>
      <c r="V119" s="64"/>
      <c r="W119" s="64"/>
      <c r="X119" s="64"/>
      <c r="Y119" s="64"/>
    </row>
    <row r="120">
      <c r="A120" s="110"/>
      <c r="B120" s="111"/>
      <c r="C120" s="64"/>
      <c r="D120" s="64"/>
      <c r="E120" s="64"/>
      <c r="F120" s="64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64"/>
      <c r="V120" s="64"/>
      <c r="W120" s="64"/>
      <c r="X120" s="64"/>
      <c r="Y120" s="64"/>
    </row>
    <row r="121">
      <c r="A121" s="110"/>
      <c r="B121" s="111"/>
      <c r="C121" s="64"/>
      <c r="D121" s="64"/>
      <c r="E121" s="64"/>
      <c r="F121" s="64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64"/>
      <c r="V121" s="64"/>
      <c r="W121" s="64"/>
      <c r="X121" s="64"/>
      <c r="Y121" s="64"/>
    </row>
    <row r="122">
      <c r="A122" s="110"/>
      <c r="B122" s="111"/>
      <c r="C122" s="64"/>
      <c r="D122" s="64"/>
      <c r="E122" s="64"/>
      <c r="F122" s="64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64"/>
      <c r="V122" s="64"/>
      <c r="W122" s="64"/>
      <c r="X122" s="64"/>
      <c r="Y122" s="64"/>
    </row>
    <row r="123">
      <c r="A123" s="110"/>
      <c r="B123" s="111"/>
      <c r="C123" s="64"/>
      <c r="D123" s="64"/>
      <c r="E123" s="64"/>
      <c r="F123" s="64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64"/>
      <c r="V123" s="64"/>
      <c r="W123" s="64"/>
      <c r="X123" s="64"/>
      <c r="Y123" s="64"/>
    </row>
    <row r="124">
      <c r="A124" s="110"/>
      <c r="B124" s="111"/>
      <c r="C124" s="64"/>
      <c r="D124" s="64"/>
      <c r="E124" s="64"/>
      <c r="F124" s="64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64"/>
      <c r="V124" s="64"/>
      <c r="W124" s="64"/>
      <c r="X124" s="64"/>
      <c r="Y124" s="64"/>
    </row>
    <row r="125">
      <c r="A125" s="110"/>
      <c r="B125" s="111"/>
      <c r="C125" s="64"/>
      <c r="D125" s="64"/>
      <c r="E125" s="64"/>
      <c r="F125" s="64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64"/>
      <c r="V125" s="64"/>
      <c r="W125" s="64"/>
      <c r="X125" s="64"/>
      <c r="Y125" s="64"/>
    </row>
    <row r="126">
      <c r="A126" s="110"/>
      <c r="B126" s="111"/>
      <c r="C126" s="64"/>
      <c r="D126" s="64"/>
      <c r="E126" s="64"/>
      <c r="F126" s="64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64"/>
      <c r="V126" s="64"/>
      <c r="W126" s="64"/>
      <c r="X126" s="64"/>
      <c r="Y126" s="64"/>
    </row>
    <row r="127">
      <c r="A127" s="110"/>
      <c r="B127" s="111"/>
      <c r="C127" s="64"/>
      <c r="D127" s="64"/>
      <c r="E127" s="64"/>
      <c r="F127" s="64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64"/>
      <c r="V127" s="64"/>
      <c r="W127" s="64"/>
      <c r="X127" s="64"/>
      <c r="Y127" s="64"/>
    </row>
    <row r="128">
      <c r="A128" s="110"/>
      <c r="B128" s="111"/>
      <c r="C128" s="64"/>
      <c r="D128" s="64"/>
      <c r="E128" s="64"/>
      <c r="F128" s="64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64"/>
      <c r="V128" s="64"/>
      <c r="W128" s="64"/>
      <c r="X128" s="64"/>
      <c r="Y128" s="64"/>
    </row>
    <row r="129">
      <c r="A129" s="110"/>
      <c r="B129" s="111"/>
      <c r="C129" s="64"/>
      <c r="D129" s="64"/>
      <c r="E129" s="64"/>
      <c r="F129" s="64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64"/>
      <c r="V129" s="64"/>
      <c r="W129" s="64"/>
      <c r="X129" s="64"/>
      <c r="Y129" s="64"/>
    </row>
    <row r="130">
      <c r="A130" s="110"/>
      <c r="B130" s="111"/>
      <c r="C130" s="64"/>
      <c r="D130" s="64"/>
      <c r="E130" s="64"/>
      <c r="F130" s="64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64"/>
      <c r="V130" s="64"/>
      <c r="W130" s="64"/>
      <c r="X130" s="64"/>
      <c r="Y130" s="64"/>
    </row>
    <row r="131">
      <c r="A131" s="110"/>
      <c r="B131" s="111"/>
      <c r="C131" s="64"/>
      <c r="D131" s="64"/>
      <c r="E131" s="64"/>
      <c r="F131" s="64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64"/>
      <c r="V131" s="64"/>
      <c r="W131" s="64"/>
      <c r="X131" s="64"/>
      <c r="Y131" s="64"/>
    </row>
    <row r="132">
      <c r="A132" s="110"/>
      <c r="B132" s="111"/>
      <c r="C132" s="64"/>
      <c r="D132" s="64"/>
      <c r="E132" s="64"/>
      <c r="F132" s="64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64"/>
      <c r="V132" s="64"/>
      <c r="W132" s="64"/>
      <c r="X132" s="64"/>
      <c r="Y132" s="64"/>
    </row>
    <row r="133">
      <c r="A133" s="110"/>
      <c r="B133" s="111"/>
      <c r="C133" s="64"/>
      <c r="D133" s="64"/>
      <c r="E133" s="64"/>
      <c r="F133" s="64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64"/>
      <c r="V133" s="64"/>
      <c r="W133" s="64"/>
      <c r="X133" s="64"/>
      <c r="Y133" s="64"/>
    </row>
    <row r="134">
      <c r="A134" s="110"/>
      <c r="B134" s="111"/>
      <c r="C134" s="64"/>
      <c r="D134" s="64"/>
      <c r="E134" s="64"/>
      <c r="F134" s="64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64"/>
      <c r="V134" s="64"/>
      <c r="W134" s="64"/>
      <c r="X134" s="64"/>
      <c r="Y134" s="64"/>
    </row>
    <row r="135">
      <c r="A135" s="110"/>
      <c r="B135" s="111"/>
      <c r="C135" s="64"/>
      <c r="D135" s="64"/>
      <c r="E135" s="64"/>
      <c r="F135" s="64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64"/>
      <c r="V135" s="64"/>
      <c r="W135" s="64"/>
      <c r="X135" s="64"/>
      <c r="Y135" s="64"/>
    </row>
    <row r="136">
      <c r="A136" s="110"/>
      <c r="B136" s="111"/>
      <c r="C136" s="64"/>
      <c r="D136" s="64"/>
      <c r="E136" s="64"/>
      <c r="F136" s="64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64"/>
      <c r="V136" s="64"/>
      <c r="W136" s="64"/>
      <c r="X136" s="64"/>
      <c r="Y136" s="64"/>
    </row>
    <row r="137">
      <c r="A137" s="110"/>
      <c r="B137" s="111"/>
      <c r="C137" s="64"/>
      <c r="D137" s="64"/>
      <c r="E137" s="64"/>
      <c r="F137" s="64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64"/>
      <c r="V137" s="64"/>
      <c r="W137" s="64"/>
      <c r="X137" s="64"/>
      <c r="Y137" s="64"/>
    </row>
    <row r="138">
      <c r="A138" s="110"/>
      <c r="B138" s="111"/>
      <c r="C138" s="64"/>
      <c r="D138" s="64"/>
      <c r="E138" s="64"/>
      <c r="F138" s="64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64"/>
      <c r="V138" s="64"/>
      <c r="W138" s="64"/>
      <c r="X138" s="64"/>
      <c r="Y138" s="64"/>
    </row>
    <row r="139">
      <c r="A139" s="110"/>
      <c r="B139" s="111"/>
      <c r="C139" s="64"/>
      <c r="D139" s="64"/>
      <c r="E139" s="64"/>
      <c r="F139" s="64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64"/>
      <c r="V139" s="64"/>
      <c r="W139" s="64"/>
      <c r="X139" s="64"/>
      <c r="Y139" s="64"/>
    </row>
    <row r="140">
      <c r="A140" s="110"/>
      <c r="B140" s="111"/>
      <c r="C140" s="64"/>
      <c r="D140" s="64"/>
      <c r="E140" s="64"/>
      <c r="F140" s="64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64"/>
      <c r="V140" s="64"/>
      <c r="W140" s="64"/>
      <c r="X140" s="64"/>
      <c r="Y140" s="64"/>
    </row>
    <row r="141">
      <c r="A141" s="110"/>
      <c r="B141" s="111"/>
      <c r="C141" s="64"/>
      <c r="D141" s="64"/>
      <c r="E141" s="64"/>
      <c r="F141" s="64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64"/>
      <c r="V141" s="64"/>
      <c r="W141" s="64"/>
      <c r="X141" s="64"/>
      <c r="Y141" s="64"/>
    </row>
    <row r="142">
      <c r="A142" s="110"/>
      <c r="B142" s="111"/>
      <c r="C142" s="64"/>
      <c r="D142" s="64"/>
      <c r="E142" s="64"/>
      <c r="F142" s="64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64"/>
      <c r="V142" s="64"/>
      <c r="W142" s="64"/>
      <c r="X142" s="64"/>
      <c r="Y142" s="64"/>
    </row>
    <row r="143">
      <c r="A143" s="110"/>
      <c r="B143" s="111"/>
      <c r="C143" s="64"/>
      <c r="D143" s="64"/>
      <c r="E143" s="64"/>
      <c r="F143" s="64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64"/>
      <c r="V143" s="64"/>
      <c r="W143" s="64"/>
      <c r="X143" s="64"/>
      <c r="Y143" s="64"/>
    </row>
    <row r="144">
      <c r="A144" s="110"/>
      <c r="B144" s="111"/>
      <c r="C144" s="64"/>
      <c r="D144" s="64"/>
      <c r="E144" s="64"/>
      <c r="F144" s="64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64"/>
      <c r="V144" s="64"/>
      <c r="W144" s="64"/>
      <c r="X144" s="64"/>
      <c r="Y144" s="64"/>
    </row>
    <row r="145">
      <c r="A145" s="110"/>
      <c r="B145" s="111"/>
      <c r="C145" s="64"/>
      <c r="D145" s="64"/>
      <c r="E145" s="64"/>
      <c r="F145" s="64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64"/>
      <c r="V145" s="64"/>
      <c r="W145" s="64"/>
      <c r="X145" s="64"/>
      <c r="Y145" s="64"/>
    </row>
    <row r="146">
      <c r="A146" s="110"/>
      <c r="B146" s="111"/>
      <c r="C146" s="64"/>
      <c r="D146" s="64"/>
      <c r="E146" s="64"/>
      <c r="F146" s="64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64"/>
      <c r="V146" s="64"/>
      <c r="W146" s="64"/>
      <c r="X146" s="64"/>
      <c r="Y146" s="64"/>
    </row>
    <row r="147">
      <c r="A147" s="110"/>
      <c r="B147" s="111"/>
      <c r="C147" s="64"/>
      <c r="D147" s="64"/>
      <c r="E147" s="64"/>
      <c r="F147" s="64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64"/>
      <c r="V147" s="64"/>
      <c r="W147" s="64"/>
      <c r="X147" s="64"/>
      <c r="Y147" s="64"/>
    </row>
    <row r="148">
      <c r="A148" s="110"/>
      <c r="B148" s="111"/>
      <c r="C148" s="64"/>
      <c r="D148" s="64"/>
      <c r="E148" s="64"/>
      <c r="F148" s="64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64"/>
      <c r="V148" s="64"/>
      <c r="W148" s="64"/>
      <c r="X148" s="64"/>
      <c r="Y148" s="64"/>
    </row>
    <row r="149">
      <c r="A149" s="110"/>
      <c r="B149" s="111"/>
      <c r="C149" s="64"/>
      <c r="D149" s="64"/>
      <c r="E149" s="64"/>
      <c r="F149" s="64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64"/>
      <c r="V149" s="64"/>
      <c r="W149" s="64"/>
      <c r="X149" s="64"/>
      <c r="Y149" s="64"/>
    </row>
    <row r="150">
      <c r="A150" s="110"/>
      <c r="B150" s="111"/>
      <c r="C150" s="64"/>
      <c r="D150" s="64"/>
      <c r="E150" s="64"/>
      <c r="F150" s="64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64"/>
      <c r="V150" s="64"/>
      <c r="W150" s="64"/>
      <c r="X150" s="64"/>
      <c r="Y150" s="64"/>
    </row>
    <row r="151">
      <c r="A151" s="110"/>
      <c r="B151" s="111"/>
      <c r="C151" s="64"/>
      <c r="D151" s="64"/>
      <c r="E151" s="64"/>
      <c r="F151" s="64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64"/>
      <c r="V151" s="64"/>
      <c r="W151" s="64"/>
      <c r="X151" s="64"/>
      <c r="Y151" s="64"/>
    </row>
    <row r="152">
      <c r="A152" s="110"/>
      <c r="B152" s="111"/>
      <c r="C152" s="64"/>
      <c r="D152" s="64"/>
      <c r="E152" s="64"/>
      <c r="F152" s="64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64"/>
      <c r="V152" s="64"/>
      <c r="W152" s="64"/>
      <c r="X152" s="64"/>
      <c r="Y152" s="64"/>
    </row>
    <row r="153">
      <c r="A153" s="110"/>
      <c r="B153" s="111"/>
      <c r="C153" s="64"/>
      <c r="D153" s="64"/>
      <c r="E153" s="64"/>
      <c r="F153" s="64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64"/>
      <c r="V153" s="64"/>
      <c r="W153" s="64"/>
      <c r="X153" s="64"/>
      <c r="Y153" s="64"/>
    </row>
    <row r="154">
      <c r="A154" s="110"/>
      <c r="B154" s="111"/>
      <c r="C154" s="64"/>
      <c r="D154" s="64"/>
      <c r="E154" s="64"/>
      <c r="F154" s="64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64"/>
      <c r="V154" s="64"/>
      <c r="W154" s="64"/>
      <c r="X154" s="64"/>
      <c r="Y154" s="64"/>
    </row>
    <row r="155">
      <c r="A155" s="110"/>
      <c r="B155" s="111"/>
      <c r="C155" s="64"/>
      <c r="D155" s="64"/>
      <c r="E155" s="64"/>
      <c r="F155" s="64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64"/>
      <c r="V155" s="64"/>
      <c r="W155" s="64"/>
      <c r="X155" s="64"/>
      <c r="Y155" s="64"/>
    </row>
    <row r="156">
      <c r="A156" s="110"/>
      <c r="B156" s="111"/>
      <c r="C156" s="64"/>
      <c r="D156" s="64"/>
      <c r="E156" s="64"/>
      <c r="F156" s="64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64"/>
      <c r="V156" s="64"/>
      <c r="W156" s="64"/>
      <c r="X156" s="64"/>
      <c r="Y156" s="64"/>
    </row>
    <row r="157">
      <c r="A157" s="110"/>
      <c r="B157" s="111"/>
      <c r="C157" s="64"/>
      <c r="D157" s="64"/>
      <c r="E157" s="64"/>
      <c r="F157" s="64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64"/>
      <c r="V157" s="64"/>
      <c r="W157" s="64"/>
      <c r="X157" s="64"/>
      <c r="Y157" s="64"/>
    </row>
    <row r="158">
      <c r="A158" s="110"/>
      <c r="B158" s="111"/>
      <c r="C158" s="64"/>
      <c r="D158" s="64"/>
      <c r="E158" s="64"/>
      <c r="F158" s="64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64"/>
      <c r="V158" s="64"/>
      <c r="W158" s="64"/>
      <c r="X158" s="64"/>
      <c r="Y158" s="64"/>
    </row>
    <row r="159">
      <c r="A159" s="110"/>
      <c r="B159" s="111"/>
      <c r="C159" s="64"/>
      <c r="D159" s="64"/>
      <c r="E159" s="64"/>
      <c r="F159" s="64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64"/>
      <c r="V159" s="64"/>
      <c r="W159" s="64"/>
      <c r="X159" s="64"/>
      <c r="Y159" s="64"/>
    </row>
    <row r="160">
      <c r="A160" s="110"/>
      <c r="B160" s="111"/>
      <c r="C160" s="64"/>
      <c r="D160" s="64"/>
      <c r="E160" s="64"/>
      <c r="F160" s="64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64"/>
      <c r="V160" s="64"/>
      <c r="W160" s="64"/>
      <c r="X160" s="64"/>
      <c r="Y160" s="64"/>
    </row>
    <row r="161">
      <c r="A161" s="110"/>
      <c r="B161" s="111"/>
      <c r="C161" s="64"/>
      <c r="D161" s="64"/>
      <c r="E161" s="64"/>
      <c r="F161" s="64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64"/>
      <c r="V161" s="64"/>
      <c r="W161" s="64"/>
      <c r="X161" s="64"/>
      <c r="Y161" s="64"/>
    </row>
    <row r="162">
      <c r="A162" s="110"/>
      <c r="B162" s="111"/>
      <c r="C162" s="64"/>
      <c r="D162" s="64"/>
      <c r="E162" s="64"/>
      <c r="F162" s="64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64"/>
      <c r="V162" s="64"/>
      <c r="W162" s="64"/>
      <c r="X162" s="64"/>
      <c r="Y162" s="64"/>
    </row>
    <row r="163">
      <c r="A163" s="110"/>
      <c r="B163" s="111"/>
      <c r="C163" s="64"/>
      <c r="D163" s="64"/>
      <c r="E163" s="64"/>
      <c r="F163" s="64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64"/>
      <c r="V163" s="64"/>
      <c r="W163" s="64"/>
      <c r="X163" s="64"/>
      <c r="Y163" s="64"/>
    </row>
    <row r="164">
      <c r="A164" s="110"/>
      <c r="B164" s="111"/>
      <c r="C164" s="64"/>
      <c r="D164" s="64"/>
      <c r="E164" s="64"/>
      <c r="F164" s="64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64"/>
      <c r="V164" s="64"/>
      <c r="W164" s="64"/>
      <c r="X164" s="64"/>
      <c r="Y164" s="64"/>
    </row>
    <row r="165">
      <c r="A165" s="110"/>
      <c r="B165" s="111"/>
      <c r="C165" s="64"/>
      <c r="D165" s="64"/>
      <c r="E165" s="64"/>
      <c r="F165" s="64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64"/>
      <c r="V165" s="64"/>
      <c r="W165" s="64"/>
      <c r="X165" s="64"/>
      <c r="Y165" s="64"/>
    </row>
    <row r="166">
      <c r="A166" s="110"/>
      <c r="B166" s="111"/>
      <c r="C166" s="64"/>
      <c r="D166" s="64"/>
      <c r="E166" s="64"/>
      <c r="F166" s="64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64"/>
      <c r="V166" s="64"/>
      <c r="W166" s="64"/>
      <c r="X166" s="64"/>
      <c r="Y166" s="64"/>
    </row>
    <row r="167">
      <c r="A167" s="110"/>
      <c r="B167" s="111"/>
      <c r="C167" s="64"/>
      <c r="D167" s="64"/>
      <c r="E167" s="64"/>
      <c r="F167" s="64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64"/>
      <c r="V167" s="64"/>
      <c r="W167" s="64"/>
      <c r="X167" s="64"/>
      <c r="Y167" s="64"/>
    </row>
    <row r="168">
      <c r="A168" s="110"/>
      <c r="B168" s="111"/>
      <c r="C168" s="64"/>
      <c r="D168" s="64"/>
      <c r="E168" s="64"/>
      <c r="F168" s="64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64"/>
      <c r="V168" s="64"/>
      <c r="W168" s="64"/>
      <c r="X168" s="64"/>
      <c r="Y168" s="64"/>
    </row>
    <row r="169">
      <c r="A169" s="110"/>
      <c r="B169" s="111"/>
      <c r="C169" s="64"/>
      <c r="D169" s="64"/>
      <c r="E169" s="64"/>
      <c r="F169" s="64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64"/>
      <c r="V169" s="64"/>
      <c r="W169" s="64"/>
      <c r="X169" s="64"/>
      <c r="Y169" s="64"/>
    </row>
    <row r="170">
      <c r="A170" s="110"/>
      <c r="B170" s="111"/>
      <c r="C170" s="64"/>
      <c r="D170" s="64"/>
      <c r="E170" s="64"/>
      <c r="F170" s="64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64"/>
      <c r="V170" s="64"/>
      <c r="W170" s="64"/>
      <c r="X170" s="64"/>
      <c r="Y170" s="64"/>
    </row>
    <row r="171">
      <c r="A171" s="110"/>
      <c r="B171" s="111"/>
      <c r="C171" s="64"/>
      <c r="D171" s="64"/>
      <c r="E171" s="64"/>
      <c r="F171" s="64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64"/>
      <c r="V171" s="64"/>
      <c r="W171" s="64"/>
      <c r="X171" s="64"/>
      <c r="Y171" s="64"/>
    </row>
    <row r="172">
      <c r="A172" s="110"/>
      <c r="B172" s="111"/>
      <c r="C172" s="64"/>
      <c r="D172" s="64"/>
      <c r="E172" s="64"/>
      <c r="F172" s="64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64"/>
      <c r="V172" s="64"/>
      <c r="W172" s="64"/>
      <c r="X172" s="64"/>
      <c r="Y172" s="64"/>
    </row>
    <row r="173">
      <c r="A173" s="110"/>
      <c r="B173" s="111"/>
      <c r="C173" s="64"/>
      <c r="D173" s="64"/>
      <c r="E173" s="64"/>
      <c r="F173" s="64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64"/>
      <c r="V173" s="64"/>
      <c r="W173" s="64"/>
      <c r="X173" s="64"/>
      <c r="Y173" s="64"/>
    </row>
    <row r="174">
      <c r="A174" s="110"/>
      <c r="B174" s="111"/>
      <c r="C174" s="64"/>
      <c r="D174" s="64"/>
      <c r="E174" s="64"/>
      <c r="F174" s="64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64"/>
      <c r="V174" s="64"/>
      <c r="W174" s="64"/>
      <c r="X174" s="64"/>
      <c r="Y174" s="64"/>
    </row>
    <row r="175">
      <c r="A175" s="110"/>
      <c r="B175" s="111"/>
      <c r="C175" s="64"/>
      <c r="D175" s="64"/>
      <c r="E175" s="64"/>
      <c r="F175" s="64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64"/>
      <c r="V175" s="64"/>
      <c r="W175" s="64"/>
      <c r="X175" s="64"/>
      <c r="Y175" s="64"/>
    </row>
    <row r="176">
      <c r="A176" s="110"/>
      <c r="B176" s="111"/>
      <c r="C176" s="64"/>
      <c r="D176" s="64"/>
      <c r="E176" s="64"/>
      <c r="F176" s="64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64"/>
      <c r="V176" s="64"/>
      <c r="W176" s="64"/>
      <c r="X176" s="64"/>
      <c r="Y176" s="64"/>
    </row>
    <row r="177">
      <c r="A177" s="110"/>
      <c r="B177" s="111"/>
      <c r="C177" s="64"/>
      <c r="D177" s="64"/>
      <c r="E177" s="64"/>
      <c r="F177" s="64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64"/>
      <c r="V177" s="64"/>
      <c r="W177" s="64"/>
      <c r="X177" s="64"/>
      <c r="Y177" s="64"/>
    </row>
    <row r="178">
      <c r="A178" s="110"/>
      <c r="B178" s="111"/>
      <c r="C178" s="64"/>
      <c r="D178" s="64"/>
      <c r="E178" s="64"/>
      <c r="F178" s="64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64"/>
      <c r="V178" s="64"/>
      <c r="W178" s="64"/>
      <c r="X178" s="64"/>
      <c r="Y178" s="64"/>
    </row>
    <row r="179">
      <c r="A179" s="110"/>
      <c r="B179" s="111"/>
      <c r="C179" s="64"/>
      <c r="D179" s="64"/>
      <c r="E179" s="64"/>
      <c r="F179" s="64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64"/>
      <c r="V179" s="64"/>
      <c r="W179" s="64"/>
      <c r="X179" s="64"/>
      <c r="Y179" s="64"/>
    </row>
    <row r="180">
      <c r="A180" s="110"/>
      <c r="B180" s="111"/>
      <c r="C180" s="64"/>
      <c r="D180" s="64"/>
      <c r="E180" s="64"/>
      <c r="F180" s="64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64"/>
      <c r="V180" s="64"/>
      <c r="W180" s="64"/>
      <c r="X180" s="64"/>
      <c r="Y180" s="64"/>
    </row>
    <row r="181">
      <c r="A181" s="110"/>
      <c r="B181" s="111"/>
      <c r="C181" s="64"/>
      <c r="D181" s="64"/>
      <c r="E181" s="64"/>
      <c r="F181" s="64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64"/>
      <c r="V181" s="64"/>
      <c r="W181" s="64"/>
      <c r="X181" s="64"/>
      <c r="Y181" s="64"/>
    </row>
    <row r="182">
      <c r="A182" s="110"/>
      <c r="B182" s="111"/>
      <c r="C182" s="64"/>
      <c r="D182" s="64"/>
      <c r="E182" s="64"/>
      <c r="F182" s="64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64"/>
      <c r="V182" s="64"/>
      <c r="W182" s="64"/>
      <c r="X182" s="64"/>
      <c r="Y182" s="64"/>
    </row>
    <row r="183">
      <c r="A183" s="110"/>
      <c r="B183" s="111"/>
      <c r="C183" s="64"/>
      <c r="D183" s="64"/>
      <c r="E183" s="64"/>
      <c r="F183" s="64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64"/>
      <c r="V183" s="64"/>
      <c r="W183" s="64"/>
      <c r="X183" s="64"/>
      <c r="Y183" s="64"/>
    </row>
    <row r="184">
      <c r="A184" s="110"/>
      <c r="B184" s="111"/>
      <c r="C184" s="64"/>
      <c r="D184" s="64"/>
      <c r="E184" s="64"/>
      <c r="F184" s="64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64"/>
      <c r="V184" s="64"/>
      <c r="W184" s="64"/>
      <c r="X184" s="64"/>
      <c r="Y184" s="64"/>
    </row>
    <row r="185">
      <c r="A185" s="110"/>
      <c r="B185" s="111"/>
      <c r="C185" s="64"/>
      <c r="D185" s="64"/>
      <c r="E185" s="64"/>
      <c r="F185" s="64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64"/>
      <c r="V185" s="64"/>
      <c r="W185" s="64"/>
      <c r="X185" s="64"/>
      <c r="Y185" s="64"/>
    </row>
    <row r="186">
      <c r="A186" s="110"/>
      <c r="B186" s="111"/>
      <c r="C186" s="64"/>
      <c r="D186" s="64"/>
      <c r="E186" s="64"/>
      <c r="F186" s="64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64"/>
      <c r="V186" s="64"/>
      <c r="W186" s="64"/>
      <c r="X186" s="64"/>
      <c r="Y186" s="64"/>
    </row>
    <row r="187">
      <c r="A187" s="110"/>
      <c r="B187" s="111"/>
      <c r="C187" s="64"/>
      <c r="D187" s="64"/>
      <c r="E187" s="64"/>
      <c r="F187" s="64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64"/>
      <c r="V187" s="64"/>
      <c r="W187" s="64"/>
      <c r="X187" s="64"/>
      <c r="Y187" s="64"/>
    </row>
    <row r="188">
      <c r="A188" s="110"/>
      <c r="B188" s="111"/>
      <c r="C188" s="64"/>
      <c r="D188" s="64"/>
      <c r="E188" s="64"/>
      <c r="F188" s="64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64"/>
      <c r="V188" s="64"/>
      <c r="W188" s="64"/>
      <c r="X188" s="64"/>
      <c r="Y188" s="64"/>
    </row>
    <row r="189">
      <c r="A189" s="110"/>
      <c r="B189" s="111"/>
      <c r="C189" s="64"/>
      <c r="D189" s="64"/>
      <c r="E189" s="64"/>
      <c r="F189" s="64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64"/>
      <c r="V189" s="64"/>
      <c r="W189" s="64"/>
      <c r="X189" s="64"/>
      <c r="Y189" s="64"/>
    </row>
    <row r="190">
      <c r="A190" s="110"/>
      <c r="B190" s="111"/>
      <c r="C190" s="64"/>
      <c r="D190" s="64"/>
      <c r="E190" s="64"/>
      <c r="F190" s="64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64"/>
      <c r="V190" s="64"/>
      <c r="W190" s="64"/>
      <c r="X190" s="64"/>
      <c r="Y190" s="64"/>
    </row>
    <row r="191">
      <c r="A191" s="110"/>
      <c r="B191" s="111"/>
      <c r="C191" s="64"/>
      <c r="D191" s="64"/>
      <c r="E191" s="64"/>
      <c r="F191" s="64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64"/>
      <c r="V191" s="64"/>
      <c r="W191" s="64"/>
      <c r="X191" s="64"/>
      <c r="Y191" s="64"/>
    </row>
    <row r="192">
      <c r="A192" s="110"/>
      <c r="B192" s="111"/>
      <c r="C192" s="64"/>
      <c r="D192" s="64"/>
      <c r="E192" s="64"/>
      <c r="F192" s="64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64"/>
      <c r="V192" s="64"/>
      <c r="W192" s="64"/>
      <c r="X192" s="64"/>
      <c r="Y192" s="64"/>
    </row>
    <row r="193">
      <c r="A193" s="110"/>
      <c r="B193" s="111"/>
      <c r="C193" s="64"/>
      <c r="D193" s="64"/>
      <c r="E193" s="64"/>
      <c r="F193" s="64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64"/>
      <c r="V193" s="64"/>
      <c r="W193" s="64"/>
      <c r="X193" s="64"/>
      <c r="Y193" s="64"/>
    </row>
    <row r="194">
      <c r="A194" s="110"/>
      <c r="B194" s="111"/>
      <c r="C194" s="64"/>
      <c r="D194" s="64"/>
      <c r="E194" s="64"/>
      <c r="F194" s="64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64"/>
      <c r="V194" s="64"/>
      <c r="W194" s="64"/>
      <c r="X194" s="64"/>
      <c r="Y194" s="64"/>
    </row>
    <row r="195">
      <c r="A195" s="110"/>
      <c r="B195" s="111"/>
      <c r="C195" s="64"/>
      <c r="D195" s="64"/>
      <c r="E195" s="64"/>
      <c r="F195" s="64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64"/>
      <c r="V195" s="64"/>
      <c r="W195" s="64"/>
      <c r="X195" s="64"/>
      <c r="Y195" s="64"/>
    </row>
    <row r="196">
      <c r="A196" s="110"/>
      <c r="B196" s="111"/>
      <c r="C196" s="64"/>
      <c r="D196" s="64"/>
      <c r="E196" s="64"/>
      <c r="F196" s="64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64"/>
      <c r="V196" s="64"/>
      <c r="W196" s="64"/>
      <c r="X196" s="64"/>
      <c r="Y196" s="64"/>
    </row>
    <row r="197">
      <c r="A197" s="110"/>
      <c r="B197" s="111"/>
      <c r="C197" s="64"/>
      <c r="D197" s="64"/>
      <c r="E197" s="64"/>
      <c r="F197" s="64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64"/>
      <c r="V197" s="64"/>
      <c r="W197" s="64"/>
      <c r="X197" s="64"/>
      <c r="Y197" s="64"/>
    </row>
    <row r="198">
      <c r="A198" s="110"/>
      <c r="B198" s="111"/>
      <c r="C198" s="64"/>
      <c r="D198" s="64"/>
      <c r="E198" s="64"/>
      <c r="F198" s="64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64"/>
      <c r="V198" s="64"/>
      <c r="W198" s="64"/>
      <c r="X198" s="64"/>
      <c r="Y198" s="64"/>
    </row>
    <row r="199">
      <c r="A199" s="110"/>
      <c r="B199" s="111"/>
      <c r="C199" s="64"/>
      <c r="D199" s="64"/>
      <c r="E199" s="64"/>
      <c r="F199" s="64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64"/>
      <c r="V199" s="64"/>
      <c r="W199" s="64"/>
      <c r="X199" s="64"/>
      <c r="Y199" s="64"/>
    </row>
    <row r="200">
      <c r="A200" s="110"/>
      <c r="B200" s="111"/>
      <c r="C200" s="64"/>
      <c r="D200" s="64"/>
      <c r="E200" s="64"/>
      <c r="F200" s="64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64"/>
      <c r="V200" s="64"/>
      <c r="W200" s="64"/>
      <c r="X200" s="64"/>
      <c r="Y200" s="64"/>
    </row>
    <row r="201">
      <c r="A201" s="110"/>
      <c r="B201" s="111"/>
      <c r="C201" s="64"/>
      <c r="D201" s="64"/>
      <c r="E201" s="64"/>
      <c r="F201" s="64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64"/>
      <c r="V201" s="64"/>
      <c r="W201" s="64"/>
      <c r="X201" s="64"/>
      <c r="Y201" s="64"/>
    </row>
    <row r="202">
      <c r="A202" s="110"/>
      <c r="B202" s="111"/>
      <c r="C202" s="64"/>
      <c r="D202" s="64"/>
      <c r="E202" s="64"/>
      <c r="F202" s="64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64"/>
      <c r="V202" s="64"/>
      <c r="W202" s="64"/>
      <c r="X202" s="64"/>
      <c r="Y202" s="64"/>
    </row>
    <row r="203">
      <c r="A203" s="110"/>
      <c r="B203" s="111"/>
      <c r="C203" s="64"/>
      <c r="D203" s="64"/>
      <c r="E203" s="64"/>
      <c r="F203" s="64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64"/>
      <c r="V203" s="64"/>
      <c r="W203" s="64"/>
      <c r="X203" s="64"/>
      <c r="Y203" s="64"/>
    </row>
    <row r="204">
      <c r="A204" s="110"/>
      <c r="B204" s="111"/>
      <c r="C204" s="64"/>
      <c r="D204" s="64"/>
      <c r="E204" s="64"/>
      <c r="F204" s="64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64"/>
      <c r="V204" s="64"/>
      <c r="W204" s="64"/>
      <c r="X204" s="64"/>
      <c r="Y204" s="64"/>
    </row>
    <row r="205">
      <c r="A205" s="110"/>
      <c r="B205" s="111"/>
      <c r="C205" s="64"/>
      <c r="D205" s="64"/>
      <c r="E205" s="64"/>
      <c r="F205" s="64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64"/>
      <c r="V205" s="64"/>
      <c r="W205" s="64"/>
      <c r="X205" s="64"/>
      <c r="Y205" s="64"/>
    </row>
    <row r="206">
      <c r="A206" s="110"/>
      <c r="B206" s="111"/>
      <c r="C206" s="64"/>
      <c r="D206" s="64"/>
      <c r="E206" s="64"/>
      <c r="F206" s="64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64"/>
      <c r="V206" s="64"/>
      <c r="W206" s="64"/>
      <c r="X206" s="64"/>
      <c r="Y206" s="64"/>
    </row>
    <row r="207">
      <c r="A207" s="110"/>
      <c r="B207" s="111"/>
      <c r="C207" s="64"/>
      <c r="D207" s="64"/>
      <c r="E207" s="64"/>
      <c r="F207" s="64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64"/>
      <c r="V207" s="64"/>
      <c r="W207" s="64"/>
      <c r="X207" s="64"/>
      <c r="Y207" s="64"/>
    </row>
    <row r="208">
      <c r="A208" s="110"/>
      <c r="B208" s="111"/>
      <c r="C208" s="64"/>
      <c r="D208" s="64"/>
      <c r="E208" s="64"/>
      <c r="F208" s="64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64"/>
      <c r="V208" s="64"/>
      <c r="W208" s="64"/>
      <c r="X208" s="64"/>
      <c r="Y208" s="64"/>
    </row>
    <row r="209">
      <c r="A209" s="110"/>
      <c r="B209" s="111"/>
      <c r="C209" s="64"/>
      <c r="D209" s="64"/>
      <c r="E209" s="64"/>
      <c r="F209" s="64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64"/>
      <c r="V209" s="64"/>
      <c r="W209" s="64"/>
      <c r="X209" s="64"/>
      <c r="Y209" s="64"/>
    </row>
    <row r="210">
      <c r="A210" s="110"/>
      <c r="B210" s="111"/>
      <c r="C210" s="64"/>
      <c r="D210" s="64"/>
      <c r="E210" s="64"/>
      <c r="F210" s="64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64"/>
      <c r="V210" s="64"/>
      <c r="W210" s="64"/>
      <c r="X210" s="64"/>
      <c r="Y210" s="64"/>
    </row>
    <row r="211">
      <c r="A211" s="110"/>
      <c r="B211" s="111"/>
      <c r="C211" s="64"/>
      <c r="D211" s="64"/>
      <c r="E211" s="64"/>
      <c r="F211" s="64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64"/>
      <c r="V211" s="64"/>
      <c r="W211" s="64"/>
      <c r="X211" s="64"/>
      <c r="Y211" s="64"/>
    </row>
    <row r="212">
      <c r="A212" s="110"/>
      <c r="B212" s="111"/>
      <c r="C212" s="64"/>
      <c r="D212" s="64"/>
      <c r="E212" s="64"/>
      <c r="F212" s="64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64"/>
      <c r="V212" s="64"/>
      <c r="W212" s="64"/>
      <c r="X212" s="64"/>
      <c r="Y212" s="64"/>
    </row>
    <row r="213">
      <c r="A213" s="110"/>
      <c r="B213" s="111"/>
      <c r="C213" s="64"/>
      <c r="D213" s="64"/>
      <c r="E213" s="64"/>
      <c r="F213" s="64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64"/>
      <c r="V213" s="64"/>
      <c r="W213" s="64"/>
      <c r="X213" s="64"/>
      <c r="Y213" s="64"/>
    </row>
    <row r="214">
      <c r="A214" s="110"/>
      <c r="B214" s="111"/>
      <c r="C214" s="64"/>
      <c r="D214" s="64"/>
      <c r="E214" s="64"/>
      <c r="F214" s="64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64"/>
      <c r="V214" s="64"/>
      <c r="W214" s="64"/>
      <c r="X214" s="64"/>
      <c r="Y214" s="64"/>
    </row>
    <row r="215">
      <c r="A215" s="110"/>
      <c r="B215" s="111"/>
      <c r="C215" s="64"/>
      <c r="D215" s="64"/>
      <c r="E215" s="64"/>
      <c r="F215" s="64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64"/>
      <c r="V215" s="64"/>
      <c r="W215" s="64"/>
      <c r="X215" s="64"/>
      <c r="Y215" s="64"/>
    </row>
    <row r="216">
      <c r="A216" s="110"/>
      <c r="B216" s="111"/>
      <c r="C216" s="64"/>
      <c r="D216" s="64"/>
      <c r="E216" s="64"/>
      <c r="F216" s="64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64"/>
      <c r="V216" s="64"/>
      <c r="W216" s="64"/>
      <c r="X216" s="64"/>
      <c r="Y216" s="64"/>
    </row>
    <row r="217">
      <c r="A217" s="110"/>
      <c r="B217" s="111"/>
      <c r="C217" s="64"/>
      <c r="D217" s="64"/>
      <c r="E217" s="64"/>
      <c r="F217" s="64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64"/>
      <c r="V217" s="64"/>
      <c r="W217" s="64"/>
      <c r="X217" s="64"/>
      <c r="Y217" s="64"/>
    </row>
    <row r="218">
      <c r="A218" s="110"/>
      <c r="B218" s="111"/>
      <c r="C218" s="64"/>
      <c r="D218" s="64"/>
      <c r="E218" s="64"/>
      <c r="F218" s="64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64"/>
      <c r="V218" s="64"/>
      <c r="W218" s="64"/>
      <c r="X218" s="64"/>
      <c r="Y218" s="64"/>
    </row>
    <row r="219">
      <c r="A219" s="110"/>
      <c r="B219" s="111"/>
      <c r="C219" s="64"/>
      <c r="D219" s="64"/>
      <c r="E219" s="64"/>
      <c r="F219" s="64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64"/>
      <c r="V219" s="64"/>
      <c r="W219" s="64"/>
      <c r="X219" s="64"/>
      <c r="Y219" s="64"/>
    </row>
    <row r="220">
      <c r="A220" s="110"/>
      <c r="B220" s="111"/>
      <c r="C220" s="64"/>
      <c r="D220" s="64"/>
      <c r="E220" s="64"/>
      <c r="F220" s="64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64"/>
      <c r="V220" s="64"/>
      <c r="W220" s="64"/>
      <c r="X220" s="64"/>
      <c r="Y220" s="64"/>
    </row>
    <row r="221">
      <c r="A221" s="110"/>
      <c r="B221" s="111"/>
      <c r="C221" s="64"/>
      <c r="D221" s="64"/>
      <c r="E221" s="64"/>
      <c r="F221" s="64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64"/>
      <c r="V221" s="64"/>
      <c r="W221" s="64"/>
      <c r="X221" s="64"/>
      <c r="Y221" s="64"/>
    </row>
    <row r="222">
      <c r="A222" s="110"/>
      <c r="B222" s="111"/>
      <c r="C222" s="64"/>
      <c r="D222" s="64"/>
      <c r="E222" s="64"/>
      <c r="F222" s="64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64"/>
      <c r="V222" s="64"/>
      <c r="W222" s="64"/>
      <c r="X222" s="64"/>
      <c r="Y222" s="64"/>
    </row>
    <row r="223">
      <c r="A223" s="110"/>
      <c r="B223" s="111"/>
      <c r="C223" s="64"/>
      <c r="D223" s="64"/>
      <c r="E223" s="64"/>
      <c r="F223" s="64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64"/>
      <c r="V223" s="64"/>
      <c r="W223" s="64"/>
      <c r="X223" s="64"/>
      <c r="Y223" s="64"/>
    </row>
    <row r="224">
      <c r="A224" s="110"/>
      <c r="B224" s="111"/>
      <c r="C224" s="64"/>
      <c r="D224" s="64"/>
      <c r="E224" s="64"/>
      <c r="F224" s="64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64"/>
      <c r="V224" s="64"/>
      <c r="W224" s="64"/>
      <c r="X224" s="64"/>
      <c r="Y224" s="64"/>
    </row>
    <row r="225">
      <c r="A225" s="110"/>
      <c r="B225" s="111"/>
      <c r="C225" s="64"/>
      <c r="D225" s="64"/>
      <c r="E225" s="64"/>
      <c r="F225" s="64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64"/>
      <c r="V225" s="64"/>
      <c r="W225" s="64"/>
      <c r="X225" s="64"/>
      <c r="Y225" s="64"/>
    </row>
    <row r="226">
      <c r="A226" s="110"/>
      <c r="B226" s="111"/>
      <c r="C226" s="64"/>
      <c r="D226" s="64"/>
      <c r="E226" s="64"/>
      <c r="F226" s="64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64"/>
      <c r="V226" s="64"/>
      <c r="W226" s="64"/>
      <c r="X226" s="64"/>
      <c r="Y226" s="64"/>
    </row>
    <row r="227">
      <c r="A227" s="110"/>
      <c r="B227" s="111"/>
      <c r="C227" s="64"/>
      <c r="D227" s="64"/>
      <c r="E227" s="64"/>
      <c r="F227" s="64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64"/>
      <c r="V227" s="64"/>
      <c r="W227" s="64"/>
      <c r="X227" s="64"/>
      <c r="Y227" s="64"/>
    </row>
    <row r="228">
      <c r="A228" s="110"/>
      <c r="B228" s="111"/>
      <c r="C228" s="64"/>
      <c r="D228" s="64"/>
      <c r="E228" s="64"/>
      <c r="F228" s="64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64"/>
      <c r="V228" s="64"/>
      <c r="W228" s="64"/>
      <c r="X228" s="64"/>
      <c r="Y228" s="64"/>
    </row>
    <row r="229">
      <c r="A229" s="110"/>
      <c r="B229" s="111"/>
      <c r="C229" s="64"/>
      <c r="D229" s="64"/>
      <c r="E229" s="64"/>
      <c r="F229" s="64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64"/>
      <c r="V229" s="64"/>
      <c r="W229" s="64"/>
      <c r="X229" s="64"/>
      <c r="Y229" s="64"/>
    </row>
    <row r="230">
      <c r="A230" s="110"/>
      <c r="B230" s="111"/>
      <c r="C230" s="64"/>
      <c r="D230" s="64"/>
      <c r="E230" s="64"/>
      <c r="F230" s="64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64"/>
      <c r="V230" s="64"/>
      <c r="W230" s="64"/>
      <c r="X230" s="64"/>
      <c r="Y230" s="64"/>
    </row>
    <row r="231">
      <c r="A231" s="110"/>
      <c r="B231" s="111"/>
      <c r="C231" s="64"/>
      <c r="D231" s="64"/>
      <c r="E231" s="64"/>
      <c r="F231" s="64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64"/>
      <c r="V231" s="64"/>
      <c r="W231" s="64"/>
      <c r="X231" s="64"/>
      <c r="Y231" s="64"/>
    </row>
    <row r="232">
      <c r="A232" s="110"/>
      <c r="B232" s="111"/>
      <c r="C232" s="64"/>
      <c r="D232" s="64"/>
      <c r="E232" s="64"/>
      <c r="F232" s="64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64"/>
      <c r="V232" s="64"/>
      <c r="W232" s="64"/>
      <c r="X232" s="64"/>
      <c r="Y232" s="64"/>
    </row>
    <row r="233">
      <c r="A233" s="110"/>
      <c r="B233" s="111"/>
      <c r="C233" s="64"/>
      <c r="D233" s="64"/>
      <c r="E233" s="64"/>
      <c r="F233" s="64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64"/>
      <c r="V233" s="64"/>
      <c r="W233" s="64"/>
      <c r="X233" s="64"/>
      <c r="Y233" s="64"/>
    </row>
    <row r="234">
      <c r="A234" s="110"/>
      <c r="B234" s="111"/>
      <c r="C234" s="64"/>
      <c r="D234" s="64"/>
      <c r="E234" s="64"/>
      <c r="F234" s="64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64"/>
      <c r="V234" s="64"/>
      <c r="W234" s="64"/>
      <c r="X234" s="64"/>
      <c r="Y234" s="64"/>
    </row>
    <row r="235">
      <c r="A235" s="110"/>
      <c r="B235" s="111"/>
      <c r="C235" s="64"/>
      <c r="D235" s="64"/>
      <c r="E235" s="64"/>
      <c r="F235" s="64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64"/>
      <c r="V235" s="64"/>
      <c r="W235" s="64"/>
      <c r="X235" s="64"/>
      <c r="Y235" s="64"/>
    </row>
    <row r="236">
      <c r="A236" s="110"/>
      <c r="B236" s="111"/>
      <c r="C236" s="64"/>
      <c r="D236" s="64"/>
      <c r="E236" s="64"/>
      <c r="F236" s="64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64"/>
      <c r="V236" s="64"/>
      <c r="W236" s="64"/>
      <c r="X236" s="64"/>
      <c r="Y236" s="64"/>
    </row>
    <row r="237">
      <c r="A237" s="110"/>
      <c r="B237" s="111"/>
      <c r="C237" s="64"/>
      <c r="D237" s="64"/>
      <c r="E237" s="64"/>
      <c r="F237" s="64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64"/>
      <c r="V237" s="64"/>
      <c r="W237" s="64"/>
      <c r="X237" s="64"/>
      <c r="Y237" s="64"/>
    </row>
    <row r="238">
      <c r="A238" s="110"/>
      <c r="B238" s="111"/>
      <c r="C238" s="64"/>
      <c r="D238" s="64"/>
      <c r="E238" s="64"/>
      <c r="F238" s="64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64"/>
      <c r="V238" s="64"/>
      <c r="W238" s="64"/>
      <c r="X238" s="64"/>
      <c r="Y238" s="64"/>
    </row>
    <row r="239">
      <c r="A239" s="110"/>
      <c r="B239" s="111"/>
      <c r="C239" s="64"/>
      <c r="D239" s="64"/>
      <c r="E239" s="64"/>
      <c r="F239" s="64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64"/>
      <c r="V239" s="64"/>
      <c r="W239" s="64"/>
      <c r="X239" s="64"/>
      <c r="Y239" s="64"/>
    </row>
    <row r="240">
      <c r="A240" s="110"/>
      <c r="B240" s="111"/>
      <c r="C240" s="64"/>
      <c r="D240" s="64"/>
      <c r="E240" s="64"/>
      <c r="F240" s="64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64"/>
      <c r="V240" s="64"/>
      <c r="W240" s="64"/>
      <c r="X240" s="64"/>
      <c r="Y240" s="64"/>
    </row>
    <row r="241">
      <c r="A241" s="110"/>
      <c r="B241" s="111"/>
      <c r="C241" s="64"/>
      <c r="D241" s="64"/>
      <c r="E241" s="64"/>
      <c r="F241" s="64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64"/>
      <c r="V241" s="64"/>
      <c r="W241" s="64"/>
      <c r="X241" s="64"/>
      <c r="Y241" s="64"/>
    </row>
    <row r="242">
      <c r="A242" s="110"/>
      <c r="B242" s="111"/>
      <c r="C242" s="64"/>
      <c r="D242" s="64"/>
      <c r="E242" s="64"/>
      <c r="F242" s="64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64"/>
      <c r="V242" s="64"/>
      <c r="W242" s="64"/>
      <c r="X242" s="64"/>
      <c r="Y242" s="64"/>
    </row>
    <row r="243">
      <c r="A243" s="110"/>
      <c r="B243" s="111"/>
      <c r="C243" s="64"/>
      <c r="D243" s="64"/>
      <c r="E243" s="64"/>
      <c r="F243" s="64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64"/>
      <c r="V243" s="64"/>
      <c r="W243" s="64"/>
      <c r="X243" s="64"/>
      <c r="Y243" s="64"/>
    </row>
    <row r="244">
      <c r="A244" s="110"/>
      <c r="B244" s="111"/>
      <c r="C244" s="64"/>
      <c r="D244" s="64"/>
      <c r="E244" s="64"/>
      <c r="F244" s="64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64"/>
      <c r="V244" s="64"/>
      <c r="W244" s="64"/>
      <c r="X244" s="64"/>
      <c r="Y244" s="64"/>
    </row>
    <row r="245">
      <c r="A245" s="110"/>
      <c r="B245" s="111"/>
      <c r="C245" s="64"/>
      <c r="D245" s="64"/>
      <c r="E245" s="64"/>
      <c r="F245" s="64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64"/>
      <c r="V245" s="64"/>
      <c r="W245" s="64"/>
      <c r="X245" s="64"/>
      <c r="Y245" s="64"/>
    </row>
    <row r="246">
      <c r="A246" s="110"/>
      <c r="B246" s="111"/>
      <c r="C246" s="64"/>
      <c r="D246" s="64"/>
      <c r="E246" s="64"/>
      <c r="F246" s="64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64"/>
      <c r="V246" s="64"/>
      <c r="W246" s="64"/>
      <c r="X246" s="64"/>
      <c r="Y246" s="64"/>
    </row>
    <row r="247">
      <c r="A247" s="110"/>
      <c r="B247" s="111"/>
      <c r="C247" s="64"/>
      <c r="D247" s="64"/>
      <c r="E247" s="64"/>
      <c r="F247" s="64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64"/>
      <c r="V247" s="64"/>
      <c r="W247" s="64"/>
      <c r="X247" s="64"/>
      <c r="Y247" s="64"/>
    </row>
    <row r="248">
      <c r="A248" s="110"/>
      <c r="B248" s="111"/>
      <c r="C248" s="64"/>
      <c r="D248" s="64"/>
      <c r="E248" s="64"/>
      <c r="F248" s="64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64"/>
      <c r="V248" s="64"/>
      <c r="W248" s="64"/>
      <c r="X248" s="64"/>
      <c r="Y248" s="64"/>
    </row>
    <row r="249">
      <c r="A249" s="110"/>
      <c r="B249" s="111"/>
      <c r="C249" s="64"/>
      <c r="D249" s="64"/>
      <c r="E249" s="64"/>
      <c r="F249" s="64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64"/>
      <c r="V249" s="64"/>
      <c r="W249" s="64"/>
      <c r="X249" s="64"/>
      <c r="Y249" s="64"/>
    </row>
    <row r="250">
      <c r="A250" s="110"/>
      <c r="B250" s="111"/>
      <c r="C250" s="64"/>
      <c r="D250" s="64"/>
      <c r="E250" s="64"/>
      <c r="F250" s="64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64"/>
      <c r="V250" s="64"/>
      <c r="W250" s="64"/>
      <c r="X250" s="64"/>
      <c r="Y250" s="64"/>
    </row>
    <row r="251">
      <c r="A251" s="110"/>
      <c r="B251" s="111"/>
      <c r="C251" s="64"/>
      <c r="D251" s="64"/>
      <c r="E251" s="64"/>
      <c r="F251" s="64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64"/>
      <c r="V251" s="64"/>
      <c r="W251" s="64"/>
      <c r="X251" s="64"/>
      <c r="Y251" s="64"/>
    </row>
    <row r="252">
      <c r="A252" s="110"/>
      <c r="B252" s="111"/>
      <c r="C252" s="64"/>
      <c r="D252" s="64"/>
      <c r="E252" s="64"/>
      <c r="F252" s="64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64"/>
      <c r="V252" s="64"/>
      <c r="W252" s="64"/>
      <c r="X252" s="64"/>
      <c r="Y252" s="64"/>
    </row>
    <row r="253">
      <c r="A253" s="110"/>
      <c r="B253" s="111"/>
      <c r="C253" s="64"/>
      <c r="D253" s="64"/>
      <c r="E253" s="64"/>
      <c r="F253" s="64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64"/>
      <c r="V253" s="64"/>
      <c r="W253" s="64"/>
      <c r="X253" s="64"/>
      <c r="Y253" s="64"/>
    </row>
    <row r="254">
      <c r="A254" s="110"/>
      <c r="B254" s="111"/>
      <c r="C254" s="64"/>
      <c r="D254" s="64"/>
      <c r="E254" s="64"/>
      <c r="F254" s="64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64"/>
      <c r="V254" s="64"/>
      <c r="W254" s="64"/>
      <c r="X254" s="64"/>
      <c r="Y254" s="64"/>
    </row>
    <row r="255">
      <c r="A255" s="110"/>
      <c r="B255" s="111"/>
      <c r="C255" s="64"/>
      <c r="D255" s="64"/>
      <c r="E255" s="64"/>
      <c r="F255" s="64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64"/>
      <c r="V255" s="64"/>
      <c r="W255" s="64"/>
      <c r="X255" s="64"/>
      <c r="Y255" s="64"/>
    </row>
    <row r="256">
      <c r="A256" s="110"/>
      <c r="B256" s="111"/>
      <c r="C256" s="64"/>
      <c r="D256" s="64"/>
      <c r="E256" s="64"/>
      <c r="F256" s="64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64"/>
      <c r="V256" s="64"/>
      <c r="W256" s="64"/>
      <c r="X256" s="64"/>
      <c r="Y256" s="64"/>
    </row>
    <row r="257">
      <c r="A257" s="110"/>
      <c r="B257" s="111"/>
      <c r="C257" s="64"/>
      <c r="D257" s="64"/>
      <c r="E257" s="64"/>
      <c r="F257" s="64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64"/>
      <c r="V257" s="64"/>
      <c r="W257" s="64"/>
      <c r="X257" s="64"/>
      <c r="Y257" s="64"/>
    </row>
    <row r="258">
      <c r="A258" s="110"/>
      <c r="B258" s="111"/>
      <c r="C258" s="64"/>
      <c r="D258" s="64"/>
      <c r="E258" s="64"/>
      <c r="F258" s="64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64"/>
      <c r="V258" s="64"/>
      <c r="W258" s="64"/>
      <c r="X258" s="64"/>
      <c r="Y258" s="64"/>
    </row>
    <row r="259">
      <c r="A259" s="110"/>
      <c r="B259" s="111"/>
      <c r="C259" s="64"/>
      <c r="D259" s="64"/>
      <c r="E259" s="64"/>
      <c r="F259" s="64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64"/>
      <c r="V259" s="64"/>
      <c r="W259" s="64"/>
      <c r="X259" s="64"/>
      <c r="Y259" s="64"/>
    </row>
    <row r="260">
      <c r="A260" s="110"/>
      <c r="B260" s="111"/>
      <c r="C260" s="64"/>
      <c r="D260" s="64"/>
      <c r="E260" s="64"/>
      <c r="F260" s="64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64"/>
      <c r="V260" s="64"/>
      <c r="W260" s="64"/>
      <c r="X260" s="64"/>
      <c r="Y260" s="64"/>
    </row>
    <row r="261">
      <c r="A261" s="110"/>
      <c r="B261" s="111"/>
      <c r="C261" s="64"/>
      <c r="D261" s="64"/>
      <c r="E261" s="64"/>
      <c r="F261" s="64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64"/>
      <c r="V261" s="64"/>
      <c r="W261" s="64"/>
      <c r="X261" s="64"/>
      <c r="Y261" s="64"/>
    </row>
    <row r="262">
      <c r="A262" s="110"/>
      <c r="B262" s="111"/>
      <c r="C262" s="64"/>
      <c r="D262" s="64"/>
      <c r="E262" s="64"/>
      <c r="F262" s="64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64"/>
      <c r="V262" s="64"/>
      <c r="W262" s="64"/>
      <c r="X262" s="64"/>
      <c r="Y262" s="64"/>
    </row>
    <row r="263">
      <c r="A263" s="110"/>
      <c r="B263" s="111"/>
      <c r="C263" s="64"/>
      <c r="D263" s="64"/>
      <c r="E263" s="64"/>
      <c r="F263" s="64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64"/>
      <c r="V263" s="64"/>
      <c r="W263" s="64"/>
      <c r="X263" s="64"/>
      <c r="Y263" s="64"/>
    </row>
    <row r="264">
      <c r="A264" s="110"/>
      <c r="B264" s="111"/>
      <c r="C264" s="64"/>
      <c r="D264" s="64"/>
      <c r="E264" s="64"/>
      <c r="F264" s="64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64"/>
      <c r="V264" s="64"/>
      <c r="W264" s="64"/>
      <c r="X264" s="64"/>
      <c r="Y264" s="64"/>
    </row>
    <row r="265">
      <c r="A265" s="110"/>
      <c r="B265" s="111"/>
      <c r="C265" s="64"/>
      <c r="D265" s="64"/>
      <c r="E265" s="64"/>
      <c r="F265" s="64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64"/>
      <c r="V265" s="64"/>
      <c r="W265" s="64"/>
      <c r="X265" s="64"/>
      <c r="Y265" s="64"/>
    </row>
    <row r="266">
      <c r="A266" s="110"/>
      <c r="B266" s="111"/>
      <c r="C266" s="64"/>
      <c r="D266" s="64"/>
      <c r="E266" s="64"/>
      <c r="F266" s="64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64"/>
      <c r="V266" s="64"/>
      <c r="W266" s="64"/>
      <c r="X266" s="64"/>
      <c r="Y266" s="64"/>
    </row>
    <row r="267">
      <c r="A267" s="110"/>
      <c r="B267" s="111"/>
      <c r="C267" s="64"/>
      <c r="D267" s="64"/>
      <c r="E267" s="64"/>
      <c r="F267" s="64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64"/>
      <c r="V267" s="64"/>
      <c r="W267" s="64"/>
      <c r="X267" s="64"/>
      <c r="Y267" s="64"/>
    </row>
    <row r="268">
      <c r="A268" s="110"/>
      <c r="B268" s="111"/>
      <c r="C268" s="64"/>
      <c r="D268" s="64"/>
      <c r="E268" s="64"/>
      <c r="F268" s="64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64"/>
      <c r="V268" s="64"/>
      <c r="W268" s="64"/>
      <c r="X268" s="64"/>
      <c r="Y268" s="64"/>
    </row>
    <row r="269">
      <c r="A269" s="110"/>
      <c r="B269" s="111"/>
      <c r="C269" s="64"/>
      <c r="D269" s="64"/>
      <c r="E269" s="64"/>
      <c r="F269" s="64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64"/>
      <c r="V269" s="64"/>
      <c r="W269" s="64"/>
      <c r="X269" s="64"/>
      <c r="Y269" s="64"/>
    </row>
    <row r="270">
      <c r="A270" s="110"/>
      <c r="B270" s="111"/>
      <c r="C270" s="64"/>
      <c r="D270" s="64"/>
      <c r="E270" s="64"/>
      <c r="F270" s="64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64"/>
      <c r="V270" s="64"/>
      <c r="W270" s="64"/>
      <c r="X270" s="64"/>
      <c r="Y270" s="64"/>
    </row>
    <row r="271">
      <c r="A271" s="110"/>
      <c r="B271" s="111"/>
      <c r="C271" s="64"/>
      <c r="D271" s="64"/>
      <c r="E271" s="64"/>
      <c r="F271" s="64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64"/>
      <c r="V271" s="64"/>
      <c r="W271" s="64"/>
      <c r="X271" s="64"/>
      <c r="Y271" s="64"/>
    </row>
    <row r="272">
      <c r="A272" s="110"/>
      <c r="B272" s="111"/>
      <c r="C272" s="64"/>
      <c r="D272" s="64"/>
      <c r="E272" s="64"/>
      <c r="F272" s="64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64"/>
      <c r="V272" s="64"/>
      <c r="W272" s="64"/>
      <c r="X272" s="64"/>
      <c r="Y272" s="64"/>
    </row>
    <row r="273">
      <c r="A273" s="110"/>
      <c r="B273" s="111"/>
      <c r="C273" s="64"/>
      <c r="D273" s="64"/>
      <c r="E273" s="64"/>
      <c r="F273" s="64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64"/>
      <c r="V273" s="64"/>
      <c r="W273" s="64"/>
      <c r="X273" s="64"/>
      <c r="Y273" s="64"/>
    </row>
    <row r="274">
      <c r="A274" s="110"/>
      <c r="B274" s="111"/>
      <c r="C274" s="64"/>
      <c r="D274" s="64"/>
      <c r="E274" s="64"/>
      <c r="F274" s="64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64"/>
      <c r="V274" s="64"/>
      <c r="W274" s="64"/>
      <c r="X274" s="64"/>
      <c r="Y274" s="64"/>
    </row>
    <row r="275">
      <c r="A275" s="110"/>
      <c r="B275" s="111"/>
      <c r="C275" s="64"/>
      <c r="D275" s="64"/>
      <c r="E275" s="64"/>
      <c r="F275" s="64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64"/>
      <c r="V275" s="64"/>
      <c r="W275" s="64"/>
      <c r="X275" s="64"/>
      <c r="Y275" s="64"/>
    </row>
    <row r="276">
      <c r="A276" s="110"/>
      <c r="B276" s="111"/>
      <c r="C276" s="64"/>
      <c r="D276" s="64"/>
      <c r="E276" s="64"/>
      <c r="F276" s="64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64"/>
      <c r="V276" s="64"/>
      <c r="W276" s="64"/>
      <c r="X276" s="64"/>
      <c r="Y276" s="64"/>
    </row>
    <row r="277">
      <c r="A277" s="110"/>
      <c r="B277" s="111"/>
      <c r="C277" s="64"/>
      <c r="D277" s="64"/>
      <c r="E277" s="64"/>
      <c r="F277" s="64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64"/>
      <c r="V277" s="64"/>
      <c r="W277" s="64"/>
      <c r="X277" s="64"/>
      <c r="Y277" s="64"/>
    </row>
    <row r="278">
      <c r="A278" s="110"/>
      <c r="B278" s="111"/>
      <c r="C278" s="64"/>
      <c r="D278" s="64"/>
      <c r="E278" s="64"/>
      <c r="F278" s="64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64"/>
      <c r="V278" s="64"/>
      <c r="W278" s="64"/>
      <c r="X278" s="64"/>
      <c r="Y278" s="64"/>
    </row>
    <row r="279">
      <c r="A279" s="110"/>
      <c r="B279" s="111"/>
      <c r="C279" s="64"/>
      <c r="D279" s="64"/>
      <c r="E279" s="64"/>
      <c r="F279" s="64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64"/>
      <c r="V279" s="64"/>
      <c r="W279" s="64"/>
      <c r="X279" s="64"/>
      <c r="Y279" s="64"/>
    </row>
    <row r="280">
      <c r="A280" s="110"/>
      <c r="B280" s="111"/>
      <c r="C280" s="64"/>
      <c r="D280" s="64"/>
      <c r="E280" s="64"/>
      <c r="F280" s="64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64"/>
      <c r="V280" s="64"/>
      <c r="W280" s="64"/>
      <c r="X280" s="64"/>
      <c r="Y280" s="64"/>
    </row>
    <row r="281">
      <c r="A281" s="110"/>
      <c r="B281" s="111"/>
      <c r="C281" s="64"/>
      <c r="D281" s="64"/>
      <c r="E281" s="64"/>
      <c r="F281" s="64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64"/>
      <c r="V281" s="64"/>
      <c r="W281" s="64"/>
      <c r="X281" s="64"/>
      <c r="Y281" s="64"/>
    </row>
    <row r="282">
      <c r="A282" s="110"/>
      <c r="B282" s="111"/>
      <c r="C282" s="64"/>
      <c r="D282" s="64"/>
      <c r="E282" s="64"/>
      <c r="F282" s="64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64"/>
      <c r="V282" s="64"/>
      <c r="W282" s="64"/>
      <c r="X282" s="64"/>
      <c r="Y282" s="64"/>
    </row>
    <row r="283">
      <c r="A283" s="110"/>
      <c r="B283" s="111"/>
      <c r="C283" s="64"/>
      <c r="D283" s="64"/>
      <c r="E283" s="64"/>
      <c r="F283" s="64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64"/>
      <c r="V283" s="64"/>
      <c r="W283" s="64"/>
      <c r="X283" s="64"/>
      <c r="Y283" s="64"/>
    </row>
    <row r="284">
      <c r="A284" s="110"/>
      <c r="B284" s="111"/>
      <c r="C284" s="64"/>
      <c r="D284" s="64"/>
      <c r="E284" s="64"/>
      <c r="F284" s="64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64"/>
      <c r="V284" s="64"/>
      <c r="W284" s="64"/>
      <c r="X284" s="64"/>
      <c r="Y284" s="64"/>
    </row>
    <row r="285">
      <c r="A285" s="110"/>
      <c r="B285" s="111"/>
      <c r="C285" s="64"/>
      <c r="D285" s="64"/>
      <c r="E285" s="64"/>
      <c r="F285" s="64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64"/>
      <c r="V285" s="64"/>
      <c r="W285" s="64"/>
      <c r="X285" s="64"/>
      <c r="Y285" s="64"/>
    </row>
    <row r="286">
      <c r="A286" s="110"/>
      <c r="B286" s="111"/>
      <c r="C286" s="64"/>
      <c r="D286" s="64"/>
      <c r="E286" s="64"/>
      <c r="F286" s="64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64"/>
      <c r="V286" s="64"/>
      <c r="W286" s="64"/>
      <c r="X286" s="64"/>
      <c r="Y286" s="64"/>
    </row>
    <row r="287">
      <c r="A287" s="110"/>
      <c r="B287" s="111"/>
      <c r="C287" s="64"/>
      <c r="D287" s="64"/>
      <c r="E287" s="64"/>
      <c r="F287" s="64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64"/>
      <c r="V287" s="64"/>
      <c r="W287" s="64"/>
      <c r="X287" s="64"/>
      <c r="Y287" s="64"/>
    </row>
    <row r="288">
      <c r="A288" s="110"/>
      <c r="B288" s="111"/>
      <c r="C288" s="64"/>
      <c r="D288" s="64"/>
      <c r="E288" s="64"/>
      <c r="F288" s="64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64"/>
      <c r="V288" s="64"/>
      <c r="W288" s="64"/>
      <c r="X288" s="64"/>
      <c r="Y288" s="64"/>
    </row>
    <row r="289">
      <c r="A289" s="110"/>
      <c r="B289" s="111"/>
      <c r="C289" s="64"/>
      <c r="D289" s="64"/>
      <c r="E289" s="64"/>
      <c r="F289" s="64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64"/>
      <c r="V289" s="64"/>
      <c r="W289" s="64"/>
      <c r="X289" s="64"/>
      <c r="Y289" s="64"/>
    </row>
    <row r="290">
      <c r="A290" s="110"/>
      <c r="B290" s="111"/>
      <c r="C290" s="64"/>
      <c r="D290" s="64"/>
      <c r="E290" s="64"/>
      <c r="F290" s="64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64"/>
      <c r="V290" s="64"/>
      <c r="W290" s="64"/>
      <c r="X290" s="64"/>
      <c r="Y290" s="64"/>
    </row>
    <row r="291">
      <c r="A291" s="110"/>
      <c r="B291" s="111"/>
      <c r="C291" s="64"/>
      <c r="D291" s="64"/>
      <c r="E291" s="64"/>
      <c r="F291" s="64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64"/>
      <c r="V291" s="64"/>
      <c r="W291" s="64"/>
      <c r="X291" s="64"/>
      <c r="Y291" s="64"/>
    </row>
    <row r="292">
      <c r="A292" s="110"/>
      <c r="B292" s="111"/>
      <c r="C292" s="64"/>
      <c r="D292" s="64"/>
      <c r="E292" s="64"/>
      <c r="F292" s="64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64"/>
      <c r="V292" s="64"/>
      <c r="W292" s="64"/>
      <c r="X292" s="64"/>
      <c r="Y292" s="64"/>
    </row>
    <row r="293">
      <c r="A293" s="110"/>
      <c r="B293" s="111"/>
      <c r="C293" s="64"/>
      <c r="D293" s="64"/>
      <c r="E293" s="64"/>
      <c r="F293" s="64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64"/>
      <c r="V293" s="64"/>
      <c r="W293" s="64"/>
      <c r="X293" s="64"/>
      <c r="Y293" s="64"/>
    </row>
    <row r="294">
      <c r="A294" s="110"/>
      <c r="B294" s="111"/>
      <c r="C294" s="64"/>
      <c r="D294" s="64"/>
      <c r="E294" s="64"/>
      <c r="F294" s="64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64"/>
      <c r="V294" s="64"/>
      <c r="W294" s="64"/>
      <c r="X294" s="64"/>
      <c r="Y294" s="64"/>
    </row>
    <row r="295">
      <c r="A295" s="110"/>
      <c r="B295" s="111"/>
      <c r="C295" s="64"/>
      <c r="D295" s="64"/>
      <c r="E295" s="64"/>
      <c r="F295" s="64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64"/>
      <c r="V295" s="64"/>
      <c r="W295" s="64"/>
      <c r="X295" s="64"/>
      <c r="Y295" s="64"/>
    </row>
    <row r="296">
      <c r="A296" s="110"/>
      <c r="B296" s="111"/>
      <c r="C296" s="64"/>
      <c r="D296" s="64"/>
      <c r="E296" s="64"/>
      <c r="F296" s="64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64"/>
      <c r="V296" s="64"/>
      <c r="W296" s="64"/>
      <c r="X296" s="64"/>
      <c r="Y296" s="64"/>
    </row>
    <row r="297">
      <c r="A297" s="110"/>
      <c r="B297" s="111"/>
      <c r="C297" s="64"/>
      <c r="D297" s="64"/>
      <c r="E297" s="64"/>
      <c r="F297" s="64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64"/>
      <c r="V297" s="64"/>
      <c r="W297" s="64"/>
      <c r="X297" s="64"/>
      <c r="Y297" s="64"/>
    </row>
    <row r="298">
      <c r="A298" s="110"/>
      <c r="B298" s="111"/>
      <c r="C298" s="64"/>
      <c r="D298" s="64"/>
      <c r="E298" s="64"/>
      <c r="F298" s="64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64"/>
      <c r="V298" s="64"/>
      <c r="W298" s="64"/>
      <c r="X298" s="64"/>
      <c r="Y298" s="64"/>
    </row>
    <row r="299">
      <c r="A299" s="110"/>
      <c r="B299" s="111"/>
      <c r="C299" s="64"/>
      <c r="D299" s="64"/>
      <c r="E299" s="64"/>
      <c r="F299" s="64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64"/>
      <c r="V299" s="64"/>
      <c r="W299" s="64"/>
      <c r="X299" s="64"/>
      <c r="Y299" s="64"/>
    </row>
    <row r="300">
      <c r="A300" s="110"/>
      <c r="B300" s="111"/>
      <c r="C300" s="64"/>
      <c r="D300" s="64"/>
      <c r="E300" s="64"/>
      <c r="F300" s="64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64"/>
      <c r="V300" s="64"/>
      <c r="W300" s="64"/>
      <c r="X300" s="64"/>
      <c r="Y300" s="64"/>
    </row>
    <row r="301">
      <c r="A301" s="110"/>
      <c r="B301" s="111"/>
      <c r="C301" s="64"/>
      <c r="D301" s="64"/>
      <c r="E301" s="64"/>
      <c r="F301" s="64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64"/>
      <c r="V301" s="64"/>
      <c r="W301" s="64"/>
      <c r="X301" s="64"/>
      <c r="Y301" s="64"/>
    </row>
    <row r="302">
      <c r="A302" s="110"/>
      <c r="B302" s="111"/>
      <c r="C302" s="64"/>
      <c r="D302" s="64"/>
      <c r="E302" s="64"/>
      <c r="F302" s="64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64"/>
      <c r="V302" s="64"/>
      <c r="W302" s="64"/>
      <c r="X302" s="64"/>
      <c r="Y302" s="64"/>
    </row>
    <row r="303">
      <c r="A303" s="110"/>
      <c r="B303" s="111"/>
      <c r="C303" s="64"/>
      <c r="D303" s="64"/>
      <c r="E303" s="64"/>
      <c r="F303" s="64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64"/>
      <c r="V303" s="64"/>
      <c r="W303" s="64"/>
      <c r="X303" s="64"/>
      <c r="Y303" s="64"/>
    </row>
    <row r="304">
      <c r="A304" s="110"/>
      <c r="B304" s="111"/>
      <c r="C304" s="64"/>
      <c r="D304" s="64"/>
      <c r="E304" s="64"/>
      <c r="F304" s="64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64"/>
      <c r="V304" s="64"/>
      <c r="W304" s="64"/>
      <c r="X304" s="64"/>
      <c r="Y304" s="64"/>
    </row>
    <row r="305">
      <c r="A305" s="110"/>
      <c r="B305" s="111"/>
      <c r="C305" s="64"/>
      <c r="D305" s="64"/>
      <c r="E305" s="64"/>
      <c r="F305" s="64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64"/>
      <c r="V305" s="64"/>
      <c r="W305" s="64"/>
      <c r="X305" s="64"/>
      <c r="Y305" s="64"/>
    </row>
    <row r="306">
      <c r="A306" s="110"/>
      <c r="B306" s="111"/>
      <c r="C306" s="64"/>
      <c r="D306" s="64"/>
      <c r="E306" s="64"/>
      <c r="F306" s="64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64"/>
      <c r="V306" s="64"/>
      <c r="W306" s="64"/>
      <c r="X306" s="64"/>
      <c r="Y306" s="64"/>
    </row>
    <row r="307">
      <c r="A307" s="110"/>
      <c r="B307" s="111"/>
      <c r="C307" s="64"/>
      <c r="D307" s="64"/>
      <c r="E307" s="64"/>
      <c r="F307" s="64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64"/>
      <c r="V307" s="64"/>
      <c r="W307" s="64"/>
      <c r="X307" s="64"/>
      <c r="Y307" s="64"/>
    </row>
    <row r="308">
      <c r="A308" s="110"/>
      <c r="B308" s="111"/>
      <c r="C308" s="64"/>
      <c r="D308" s="64"/>
      <c r="E308" s="64"/>
      <c r="F308" s="64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64"/>
      <c r="V308" s="64"/>
      <c r="W308" s="64"/>
      <c r="X308" s="64"/>
      <c r="Y308" s="64"/>
    </row>
    <row r="309">
      <c r="A309" s="110"/>
      <c r="B309" s="111"/>
      <c r="C309" s="64"/>
      <c r="D309" s="64"/>
      <c r="E309" s="64"/>
      <c r="F309" s="64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64"/>
      <c r="V309" s="64"/>
      <c r="W309" s="64"/>
      <c r="X309" s="64"/>
      <c r="Y309" s="64"/>
    </row>
    <row r="310">
      <c r="A310" s="110"/>
      <c r="B310" s="111"/>
      <c r="C310" s="64"/>
      <c r="D310" s="64"/>
      <c r="E310" s="64"/>
      <c r="F310" s="64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64"/>
      <c r="V310" s="64"/>
      <c r="W310" s="64"/>
      <c r="X310" s="64"/>
      <c r="Y310" s="64"/>
    </row>
    <row r="311">
      <c r="A311" s="110"/>
      <c r="B311" s="111"/>
      <c r="C311" s="64"/>
      <c r="D311" s="64"/>
      <c r="E311" s="64"/>
      <c r="F311" s="64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64"/>
      <c r="V311" s="64"/>
      <c r="W311" s="64"/>
      <c r="X311" s="64"/>
      <c r="Y311" s="64"/>
    </row>
    <row r="312">
      <c r="A312" s="110"/>
      <c r="B312" s="111"/>
      <c r="C312" s="64"/>
      <c r="D312" s="64"/>
      <c r="E312" s="64"/>
      <c r="F312" s="64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64"/>
      <c r="V312" s="64"/>
      <c r="W312" s="64"/>
      <c r="X312" s="64"/>
      <c r="Y312" s="64"/>
    </row>
    <row r="313">
      <c r="A313" s="110"/>
      <c r="B313" s="111"/>
      <c r="C313" s="64"/>
      <c r="D313" s="64"/>
      <c r="E313" s="64"/>
      <c r="F313" s="64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64"/>
      <c r="V313" s="64"/>
      <c r="W313" s="64"/>
      <c r="X313" s="64"/>
      <c r="Y313" s="64"/>
    </row>
    <row r="314">
      <c r="A314" s="110"/>
      <c r="B314" s="111"/>
      <c r="C314" s="64"/>
      <c r="D314" s="64"/>
      <c r="E314" s="64"/>
      <c r="F314" s="64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64"/>
      <c r="V314" s="64"/>
      <c r="W314" s="64"/>
      <c r="X314" s="64"/>
      <c r="Y314" s="64"/>
    </row>
    <row r="315">
      <c r="A315" s="110"/>
      <c r="B315" s="111"/>
      <c r="C315" s="64"/>
      <c r="D315" s="64"/>
      <c r="E315" s="64"/>
      <c r="F315" s="64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64"/>
      <c r="V315" s="64"/>
      <c r="W315" s="64"/>
      <c r="X315" s="64"/>
      <c r="Y315" s="64"/>
    </row>
    <row r="316">
      <c r="A316" s="110"/>
      <c r="B316" s="111"/>
      <c r="C316" s="64"/>
      <c r="D316" s="64"/>
      <c r="E316" s="64"/>
      <c r="F316" s="64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64"/>
      <c r="V316" s="64"/>
      <c r="W316" s="64"/>
      <c r="X316" s="64"/>
      <c r="Y316" s="64"/>
    </row>
    <row r="317">
      <c r="A317" s="110"/>
      <c r="B317" s="111"/>
      <c r="C317" s="64"/>
      <c r="D317" s="64"/>
      <c r="E317" s="64"/>
      <c r="F317" s="64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64"/>
      <c r="V317" s="64"/>
      <c r="W317" s="64"/>
      <c r="X317" s="64"/>
      <c r="Y317" s="64"/>
    </row>
    <row r="318">
      <c r="A318" s="110"/>
      <c r="B318" s="111"/>
      <c r="C318" s="64"/>
      <c r="D318" s="64"/>
      <c r="E318" s="64"/>
      <c r="F318" s="64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64"/>
      <c r="V318" s="64"/>
      <c r="W318" s="64"/>
      <c r="X318" s="64"/>
      <c r="Y318" s="64"/>
    </row>
    <row r="319">
      <c r="A319" s="110"/>
      <c r="B319" s="111"/>
      <c r="C319" s="64"/>
      <c r="D319" s="64"/>
      <c r="E319" s="64"/>
      <c r="F319" s="64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64"/>
      <c r="V319" s="64"/>
      <c r="W319" s="64"/>
      <c r="X319" s="64"/>
      <c r="Y319" s="64"/>
    </row>
    <row r="320">
      <c r="A320" s="110"/>
      <c r="B320" s="111"/>
      <c r="C320" s="64"/>
      <c r="D320" s="64"/>
      <c r="E320" s="64"/>
      <c r="F320" s="64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64"/>
      <c r="V320" s="64"/>
      <c r="W320" s="64"/>
      <c r="X320" s="64"/>
      <c r="Y320" s="64"/>
    </row>
    <row r="321">
      <c r="A321" s="110"/>
      <c r="B321" s="111"/>
      <c r="C321" s="64"/>
      <c r="D321" s="64"/>
      <c r="E321" s="64"/>
      <c r="F321" s="64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64"/>
      <c r="V321" s="64"/>
      <c r="W321" s="64"/>
      <c r="X321" s="64"/>
      <c r="Y321" s="64"/>
    </row>
    <row r="322">
      <c r="A322" s="110"/>
      <c r="B322" s="111"/>
      <c r="C322" s="64"/>
      <c r="D322" s="64"/>
      <c r="E322" s="64"/>
      <c r="F322" s="64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64"/>
      <c r="V322" s="64"/>
      <c r="W322" s="64"/>
      <c r="X322" s="64"/>
      <c r="Y322" s="64"/>
    </row>
    <row r="323">
      <c r="A323" s="110"/>
      <c r="B323" s="111"/>
      <c r="C323" s="64"/>
      <c r="D323" s="64"/>
      <c r="E323" s="64"/>
      <c r="F323" s="64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64"/>
      <c r="V323" s="64"/>
      <c r="W323" s="64"/>
      <c r="X323" s="64"/>
      <c r="Y323" s="64"/>
    </row>
    <row r="324">
      <c r="A324" s="110"/>
      <c r="B324" s="111"/>
      <c r="C324" s="64"/>
      <c r="D324" s="64"/>
      <c r="E324" s="64"/>
      <c r="F324" s="64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64"/>
      <c r="V324" s="64"/>
      <c r="W324" s="64"/>
      <c r="X324" s="64"/>
      <c r="Y324" s="64"/>
    </row>
    <row r="325">
      <c r="A325" s="110"/>
      <c r="B325" s="111"/>
      <c r="C325" s="64"/>
      <c r="D325" s="64"/>
      <c r="E325" s="64"/>
      <c r="F325" s="64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64"/>
      <c r="V325" s="64"/>
      <c r="W325" s="64"/>
      <c r="X325" s="64"/>
      <c r="Y325" s="64"/>
    </row>
    <row r="326">
      <c r="A326" s="110"/>
      <c r="B326" s="111"/>
      <c r="C326" s="64"/>
      <c r="D326" s="64"/>
      <c r="E326" s="64"/>
      <c r="F326" s="64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64"/>
      <c r="V326" s="64"/>
      <c r="W326" s="64"/>
      <c r="X326" s="64"/>
      <c r="Y326" s="64"/>
    </row>
    <row r="327">
      <c r="A327" s="110"/>
      <c r="B327" s="111"/>
      <c r="C327" s="64"/>
      <c r="D327" s="64"/>
      <c r="E327" s="64"/>
      <c r="F327" s="64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64"/>
      <c r="V327" s="64"/>
      <c r="W327" s="64"/>
      <c r="X327" s="64"/>
      <c r="Y327" s="64"/>
    </row>
    <row r="328">
      <c r="A328" s="110"/>
      <c r="B328" s="111"/>
      <c r="C328" s="64"/>
      <c r="D328" s="64"/>
      <c r="E328" s="64"/>
      <c r="F328" s="64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64"/>
      <c r="V328" s="64"/>
      <c r="W328" s="64"/>
      <c r="X328" s="64"/>
      <c r="Y328" s="64"/>
    </row>
    <row r="329">
      <c r="A329" s="110"/>
      <c r="B329" s="111"/>
      <c r="C329" s="64"/>
      <c r="D329" s="64"/>
      <c r="E329" s="64"/>
      <c r="F329" s="64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64"/>
      <c r="V329" s="64"/>
      <c r="W329" s="64"/>
      <c r="X329" s="64"/>
      <c r="Y329" s="64"/>
    </row>
    <row r="330">
      <c r="A330" s="110"/>
      <c r="B330" s="111"/>
      <c r="C330" s="64"/>
      <c r="D330" s="64"/>
      <c r="E330" s="64"/>
      <c r="F330" s="64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64"/>
      <c r="V330" s="64"/>
      <c r="W330" s="64"/>
      <c r="X330" s="64"/>
      <c r="Y330" s="64"/>
    </row>
    <row r="331">
      <c r="A331" s="110"/>
      <c r="B331" s="111"/>
      <c r="C331" s="64"/>
      <c r="D331" s="64"/>
      <c r="E331" s="64"/>
      <c r="F331" s="64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64"/>
      <c r="V331" s="64"/>
      <c r="W331" s="64"/>
      <c r="X331" s="64"/>
      <c r="Y331" s="64"/>
    </row>
    <row r="332">
      <c r="A332" s="110"/>
      <c r="B332" s="111"/>
      <c r="C332" s="64"/>
      <c r="D332" s="64"/>
      <c r="E332" s="64"/>
      <c r="F332" s="64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64"/>
      <c r="V332" s="64"/>
      <c r="W332" s="64"/>
      <c r="X332" s="64"/>
      <c r="Y332" s="64"/>
    </row>
    <row r="333">
      <c r="A333" s="110"/>
      <c r="B333" s="111"/>
      <c r="C333" s="64"/>
      <c r="D333" s="64"/>
      <c r="E333" s="64"/>
      <c r="F333" s="64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64"/>
      <c r="V333" s="64"/>
      <c r="W333" s="64"/>
      <c r="X333" s="64"/>
      <c r="Y333" s="64"/>
    </row>
    <row r="334">
      <c r="A334" s="110"/>
      <c r="B334" s="111"/>
      <c r="C334" s="64"/>
      <c r="D334" s="64"/>
      <c r="E334" s="64"/>
      <c r="F334" s="64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64"/>
      <c r="V334" s="64"/>
      <c r="W334" s="64"/>
      <c r="X334" s="64"/>
      <c r="Y334" s="64"/>
    </row>
    <row r="335">
      <c r="A335" s="110"/>
      <c r="B335" s="111"/>
      <c r="C335" s="64"/>
      <c r="D335" s="64"/>
      <c r="E335" s="64"/>
      <c r="F335" s="64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64"/>
      <c r="V335" s="64"/>
      <c r="W335" s="64"/>
      <c r="X335" s="64"/>
      <c r="Y335" s="64"/>
    </row>
    <row r="336">
      <c r="A336" s="110"/>
      <c r="B336" s="111"/>
      <c r="C336" s="64"/>
      <c r="D336" s="64"/>
      <c r="E336" s="64"/>
      <c r="F336" s="64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64"/>
      <c r="V336" s="64"/>
      <c r="W336" s="64"/>
      <c r="X336" s="64"/>
      <c r="Y336" s="64"/>
    </row>
    <row r="337">
      <c r="A337" s="110"/>
      <c r="B337" s="111"/>
      <c r="C337" s="64"/>
      <c r="D337" s="64"/>
      <c r="E337" s="64"/>
      <c r="F337" s="64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64"/>
      <c r="V337" s="64"/>
      <c r="W337" s="64"/>
      <c r="X337" s="64"/>
      <c r="Y337" s="64"/>
    </row>
    <row r="338">
      <c r="A338" s="110"/>
      <c r="B338" s="111"/>
      <c r="C338" s="64"/>
      <c r="D338" s="64"/>
      <c r="E338" s="64"/>
      <c r="F338" s="64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64"/>
      <c r="V338" s="64"/>
      <c r="W338" s="64"/>
      <c r="X338" s="64"/>
      <c r="Y338" s="64"/>
    </row>
    <row r="339">
      <c r="A339" s="110"/>
      <c r="B339" s="111"/>
      <c r="C339" s="64"/>
      <c r="D339" s="64"/>
      <c r="E339" s="64"/>
      <c r="F339" s="64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64"/>
      <c r="V339" s="64"/>
      <c r="W339" s="64"/>
      <c r="X339" s="64"/>
      <c r="Y339" s="64"/>
    </row>
    <row r="340">
      <c r="A340" s="110"/>
      <c r="B340" s="111"/>
      <c r="C340" s="64"/>
      <c r="D340" s="64"/>
      <c r="E340" s="64"/>
      <c r="F340" s="64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64"/>
      <c r="V340" s="64"/>
      <c r="W340" s="64"/>
      <c r="X340" s="64"/>
      <c r="Y340" s="64"/>
    </row>
    <row r="341">
      <c r="A341" s="110"/>
      <c r="B341" s="111"/>
      <c r="C341" s="64"/>
      <c r="D341" s="64"/>
      <c r="E341" s="64"/>
      <c r="F341" s="64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64"/>
      <c r="V341" s="64"/>
      <c r="W341" s="64"/>
      <c r="X341" s="64"/>
      <c r="Y341" s="64"/>
    </row>
    <row r="342">
      <c r="A342" s="110"/>
      <c r="B342" s="111"/>
      <c r="C342" s="64"/>
      <c r="D342" s="64"/>
      <c r="E342" s="64"/>
      <c r="F342" s="64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64"/>
      <c r="V342" s="64"/>
      <c r="W342" s="64"/>
      <c r="X342" s="64"/>
      <c r="Y342" s="64"/>
    </row>
    <row r="343">
      <c r="A343" s="110"/>
      <c r="B343" s="111"/>
      <c r="C343" s="64"/>
      <c r="D343" s="64"/>
      <c r="E343" s="64"/>
      <c r="F343" s="64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64"/>
      <c r="V343" s="64"/>
      <c r="W343" s="64"/>
      <c r="X343" s="64"/>
      <c r="Y343" s="64"/>
    </row>
    <row r="344">
      <c r="A344" s="110"/>
      <c r="B344" s="111"/>
      <c r="C344" s="64"/>
      <c r="D344" s="64"/>
      <c r="E344" s="64"/>
      <c r="F344" s="64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64"/>
      <c r="V344" s="64"/>
      <c r="W344" s="64"/>
      <c r="X344" s="64"/>
      <c r="Y344" s="64"/>
    </row>
    <row r="345">
      <c r="A345" s="110"/>
      <c r="B345" s="111"/>
      <c r="C345" s="64"/>
      <c r="D345" s="64"/>
      <c r="E345" s="64"/>
      <c r="F345" s="64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64"/>
      <c r="V345" s="64"/>
      <c r="W345" s="64"/>
      <c r="X345" s="64"/>
      <c r="Y345" s="64"/>
    </row>
    <row r="346">
      <c r="A346" s="110"/>
      <c r="B346" s="111"/>
      <c r="C346" s="64"/>
      <c r="D346" s="64"/>
      <c r="E346" s="64"/>
      <c r="F346" s="64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64"/>
      <c r="V346" s="64"/>
      <c r="W346" s="64"/>
      <c r="X346" s="64"/>
      <c r="Y346" s="64"/>
    </row>
    <row r="347">
      <c r="A347" s="110"/>
      <c r="B347" s="111"/>
      <c r="C347" s="64"/>
      <c r="D347" s="64"/>
      <c r="E347" s="64"/>
      <c r="F347" s="64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64"/>
      <c r="V347" s="64"/>
      <c r="W347" s="64"/>
      <c r="X347" s="64"/>
      <c r="Y347" s="64"/>
    </row>
    <row r="348">
      <c r="A348" s="110"/>
      <c r="B348" s="111"/>
      <c r="C348" s="64"/>
      <c r="D348" s="64"/>
      <c r="E348" s="64"/>
      <c r="F348" s="64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64"/>
      <c r="V348" s="64"/>
      <c r="W348" s="64"/>
      <c r="X348" s="64"/>
      <c r="Y348" s="64"/>
    </row>
    <row r="349">
      <c r="A349" s="110"/>
      <c r="B349" s="111"/>
      <c r="C349" s="64"/>
      <c r="D349" s="64"/>
      <c r="E349" s="64"/>
      <c r="F349" s="64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64"/>
      <c r="V349" s="64"/>
      <c r="W349" s="64"/>
      <c r="X349" s="64"/>
      <c r="Y349" s="64"/>
    </row>
    <row r="350">
      <c r="A350" s="110"/>
      <c r="B350" s="111"/>
      <c r="C350" s="64"/>
      <c r="D350" s="64"/>
      <c r="E350" s="64"/>
      <c r="F350" s="64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64"/>
      <c r="V350" s="64"/>
      <c r="W350" s="64"/>
      <c r="X350" s="64"/>
      <c r="Y350" s="64"/>
    </row>
    <row r="351">
      <c r="A351" s="110"/>
      <c r="B351" s="111"/>
      <c r="C351" s="64"/>
      <c r="D351" s="64"/>
      <c r="E351" s="64"/>
      <c r="F351" s="64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64"/>
      <c r="V351" s="64"/>
      <c r="W351" s="64"/>
      <c r="X351" s="64"/>
      <c r="Y351" s="64"/>
    </row>
    <row r="352">
      <c r="A352" s="110"/>
      <c r="B352" s="111"/>
      <c r="C352" s="64"/>
      <c r="D352" s="64"/>
      <c r="E352" s="64"/>
      <c r="F352" s="64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64"/>
      <c r="V352" s="64"/>
      <c r="W352" s="64"/>
      <c r="X352" s="64"/>
      <c r="Y352" s="64"/>
    </row>
    <row r="353">
      <c r="A353" s="110"/>
      <c r="B353" s="111"/>
      <c r="C353" s="64"/>
      <c r="D353" s="64"/>
      <c r="E353" s="64"/>
      <c r="F353" s="64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64"/>
      <c r="V353" s="64"/>
      <c r="W353" s="64"/>
      <c r="X353" s="64"/>
      <c r="Y353" s="64"/>
    </row>
    <row r="354">
      <c r="A354" s="110"/>
      <c r="B354" s="111"/>
      <c r="C354" s="64"/>
      <c r="D354" s="64"/>
      <c r="E354" s="64"/>
      <c r="F354" s="64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64"/>
      <c r="V354" s="64"/>
      <c r="W354" s="64"/>
      <c r="X354" s="64"/>
      <c r="Y354" s="64"/>
    </row>
    <row r="355">
      <c r="A355" s="110"/>
      <c r="B355" s="111"/>
      <c r="C355" s="64"/>
      <c r="D355" s="64"/>
      <c r="E355" s="64"/>
      <c r="F355" s="64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64"/>
      <c r="V355" s="64"/>
      <c r="W355" s="64"/>
      <c r="X355" s="64"/>
      <c r="Y355" s="64"/>
    </row>
    <row r="356">
      <c r="A356" s="110"/>
      <c r="B356" s="111"/>
      <c r="C356" s="64"/>
      <c r="D356" s="64"/>
      <c r="E356" s="64"/>
      <c r="F356" s="64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64"/>
      <c r="V356" s="64"/>
      <c r="W356" s="64"/>
      <c r="X356" s="64"/>
      <c r="Y356" s="64"/>
    </row>
    <row r="357">
      <c r="A357" s="110"/>
      <c r="B357" s="111"/>
      <c r="C357" s="64"/>
      <c r="D357" s="64"/>
      <c r="E357" s="64"/>
      <c r="F357" s="64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64"/>
      <c r="V357" s="64"/>
      <c r="W357" s="64"/>
      <c r="X357" s="64"/>
      <c r="Y357" s="64"/>
    </row>
    <row r="358">
      <c r="A358" s="110"/>
      <c r="B358" s="111"/>
      <c r="C358" s="64"/>
      <c r="D358" s="64"/>
      <c r="E358" s="64"/>
      <c r="F358" s="64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64"/>
      <c r="V358" s="64"/>
      <c r="W358" s="64"/>
      <c r="X358" s="64"/>
      <c r="Y358" s="64"/>
    </row>
    <row r="359">
      <c r="A359" s="110"/>
      <c r="B359" s="111"/>
      <c r="C359" s="64"/>
      <c r="D359" s="64"/>
      <c r="E359" s="64"/>
      <c r="F359" s="64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64"/>
      <c r="V359" s="64"/>
      <c r="W359" s="64"/>
      <c r="X359" s="64"/>
      <c r="Y359" s="64"/>
    </row>
    <row r="360">
      <c r="A360" s="110"/>
      <c r="B360" s="111"/>
      <c r="C360" s="64"/>
      <c r="D360" s="64"/>
      <c r="E360" s="64"/>
      <c r="F360" s="64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64"/>
      <c r="V360" s="64"/>
      <c r="W360" s="64"/>
      <c r="X360" s="64"/>
      <c r="Y360" s="64"/>
    </row>
    <row r="361">
      <c r="A361" s="110"/>
      <c r="B361" s="111"/>
      <c r="C361" s="64"/>
      <c r="D361" s="64"/>
      <c r="E361" s="64"/>
      <c r="F361" s="64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64"/>
      <c r="V361" s="64"/>
      <c r="W361" s="64"/>
      <c r="X361" s="64"/>
      <c r="Y361" s="64"/>
    </row>
    <row r="362">
      <c r="A362" s="110"/>
      <c r="B362" s="111"/>
      <c r="C362" s="64"/>
      <c r="D362" s="64"/>
      <c r="E362" s="64"/>
      <c r="F362" s="64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64"/>
      <c r="V362" s="64"/>
      <c r="W362" s="64"/>
      <c r="X362" s="64"/>
      <c r="Y362" s="64"/>
    </row>
    <row r="363">
      <c r="A363" s="110"/>
      <c r="B363" s="111"/>
      <c r="C363" s="64"/>
      <c r="D363" s="64"/>
      <c r="E363" s="64"/>
      <c r="F363" s="64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64"/>
      <c r="V363" s="64"/>
      <c r="W363" s="64"/>
      <c r="X363" s="64"/>
      <c r="Y363" s="64"/>
    </row>
    <row r="364">
      <c r="A364" s="110"/>
      <c r="B364" s="111"/>
      <c r="C364" s="64"/>
      <c r="D364" s="64"/>
      <c r="E364" s="64"/>
      <c r="F364" s="64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64"/>
      <c r="V364" s="64"/>
      <c r="W364" s="64"/>
      <c r="X364" s="64"/>
      <c r="Y364" s="64"/>
    </row>
    <row r="365">
      <c r="A365" s="110"/>
      <c r="B365" s="111"/>
      <c r="C365" s="64"/>
      <c r="D365" s="64"/>
      <c r="E365" s="64"/>
      <c r="F365" s="64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64"/>
      <c r="V365" s="64"/>
      <c r="W365" s="64"/>
      <c r="X365" s="64"/>
      <c r="Y365" s="64"/>
    </row>
    <row r="366">
      <c r="A366" s="110"/>
      <c r="B366" s="111"/>
      <c r="C366" s="64"/>
      <c r="D366" s="64"/>
      <c r="E366" s="64"/>
      <c r="F366" s="64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64"/>
      <c r="V366" s="64"/>
      <c r="W366" s="64"/>
      <c r="X366" s="64"/>
      <c r="Y366" s="64"/>
    </row>
    <row r="367">
      <c r="A367" s="110"/>
      <c r="B367" s="111"/>
      <c r="C367" s="64"/>
      <c r="D367" s="64"/>
      <c r="E367" s="64"/>
      <c r="F367" s="64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64"/>
      <c r="V367" s="64"/>
      <c r="W367" s="64"/>
      <c r="X367" s="64"/>
      <c r="Y367" s="64"/>
    </row>
    <row r="368">
      <c r="A368" s="110"/>
      <c r="B368" s="111"/>
      <c r="C368" s="64"/>
      <c r="D368" s="64"/>
      <c r="E368" s="64"/>
      <c r="F368" s="64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64"/>
      <c r="V368" s="64"/>
      <c r="W368" s="64"/>
      <c r="X368" s="64"/>
      <c r="Y368" s="64"/>
    </row>
    <row r="369">
      <c r="A369" s="110"/>
      <c r="B369" s="111"/>
      <c r="C369" s="64"/>
      <c r="D369" s="64"/>
      <c r="E369" s="64"/>
      <c r="F369" s="64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64"/>
      <c r="V369" s="64"/>
      <c r="W369" s="64"/>
      <c r="X369" s="64"/>
      <c r="Y369" s="64"/>
    </row>
    <row r="370">
      <c r="A370" s="110"/>
      <c r="B370" s="111"/>
      <c r="C370" s="64"/>
      <c r="D370" s="64"/>
      <c r="E370" s="64"/>
      <c r="F370" s="64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64"/>
      <c r="V370" s="64"/>
      <c r="W370" s="64"/>
      <c r="X370" s="64"/>
      <c r="Y370" s="64"/>
    </row>
    <row r="371">
      <c r="A371" s="110"/>
      <c r="B371" s="111"/>
      <c r="C371" s="64"/>
      <c r="D371" s="64"/>
      <c r="E371" s="64"/>
      <c r="F371" s="64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64"/>
      <c r="V371" s="64"/>
      <c r="W371" s="64"/>
      <c r="X371" s="64"/>
      <c r="Y371" s="64"/>
    </row>
    <row r="372">
      <c r="A372" s="110"/>
      <c r="B372" s="111"/>
      <c r="C372" s="64"/>
      <c r="D372" s="64"/>
      <c r="E372" s="64"/>
      <c r="F372" s="64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64"/>
      <c r="V372" s="64"/>
      <c r="W372" s="64"/>
      <c r="X372" s="64"/>
      <c r="Y372" s="64"/>
    </row>
    <row r="373">
      <c r="A373" s="110"/>
      <c r="B373" s="111"/>
      <c r="C373" s="64"/>
      <c r="D373" s="64"/>
      <c r="E373" s="64"/>
      <c r="F373" s="64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64"/>
      <c r="V373" s="64"/>
      <c r="W373" s="64"/>
      <c r="X373" s="64"/>
      <c r="Y373" s="64"/>
    </row>
    <row r="374">
      <c r="A374" s="110"/>
      <c r="B374" s="111"/>
      <c r="C374" s="64"/>
      <c r="D374" s="64"/>
      <c r="E374" s="64"/>
      <c r="F374" s="64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64"/>
      <c r="V374" s="64"/>
      <c r="W374" s="64"/>
      <c r="X374" s="64"/>
      <c r="Y374" s="64"/>
    </row>
    <row r="375">
      <c r="A375" s="110"/>
      <c r="B375" s="111"/>
      <c r="C375" s="64"/>
      <c r="D375" s="64"/>
      <c r="E375" s="64"/>
      <c r="F375" s="64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64"/>
      <c r="V375" s="64"/>
      <c r="W375" s="64"/>
      <c r="X375" s="64"/>
      <c r="Y375" s="64"/>
    </row>
    <row r="376">
      <c r="A376" s="110"/>
      <c r="B376" s="111"/>
      <c r="C376" s="64"/>
      <c r="D376" s="64"/>
      <c r="E376" s="64"/>
      <c r="F376" s="64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64"/>
      <c r="V376" s="64"/>
      <c r="W376" s="64"/>
      <c r="X376" s="64"/>
      <c r="Y376" s="64"/>
    </row>
    <row r="377">
      <c r="A377" s="110"/>
      <c r="B377" s="111"/>
      <c r="C377" s="64"/>
      <c r="D377" s="64"/>
      <c r="E377" s="64"/>
      <c r="F377" s="64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64"/>
      <c r="V377" s="64"/>
      <c r="W377" s="64"/>
      <c r="X377" s="64"/>
      <c r="Y377" s="64"/>
    </row>
    <row r="378">
      <c r="A378" s="110"/>
      <c r="B378" s="111"/>
      <c r="C378" s="64"/>
      <c r="D378" s="64"/>
      <c r="E378" s="64"/>
      <c r="F378" s="64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64"/>
      <c r="V378" s="64"/>
      <c r="W378" s="64"/>
      <c r="X378" s="64"/>
      <c r="Y378" s="64"/>
    </row>
    <row r="379">
      <c r="A379" s="110"/>
      <c r="B379" s="111"/>
      <c r="C379" s="64"/>
      <c r="D379" s="64"/>
      <c r="E379" s="64"/>
      <c r="F379" s="64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64"/>
      <c r="V379" s="64"/>
      <c r="W379" s="64"/>
      <c r="X379" s="64"/>
      <c r="Y379" s="64"/>
    </row>
    <row r="380">
      <c r="A380" s="110"/>
      <c r="B380" s="111"/>
      <c r="C380" s="64"/>
      <c r="D380" s="64"/>
      <c r="E380" s="64"/>
      <c r="F380" s="64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64"/>
      <c r="V380" s="64"/>
      <c r="W380" s="64"/>
      <c r="X380" s="64"/>
      <c r="Y380" s="64"/>
    </row>
    <row r="381">
      <c r="A381" s="110"/>
      <c r="B381" s="111"/>
      <c r="C381" s="64"/>
      <c r="D381" s="64"/>
      <c r="E381" s="64"/>
      <c r="F381" s="64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64"/>
      <c r="V381" s="64"/>
      <c r="W381" s="64"/>
      <c r="X381" s="64"/>
      <c r="Y381" s="64"/>
    </row>
    <row r="382">
      <c r="A382" s="110"/>
      <c r="B382" s="111"/>
      <c r="C382" s="64"/>
      <c r="D382" s="64"/>
      <c r="E382" s="64"/>
      <c r="F382" s="64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64"/>
      <c r="V382" s="64"/>
      <c r="W382" s="64"/>
      <c r="X382" s="64"/>
      <c r="Y382" s="64"/>
    </row>
    <row r="383">
      <c r="A383" s="110"/>
      <c r="B383" s="111"/>
      <c r="C383" s="64"/>
      <c r="D383" s="64"/>
      <c r="E383" s="64"/>
      <c r="F383" s="64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64"/>
      <c r="V383" s="64"/>
      <c r="W383" s="64"/>
      <c r="X383" s="64"/>
      <c r="Y383" s="64"/>
    </row>
    <row r="384">
      <c r="A384" s="110"/>
      <c r="B384" s="111"/>
      <c r="C384" s="64"/>
      <c r="D384" s="64"/>
      <c r="E384" s="64"/>
      <c r="F384" s="64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64"/>
      <c r="V384" s="64"/>
      <c r="W384" s="64"/>
      <c r="X384" s="64"/>
      <c r="Y384" s="64"/>
    </row>
    <row r="385">
      <c r="A385" s="110"/>
      <c r="B385" s="111"/>
      <c r="C385" s="64"/>
      <c r="D385" s="64"/>
      <c r="E385" s="64"/>
      <c r="F385" s="64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64"/>
      <c r="V385" s="64"/>
      <c r="W385" s="64"/>
      <c r="X385" s="64"/>
      <c r="Y385" s="64"/>
    </row>
    <row r="386">
      <c r="A386" s="110"/>
      <c r="B386" s="111"/>
      <c r="C386" s="64"/>
      <c r="D386" s="64"/>
      <c r="E386" s="64"/>
      <c r="F386" s="64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64"/>
      <c r="V386" s="64"/>
      <c r="W386" s="64"/>
      <c r="X386" s="64"/>
      <c r="Y386" s="64"/>
    </row>
    <row r="387">
      <c r="A387" s="110"/>
      <c r="B387" s="111"/>
      <c r="C387" s="64"/>
      <c r="D387" s="64"/>
      <c r="E387" s="64"/>
      <c r="F387" s="64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64"/>
      <c r="V387" s="64"/>
      <c r="W387" s="64"/>
      <c r="X387" s="64"/>
      <c r="Y387" s="64"/>
    </row>
    <row r="388">
      <c r="A388" s="110"/>
      <c r="B388" s="111"/>
      <c r="C388" s="64"/>
      <c r="D388" s="64"/>
      <c r="E388" s="64"/>
      <c r="F388" s="64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64"/>
      <c r="V388" s="64"/>
      <c r="W388" s="64"/>
      <c r="X388" s="64"/>
      <c r="Y388" s="64"/>
    </row>
    <row r="389">
      <c r="A389" s="110"/>
      <c r="B389" s="111"/>
      <c r="C389" s="64"/>
      <c r="D389" s="64"/>
      <c r="E389" s="64"/>
      <c r="F389" s="64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64"/>
      <c r="V389" s="64"/>
      <c r="W389" s="64"/>
      <c r="X389" s="64"/>
      <c r="Y389" s="64"/>
    </row>
    <row r="390">
      <c r="A390" s="110"/>
      <c r="B390" s="111"/>
      <c r="C390" s="64"/>
      <c r="D390" s="64"/>
      <c r="E390" s="64"/>
      <c r="F390" s="64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64"/>
      <c r="V390" s="64"/>
      <c r="W390" s="64"/>
      <c r="X390" s="64"/>
      <c r="Y390" s="64"/>
    </row>
    <row r="391">
      <c r="A391" s="110"/>
      <c r="B391" s="111"/>
      <c r="C391" s="64"/>
      <c r="D391" s="64"/>
      <c r="E391" s="64"/>
      <c r="F391" s="64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64"/>
      <c r="V391" s="64"/>
      <c r="W391" s="64"/>
      <c r="X391" s="64"/>
      <c r="Y391" s="64"/>
    </row>
    <row r="392">
      <c r="A392" s="110"/>
      <c r="B392" s="111"/>
      <c r="C392" s="64"/>
      <c r="D392" s="64"/>
      <c r="E392" s="64"/>
      <c r="F392" s="64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64"/>
      <c r="V392" s="64"/>
      <c r="W392" s="64"/>
      <c r="X392" s="64"/>
      <c r="Y392" s="64"/>
    </row>
    <row r="393">
      <c r="A393" s="110"/>
      <c r="B393" s="111"/>
      <c r="C393" s="64"/>
      <c r="D393" s="64"/>
      <c r="E393" s="64"/>
      <c r="F393" s="64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64"/>
      <c r="V393" s="64"/>
      <c r="W393" s="64"/>
      <c r="X393" s="64"/>
      <c r="Y393" s="64"/>
    </row>
    <row r="394">
      <c r="A394" s="110"/>
      <c r="B394" s="111"/>
      <c r="C394" s="64"/>
      <c r="D394" s="64"/>
      <c r="E394" s="64"/>
      <c r="F394" s="64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64"/>
      <c r="V394" s="64"/>
      <c r="W394" s="64"/>
      <c r="X394" s="64"/>
      <c r="Y394" s="64"/>
    </row>
    <row r="395">
      <c r="A395" s="110"/>
      <c r="B395" s="111"/>
      <c r="C395" s="64"/>
      <c r="D395" s="64"/>
      <c r="E395" s="64"/>
      <c r="F395" s="64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64"/>
      <c r="V395" s="64"/>
      <c r="W395" s="64"/>
      <c r="X395" s="64"/>
      <c r="Y395" s="64"/>
    </row>
    <row r="396">
      <c r="A396" s="110"/>
      <c r="B396" s="111"/>
      <c r="C396" s="64"/>
      <c r="D396" s="64"/>
      <c r="E396" s="64"/>
      <c r="F396" s="64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64"/>
      <c r="V396" s="64"/>
      <c r="W396" s="64"/>
      <c r="X396" s="64"/>
      <c r="Y396" s="64"/>
    </row>
    <row r="397">
      <c r="A397" s="110"/>
      <c r="B397" s="111"/>
      <c r="C397" s="64"/>
      <c r="D397" s="64"/>
      <c r="E397" s="64"/>
      <c r="F397" s="64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64"/>
      <c r="V397" s="64"/>
      <c r="W397" s="64"/>
      <c r="X397" s="64"/>
      <c r="Y397" s="64"/>
    </row>
    <row r="398">
      <c r="A398" s="110"/>
      <c r="B398" s="111"/>
      <c r="C398" s="64"/>
      <c r="D398" s="64"/>
      <c r="E398" s="64"/>
      <c r="F398" s="64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64"/>
      <c r="V398" s="64"/>
      <c r="W398" s="64"/>
      <c r="X398" s="64"/>
      <c r="Y398" s="64"/>
    </row>
    <row r="399">
      <c r="A399" s="110"/>
      <c r="B399" s="111"/>
      <c r="C399" s="64"/>
      <c r="D399" s="64"/>
      <c r="E399" s="64"/>
      <c r="F399" s="64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64"/>
      <c r="V399" s="64"/>
      <c r="W399" s="64"/>
      <c r="X399" s="64"/>
      <c r="Y399" s="64"/>
    </row>
    <row r="400">
      <c r="A400" s="110"/>
      <c r="B400" s="111"/>
      <c r="C400" s="64"/>
      <c r="D400" s="64"/>
      <c r="E400" s="64"/>
      <c r="F400" s="64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64"/>
      <c r="V400" s="64"/>
      <c r="W400" s="64"/>
      <c r="X400" s="64"/>
      <c r="Y400" s="64"/>
    </row>
    <row r="401">
      <c r="A401" s="110"/>
      <c r="B401" s="111"/>
      <c r="C401" s="64"/>
      <c r="D401" s="64"/>
      <c r="E401" s="64"/>
      <c r="F401" s="64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64"/>
      <c r="V401" s="64"/>
      <c r="W401" s="64"/>
      <c r="X401" s="64"/>
      <c r="Y401" s="64"/>
    </row>
    <row r="402">
      <c r="A402" s="110"/>
      <c r="B402" s="111"/>
      <c r="C402" s="64"/>
      <c r="D402" s="64"/>
      <c r="E402" s="64"/>
      <c r="F402" s="64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64"/>
      <c r="V402" s="64"/>
      <c r="W402" s="64"/>
      <c r="X402" s="64"/>
      <c r="Y402" s="64"/>
    </row>
    <row r="403">
      <c r="A403" s="110"/>
      <c r="B403" s="111"/>
      <c r="C403" s="64"/>
      <c r="D403" s="64"/>
      <c r="E403" s="64"/>
      <c r="F403" s="64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64"/>
      <c r="V403" s="64"/>
      <c r="W403" s="64"/>
      <c r="X403" s="64"/>
      <c r="Y403" s="64"/>
    </row>
    <row r="404">
      <c r="A404" s="110"/>
      <c r="B404" s="111"/>
      <c r="C404" s="64"/>
      <c r="D404" s="64"/>
      <c r="E404" s="64"/>
      <c r="F404" s="64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64"/>
      <c r="V404" s="64"/>
      <c r="W404" s="64"/>
      <c r="X404" s="64"/>
      <c r="Y404" s="64"/>
    </row>
    <row r="405">
      <c r="A405" s="110"/>
      <c r="B405" s="111"/>
      <c r="C405" s="64"/>
      <c r="D405" s="64"/>
      <c r="E405" s="64"/>
      <c r="F405" s="64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64"/>
      <c r="V405" s="64"/>
      <c r="W405" s="64"/>
      <c r="X405" s="64"/>
      <c r="Y405" s="64"/>
    </row>
    <row r="406">
      <c r="A406" s="110"/>
      <c r="B406" s="111"/>
      <c r="C406" s="64"/>
      <c r="D406" s="64"/>
      <c r="E406" s="64"/>
      <c r="F406" s="64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64"/>
      <c r="V406" s="64"/>
      <c r="W406" s="64"/>
      <c r="X406" s="64"/>
      <c r="Y406" s="64"/>
    </row>
    <row r="407">
      <c r="A407" s="110"/>
      <c r="B407" s="111"/>
      <c r="C407" s="64"/>
      <c r="D407" s="64"/>
      <c r="E407" s="64"/>
      <c r="F407" s="64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64"/>
      <c r="V407" s="64"/>
      <c r="W407" s="64"/>
      <c r="X407" s="64"/>
      <c r="Y407" s="64"/>
    </row>
    <row r="408">
      <c r="A408" s="110"/>
      <c r="B408" s="111"/>
      <c r="C408" s="64"/>
      <c r="D408" s="64"/>
      <c r="E408" s="64"/>
      <c r="F408" s="64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64"/>
      <c r="V408" s="64"/>
      <c r="W408" s="64"/>
      <c r="X408" s="64"/>
      <c r="Y408" s="64"/>
    </row>
    <row r="409">
      <c r="A409" s="110"/>
      <c r="B409" s="111"/>
      <c r="C409" s="64"/>
      <c r="D409" s="64"/>
      <c r="E409" s="64"/>
      <c r="F409" s="64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64"/>
      <c r="V409" s="64"/>
      <c r="W409" s="64"/>
      <c r="X409" s="64"/>
      <c r="Y409" s="64"/>
    </row>
    <row r="410">
      <c r="A410" s="110"/>
      <c r="B410" s="111"/>
      <c r="C410" s="64"/>
      <c r="D410" s="64"/>
      <c r="E410" s="64"/>
      <c r="F410" s="64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64"/>
      <c r="V410" s="64"/>
      <c r="W410" s="64"/>
      <c r="X410" s="64"/>
      <c r="Y410" s="64"/>
    </row>
    <row r="411">
      <c r="A411" s="110"/>
      <c r="B411" s="111"/>
      <c r="C411" s="64"/>
      <c r="D411" s="64"/>
      <c r="E411" s="64"/>
      <c r="F411" s="64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64"/>
      <c r="V411" s="64"/>
      <c r="W411" s="64"/>
      <c r="X411" s="64"/>
      <c r="Y411" s="64"/>
    </row>
    <row r="412">
      <c r="A412" s="110"/>
      <c r="B412" s="111"/>
      <c r="C412" s="64"/>
      <c r="D412" s="64"/>
      <c r="E412" s="64"/>
      <c r="F412" s="64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64"/>
      <c r="V412" s="64"/>
      <c r="W412" s="64"/>
      <c r="X412" s="64"/>
      <c r="Y412" s="64"/>
    </row>
    <row r="413">
      <c r="A413" s="110"/>
      <c r="B413" s="111"/>
      <c r="C413" s="64"/>
      <c r="D413" s="64"/>
      <c r="E413" s="64"/>
      <c r="F413" s="64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64"/>
      <c r="V413" s="64"/>
      <c r="W413" s="64"/>
      <c r="X413" s="64"/>
      <c r="Y413" s="64"/>
    </row>
    <row r="414">
      <c r="A414" s="110"/>
      <c r="B414" s="111"/>
      <c r="C414" s="64"/>
      <c r="D414" s="64"/>
      <c r="E414" s="64"/>
      <c r="F414" s="64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64"/>
      <c r="V414" s="64"/>
      <c r="W414" s="64"/>
      <c r="X414" s="64"/>
      <c r="Y414" s="64"/>
    </row>
    <row r="415">
      <c r="A415" s="110"/>
      <c r="B415" s="111"/>
      <c r="C415" s="64"/>
      <c r="D415" s="64"/>
      <c r="E415" s="64"/>
      <c r="F415" s="64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64"/>
      <c r="V415" s="64"/>
      <c r="W415" s="64"/>
      <c r="X415" s="64"/>
      <c r="Y415" s="64"/>
    </row>
    <row r="416">
      <c r="A416" s="110"/>
      <c r="B416" s="111"/>
      <c r="C416" s="64"/>
      <c r="D416" s="64"/>
      <c r="E416" s="64"/>
      <c r="F416" s="64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64"/>
      <c r="V416" s="64"/>
      <c r="W416" s="64"/>
      <c r="X416" s="64"/>
      <c r="Y416" s="64"/>
    </row>
    <row r="417">
      <c r="A417" s="110"/>
      <c r="B417" s="111"/>
      <c r="C417" s="64"/>
      <c r="D417" s="64"/>
      <c r="E417" s="64"/>
      <c r="F417" s="64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64"/>
      <c r="V417" s="64"/>
      <c r="W417" s="64"/>
      <c r="X417" s="64"/>
      <c r="Y417" s="64"/>
    </row>
    <row r="418">
      <c r="A418" s="110"/>
      <c r="B418" s="111"/>
      <c r="C418" s="64"/>
      <c r="D418" s="64"/>
      <c r="E418" s="64"/>
      <c r="F418" s="64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64"/>
      <c r="V418" s="64"/>
      <c r="W418" s="64"/>
      <c r="X418" s="64"/>
      <c r="Y418" s="64"/>
    </row>
    <row r="419">
      <c r="A419" s="110"/>
      <c r="B419" s="111"/>
      <c r="C419" s="64"/>
      <c r="D419" s="64"/>
      <c r="E419" s="64"/>
      <c r="F419" s="64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64"/>
      <c r="V419" s="64"/>
      <c r="W419" s="64"/>
      <c r="X419" s="64"/>
      <c r="Y419" s="64"/>
    </row>
    <row r="420">
      <c r="A420" s="110"/>
      <c r="B420" s="111"/>
      <c r="C420" s="64"/>
      <c r="D420" s="64"/>
      <c r="E420" s="64"/>
      <c r="F420" s="64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64"/>
      <c r="V420" s="64"/>
      <c r="W420" s="64"/>
      <c r="X420" s="64"/>
      <c r="Y420" s="64"/>
    </row>
    <row r="421">
      <c r="A421" s="110"/>
      <c r="B421" s="111"/>
      <c r="C421" s="64"/>
      <c r="D421" s="64"/>
      <c r="E421" s="64"/>
      <c r="F421" s="64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64"/>
      <c r="V421" s="64"/>
      <c r="W421" s="64"/>
      <c r="X421" s="64"/>
      <c r="Y421" s="64"/>
    </row>
    <row r="422">
      <c r="A422" s="110"/>
      <c r="B422" s="111"/>
      <c r="C422" s="64"/>
      <c r="D422" s="64"/>
      <c r="E422" s="64"/>
      <c r="F422" s="64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64"/>
      <c r="V422" s="64"/>
      <c r="W422" s="64"/>
      <c r="X422" s="64"/>
      <c r="Y422" s="64"/>
    </row>
    <row r="423">
      <c r="A423" s="110"/>
      <c r="B423" s="111"/>
      <c r="C423" s="64"/>
      <c r="D423" s="64"/>
      <c r="E423" s="64"/>
      <c r="F423" s="64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64"/>
      <c r="V423" s="64"/>
      <c r="W423" s="64"/>
      <c r="X423" s="64"/>
      <c r="Y423" s="64"/>
    </row>
    <row r="424">
      <c r="A424" s="110"/>
      <c r="B424" s="111"/>
      <c r="C424" s="64"/>
      <c r="D424" s="64"/>
      <c r="E424" s="64"/>
      <c r="F424" s="64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64"/>
      <c r="V424" s="64"/>
      <c r="W424" s="64"/>
      <c r="X424" s="64"/>
      <c r="Y424" s="64"/>
    </row>
    <row r="425">
      <c r="A425" s="110"/>
      <c r="B425" s="111"/>
      <c r="C425" s="64"/>
      <c r="D425" s="64"/>
      <c r="E425" s="64"/>
      <c r="F425" s="64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64"/>
      <c r="V425" s="64"/>
      <c r="W425" s="64"/>
      <c r="X425" s="64"/>
      <c r="Y425" s="64"/>
    </row>
    <row r="426">
      <c r="A426" s="110"/>
      <c r="B426" s="111"/>
      <c r="C426" s="64"/>
      <c r="D426" s="64"/>
      <c r="E426" s="64"/>
      <c r="F426" s="64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64"/>
      <c r="V426" s="64"/>
      <c r="W426" s="64"/>
      <c r="X426" s="64"/>
      <c r="Y426" s="64"/>
    </row>
    <row r="427">
      <c r="A427" s="110"/>
      <c r="B427" s="111"/>
      <c r="C427" s="64"/>
      <c r="D427" s="64"/>
      <c r="E427" s="64"/>
      <c r="F427" s="64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64"/>
      <c r="V427" s="64"/>
      <c r="W427" s="64"/>
      <c r="X427" s="64"/>
      <c r="Y427" s="64"/>
    </row>
    <row r="428">
      <c r="A428" s="110"/>
      <c r="B428" s="111"/>
      <c r="C428" s="64"/>
      <c r="D428" s="64"/>
      <c r="E428" s="64"/>
      <c r="F428" s="64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64"/>
      <c r="V428" s="64"/>
      <c r="W428" s="64"/>
      <c r="X428" s="64"/>
      <c r="Y428" s="64"/>
    </row>
    <row r="429">
      <c r="A429" s="110"/>
      <c r="B429" s="111"/>
      <c r="C429" s="64"/>
      <c r="D429" s="64"/>
      <c r="E429" s="64"/>
      <c r="F429" s="64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64"/>
      <c r="V429" s="64"/>
      <c r="W429" s="64"/>
      <c r="X429" s="64"/>
      <c r="Y429" s="64"/>
    </row>
    <row r="430">
      <c r="A430" s="110"/>
      <c r="B430" s="111"/>
      <c r="C430" s="64"/>
      <c r="D430" s="64"/>
      <c r="E430" s="64"/>
      <c r="F430" s="64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64"/>
      <c r="V430" s="64"/>
      <c r="W430" s="64"/>
      <c r="X430" s="64"/>
      <c r="Y430" s="64"/>
    </row>
    <row r="431">
      <c r="A431" s="110"/>
      <c r="B431" s="111"/>
      <c r="C431" s="64"/>
      <c r="D431" s="64"/>
      <c r="E431" s="64"/>
      <c r="F431" s="64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64"/>
      <c r="V431" s="64"/>
      <c r="W431" s="64"/>
      <c r="X431" s="64"/>
      <c r="Y431" s="64"/>
    </row>
    <row r="432">
      <c r="A432" s="110"/>
      <c r="B432" s="111"/>
      <c r="C432" s="64"/>
      <c r="D432" s="64"/>
      <c r="E432" s="64"/>
      <c r="F432" s="64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64"/>
      <c r="V432" s="64"/>
      <c r="W432" s="64"/>
      <c r="X432" s="64"/>
      <c r="Y432" s="64"/>
    </row>
    <row r="433">
      <c r="A433" s="110"/>
      <c r="B433" s="111"/>
      <c r="C433" s="64"/>
      <c r="D433" s="64"/>
      <c r="E433" s="64"/>
      <c r="F433" s="64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64"/>
      <c r="V433" s="64"/>
      <c r="W433" s="64"/>
      <c r="X433" s="64"/>
      <c r="Y433" s="64"/>
    </row>
    <row r="434">
      <c r="A434" s="110"/>
      <c r="B434" s="111"/>
      <c r="C434" s="64"/>
      <c r="D434" s="64"/>
      <c r="E434" s="64"/>
      <c r="F434" s="64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64"/>
      <c r="V434" s="64"/>
      <c r="W434" s="64"/>
      <c r="X434" s="64"/>
      <c r="Y434" s="64"/>
    </row>
    <row r="435">
      <c r="A435" s="110"/>
      <c r="B435" s="111"/>
      <c r="C435" s="64"/>
      <c r="D435" s="64"/>
      <c r="E435" s="64"/>
      <c r="F435" s="64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64"/>
      <c r="V435" s="64"/>
      <c r="W435" s="64"/>
      <c r="X435" s="64"/>
      <c r="Y435" s="64"/>
    </row>
    <row r="436">
      <c r="A436" s="110"/>
      <c r="B436" s="111"/>
      <c r="C436" s="64"/>
      <c r="D436" s="64"/>
      <c r="E436" s="64"/>
      <c r="F436" s="64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64"/>
      <c r="V436" s="64"/>
      <c r="W436" s="64"/>
      <c r="X436" s="64"/>
      <c r="Y436" s="64"/>
    </row>
    <row r="437">
      <c r="A437" s="110"/>
      <c r="B437" s="111"/>
      <c r="C437" s="64"/>
      <c r="D437" s="64"/>
      <c r="E437" s="64"/>
      <c r="F437" s="64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64"/>
      <c r="V437" s="64"/>
      <c r="W437" s="64"/>
      <c r="X437" s="64"/>
      <c r="Y437" s="64"/>
    </row>
    <row r="438">
      <c r="A438" s="110"/>
      <c r="B438" s="111"/>
      <c r="C438" s="64"/>
      <c r="D438" s="64"/>
      <c r="E438" s="64"/>
      <c r="F438" s="64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64"/>
      <c r="V438" s="64"/>
      <c r="W438" s="64"/>
      <c r="X438" s="64"/>
      <c r="Y438" s="64"/>
    </row>
    <row r="439">
      <c r="A439" s="110"/>
      <c r="B439" s="111"/>
      <c r="C439" s="64"/>
      <c r="D439" s="64"/>
      <c r="E439" s="64"/>
      <c r="F439" s="64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64"/>
      <c r="V439" s="64"/>
      <c r="W439" s="64"/>
      <c r="X439" s="64"/>
      <c r="Y439" s="64"/>
    </row>
    <row r="440">
      <c r="A440" s="110"/>
      <c r="B440" s="111"/>
      <c r="C440" s="64"/>
      <c r="D440" s="64"/>
      <c r="E440" s="64"/>
      <c r="F440" s="64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64"/>
      <c r="V440" s="64"/>
      <c r="W440" s="64"/>
      <c r="X440" s="64"/>
      <c r="Y440" s="64"/>
    </row>
    <row r="441">
      <c r="A441" s="110"/>
      <c r="B441" s="111"/>
      <c r="C441" s="64"/>
      <c r="D441" s="64"/>
      <c r="E441" s="64"/>
      <c r="F441" s="64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64"/>
      <c r="V441" s="64"/>
      <c r="W441" s="64"/>
      <c r="X441" s="64"/>
      <c r="Y441" s="64"/>
    </row>
    <row r="442">
      <c r="A442" s="110"/>
      <c r="B442" s="111"/>
      <c r="C442" s="64"/>
      <c r="D442" s="64"/>
      <c r="E442" s="64"/>
      <c r="F442" s="64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64"/>
      <c r="V442" s="64"/>
      <c r="W442" s="64"/>
      <c r="X442" s="64"/>
      <c r="Y442" s="64"/>
    </row>
    <row r="443">
      <c r="A443" s="110"/>
      <c r="B443" s="111"/>
      <c r="C443" s="64"/>
      <c r="D443" s="64"/>
      <c r="E443" s="64"/>
      <c r="F443" s="64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64"/>
      <c r="V443" s="64"/>
      <c r="W443" s="64"/>
      <c r="X443" s="64"/>
      <c r="Y443" s="64"/>
    </row>
    <row r="444">
      <c r="A444" s="110"/>
      <c r="B444" s="111"/>
      <c r="C444" s="64"/>
      <c r="D444" s="64"/>
      <c r="E444" s="64"/>
      <c r="F444" s="64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64"/>
      <c r="V444" s="64"/>
      <c r="W444" s="64"/>
      <c r="X444" s="64"/>
      <c r="Y444" s="64"/>
    </row>
    <row r="445">
      <c r="A445" s="110"/>
      <c r="B445" s="111"/>
      <c r="C445" s="64"/>
      <c r="D445" s="64"/>
      <c r="E445" s="64"/>
      <c r="F445" s="64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64"/>
      <c r="V445" s="64"/>
      <c r="W445" s="64"/>
      <c r="X445" s="64"/>
      <c r="Y445" s="64"/>
    </row>
    <row r="446">
      <c r="A446" s="110"/>
      <c r="B446" s="111"/>
      <c r="C446" s="64"/>
      <c r="D446" s="64"/>
      <c r="E446" s="64"/>
      <c r="F446" s="64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64"/>
      <c r="V446" s="64"/>
      <c r="W446" s="64"/>
      <c r="X446" s="64"/>
      <c r="Y446" s="64"/>
    </row>
    <row r="447">
      <c r="A447" s="110"/>
      <c r="B447" s="111"/>
      <c r="C447" s="64"/>
      <c r="D447" s="64"/>
      <c r="E447" s="64"/>
      <c r="F447" s="64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64"/>
      <c r="V447" s="64"/>
      <c r="W447" s="64"/>
      <c r="X447" s="64"/>
      <c r="Y447" s="64"/>
    </row>
    <row r="448">
      <c r="A448" s="110"/>
      <c r="B448" s="111"/>
      <c r="C448" s="64"/>
      <c r="D448" s="64"/>
      <c r="E448" s="64"/>
      <c r="F448" s="64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64"/>
      <c r="V448" s="64"/>
      <c r="W448" s="64"/>
      <c r="X448" s="64"/>
      <c r="Y448" s="64"/>
    </row>
    <row r="449">
      <c r="A449" s="110"/>
      <c r="B449" s="111"/>
      <c r="C449" s="64"/>
      <c r="D449" s="64"/>
      <c r="E449" s="64"/>
      <c r="F449" s="64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64"/>
      <c r="V449" s="64"/>
      <c r="W449" s="64"/>
      <c r="X449" s="64"/>
      <c r="Y449" s="64"/>
    </row>
    <row r="450">
      <c r="A450" s="110"/>
      <c r="B450" s="111"/>
      <c r="C450" s="64"/>
      <c r="D450" s="64"/>
      <c r="E450" s="64"/>
      <c r="F450" s="64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64"/>
      <c r="V450" s="64"/>
      <c r="W450" s="64"/>
      <c r="X450" s="64"/>
      <c r="Y450" s="64"/>
    </row>
    <row r="451">
      <c r="A451" s="110"/>
      <c r="B451" s="111"/>
      <c r="C451" s="64"/>
      <c r="D451" s="64"/>
      <c r="E451" s="64"/>
      <c r="F451" s="64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64"/>
      <c r="V451" s="64"/>
      <c r="W451" s="64"/>
      <c r="X451" s="64"/>
      <c r="Y451" s="64"/>
    </row>
    <row r="452">
      <c r="A452" s="110"/>
      <c r="B452" s="111"/>
      <c r="C452" s="64"/>
      <c r="D452" s="64"/>
      <c r="E452" s="64"/>
      <c r="F452" s="64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64"/>
      <c r="V452" s="64"/>
      <c r="W452" s="64"/>
      <c r="X452" s="64"/>
      <c r="Y452" s="64"/>
    </row>
    <row r="453">
      <c r="A453" s="110"/>
      <c r="B453" s="111"/>
      <c r="C453" s="64"/>
      <c r="D453" s="64"/>
      <c r="E453" s="64"/>
      <c r="F453" s="64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64"/>
      <c r="V453" s="64"/>
      <c r="W453" s="64"/>
      <c r="X453" s="64"/>
      <c r="Y453" s="64"/>
    </row>
    <row r="454">
      <c r="A454" s="110"/>
      <c r="B454" s="111"/>
      <c r="C454" s="64"/>
      <c r="D454" s="64"/>
      <c r="E454" s="64"/>
      <c r="F454" s="64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64"/>
      <c r="V454" s="64"/>
      <c r="W454" s="64"/>
      <c r="X454" s="64"/>
      <c r="Y454" s="64"/>
    </row>
    <row r="455">
      <c r="A455" s="110"/>
      <c r="B455" s="111"/>
      <c r="C455" s="64"/>
      <c r="D455" s="64"/>
      <c r="E455" s="64"/>
      <c r="F455" s="64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64"/>
      <c r="V455" s="64"/>
      <c r="W455" s="64"/>
      <c r="X455" s="64"/>
      <c r="Y455" s="64"/>
    </row>
    <row r="456">
      <c r="A456" s="110"/>
      <c r="B456" s="111"/>
      <c r="C456" s="64"/>
      <c r="D456" s="64"/>
      <c r="E456" s="64"/>
      <c r="F456" s="64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64"/>
      <c r="V456" s="64"/>
      <c r="W456" s="64"/>
      <c r="X456" s="64"/>
      <c r="Y456" s="64"/>
    </row>
    <row r="457">
      <c r="A457" s="110"/>
      <c r="B457" s="111"/>
      <c r="C457" s="64"/>
      <c r="D457" s="64"/>
      <c r="E457" s="64"/>
      <c r="F457" s="64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64"/>
      <c r="V457" s="64"/>
      <c r="W457" s="64"/>
      <c r="X457" s="64"/>
      <c r="Y457" s="64"/>
    </row>
    <row r="458">
      <c r="A458" s="110"/>
      <c r="B458" s="111"/>
      <c r="C458" s="64"/>
      <c r="D458" s="64"/>
      <c r="E458" s="64"/>
      <c r="F458" s="64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64"/>
      <c r="V458" s="64"/>
      <c r="W458" s="64"/>
      <c r="X458" s="64"/>
      <c r="Y458" s="64"/>
    </row>
    <row r="459">
      <c r="A459" s="110"/>
      <c r="B459" s="111"/>
      <c r="C459" s="64"/>
      <c r="D459" s="64"/>
      <c r="E459" s="64"/>
      <c r="F459" s="64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64"/>
      <c r="V459" s="64"/>
      <c r="W459" s="64"/>
      <c r="X459" s="64"/>
      <c r="Y459" s="64"/>
    </row>
    <row r="460">
      <c r="A460" s="110"/>
      <c r="B460" s="111"/>
      <c r="C460" s="64"/>
      <c r="D460" s="64"/>
      <c r="E460" s="64"/>
      <c r="F460" s="64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64"/>
      <c r="V460" s="64"/>
      <c r="W460" s="64"/>
      <c r="X460" s="64"/>
      <c r="Y460" s="64"/>
    </row>
    <row r="461">
      <c r="A461" s="110"/>
      <c r="B461" s="111"/>
      <c r="C461" s="64"/>
      <c r="D461" s="64"/>
      <c r="E461" s="64"/>
      <c r="F461" s="64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64"/>
      <c r="V461" s="64"/>
      <c r="W461" s="64"/>
      <c r="X461" s="64"/>
      <c r="Y461" s="64"/>
    </row>
    <row r="462">
      <c r="A462" s="110"/>
      <c r="B462" s="111"/>
      <c r="C462" s="64"/>
      <c r="D462" s="64"/>
      <c r="E462" s="64"/>
      <c r="F462" s="64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64"/>
      <c r="V462" s="64"/>
      <c r="W462" s="64"/>
      <c r="X462" s="64"/>
      <c r="Y462" s="64"/>
    </row>
    <row r="463">
      <c r="A463" s="110"/>
      <c r="B463" s="111"/>
      <c r="C463" s="64"/>
      <c r="D463" s="64"/>
      <c r="E463" s="64"/>
      <c r="F463" s="64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64"/>
      <c r="V463" s="64"/>
      <c r="W463" s="64"/>
      <c r="X463" s="64"/>
      <c r="Y463" s="64"/>
    </row>
    <row r="464">
      <c r="A464" s="110"/>
      <c r="B464" s="111"/>
      <c r="C464" s="64"/>
      <c r="D464" s="64"/>
      <c r="E464" s="64"/>
      <c r="F464" s="64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64"/>
      <c r="V464" s="64"/>
      <c r="W464" s="64"/>
      <c r="X464" s="64"/>
      <c r="Y464" s="64"/>
    </row>
    <row r="465">
      <c r="A465" s="110"/>
      <c r="B465" s="111"/>
      <c r="C465" s="64"/>
      <c r="D465" s="64"/>
      <c r="E465" s="64"/>
      <c r="F465" s="64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64"/>
      <c r="V465" s="64"/>
      <c r="W465" s="64"/>
      <c r="X465" s="64"/>
      <c r="Y465" s="64"/>
    </row>
    <row r="466">
      <c r="A466" s="110"/>
      <c r="B466" s="111"/>
      <c r="C466" s="64"/>
      <c r="D466" s="64"/>
      <c r="E466" s="64"/>
      <c r="F466" s="64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64"/>
      <c r="V466" s="64"/>
      <c r="W466" s="64"/>
      <c r="X466" s="64"/>
      <c r="Y466" s="64"/>
    </row>
    <row r="467">
      <c r="A467" s="110"/>
      <c r="B467" s="111"/>
      <c r="C467" s="64"/>
      <c r="D467" s="64"/>
      <c r="E467" s="64"/>
      <c r="F467" s="64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64"/>
      <c r="V467" s="64"/>
      <c r="W467" s="64"/>
      <c r="X467" s="64"/>
      <c r="Y467" s="64"/>
    </row>
    <row r="468">
      <c r="A468" s="110"/>
      <c r="B468" s="111"/>
      <c r="C468" s="64"/>
      <c r="D468" s="64"/>
      <c r="E468" s="64"/>
      <c r="F468" s="64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64"/>
      <c r="V468" s="64"/>
      <c r="W468" s="64"/>
      <c r="X468" s="64"/>
      <c r="Y468" s="64"/>
    </row>
    <row r="469">
      <c r="A469" s="110"/>
      <c r="B469" s="111"/>
      <c r="C469" s="64"/>
      <c r="D469" s="64"/>
      <c r="E469" s="64"/>
      <c r="F469" s="64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64"/>
      <c r="V469" s="64"/>
      <c r="W469" s="64"/>
      <c r="X469" s="64"/>
      <c r="Y469" s="64"/>
    </row>
    <row r="470">
      <c r="A470" s="110"/>
      <c r="B470" s="111"/>
      <c r="C470" s="64"/>
      <c r="D470" s="64"/>
      <c r="E470" s="64"/>
      <c r="F470" s="64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64"/>
      <c r="V470" s="64"/>
      <c r="W470" s="64"/>
      <c r="X470" s="64"/>
      <c r="Y470" s="64"/>
    </row>
    <row r="471">
      <c r="A471" s="110"/>
      <c r="B471" s="111"/>
      <c r="C471" s="64"/>
      <c r="D471" s="64"/>
      <c r="E471" s="64"/>
      <c r="F471" s="64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64"/>
      <c r="V471" s="64"/>
      <c r="W471" s="64"/>
      <c r="X471" s="64"/>
      <c r="Y471" s="64"/>
    </row>
    <row r="472">
      <c r="A472" s="110"/>
      <c r="B472" s="111"/>
      <c r="C472" s="64"/>
      <c r="D472" s="64"/>
      <c r="E472" s="64"/>
      <c r="F472" s="64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64"/>
      <c r="V472" s="64"/>
      <c r="W472" s="64"/>
      <c r="X472" s="64"/>
      <c r="Y472" s="64"/>
    </row>
    <row r="473">
      <c r="A473" s="110"/>
      <c r="B473" s="111"/>
      <c r="C473" s="64"/>
      <c r="D473" s="64"/>
      <c r="E473" s="64"/>
      <c r="F473" s="64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64"/>
      <c r="V473" s="64"/>
      <c r="W473" s="64"/>
      <c r="X473" s="64"/>
      <c r="Y473" s="64"/>
    </row>
    <row r="474">
      <c r="A474" s="110"/>
      <c r="B474" s="111"/>
      <c r="C474" s="64"/>
      <c r="D474" s="64"/>
      <c r="E474" s="64"/>
      <c r="F474" s="64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64"/>
      <c r="V474" s="64"/>
      <c r="W474" s="64"/>
      <c r="X474" s="64"/>
      <c r="Y474" s="64"/>
    </row>
    <row r="475">
      <c r="A475" s="110"/>
      <c r="B475" s="111"/>
      <c r="C475" s="64"/>
      <c r="D475" s="64"/>
      <c r="E475" s="64"/>
      <c r="F475" s="64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64"/>
      <c r="V475" s="64"/>
      <c r="W475" s="64"/>
      <c r="X475" s="64"/>
      <c r="Y475" s="64"/>
    </row>
    <row r="476">
      <c r="A476" s="110"/>
      <c r="B476" s="111"/>
      <c r="C476" s="64"/>
      <c r="D476" s="64"/>
      <c r="E476" s="64"/>
      <c r="F476" s="64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64"/>
      <c r="V476" s="64"/>
      <c r="W476" s="64"/>
      <c r="X476" s="64"/>
      <c r="Y476" s="64"/>
    </row>
    <row r="477">
      <c r="A477" s="110"/>
      <c r="B477" s="111"/>
      <c r="C477" s="64"/>
      <c r="D477" s="64"/>
      <c r="E477" s="64"/>
      <c r="F477" s="64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64"/>
      <c r="V477" s="64"/>
      <c r="W477" s="64"/>
      <c r="X477" s="64"/>
      <c r="Y477" s="64"/>
    </row>
    <row r="478">
      <c r="A478" s="110"/>
      <c r="B478" s="111"/>
      <c r="C478" s="64"/>
      <c r="D478" s="64"/>
      <c r="E478" s="64"/>
      <c r="F478" s="64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64"/>
      <c r="V478" s="64"/>
      <c r="W478" s="64"/>
      <c r="X478" s="64"/>
      <c r="Y478" s="64"/>
    </row>
    <row r="479">
      <c r="A479" s="110"/>
      <c r="B479" s="111"/>
      <c r="C479" s="64"/>
      <c r="D479" s="64"/>
      <c r="E479" s="64"/>
      <c r="F479" s="64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64"/>
      <c r="V479" s="64"/>
      <c r="W479" s="64"/>
      <c r="X479" s="64"/>
      <c r="Y479" s="64"/>
    </row>
    <row r="480">
      <c r="A480" s="110"/>
      <c r="B480" s="111"/>
      <c r="C480" s="64"/>
      <c r="D480" s="64"/>
      <c r="E480" s="64"/>
      <c r="F480" s="64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64"/>
      <c r="V480" s="64"/>
      <c r="W480" s="64"/>
      <c r="X480" s="64"/>
      <c r="Y480" s="64"/>
    </row>
    <row r="481">
      <c r="A481" s="110"/>
      <c r="B481" s="111"/>
      <c r="C481" s="64"/>
      <c r="D481" s="64"/>
      <c r="E481" s="64"/>
      <c r="F481" s="64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64"/>
      <c r="V481" s="64"/>
      <c r="W481" s="64"/>
      <c r="X481" s="64"/>
      <c r="Y481" s="64"/>
    </row>
    <row r="482">
      <c r="A482" s="110"/>
      <c r="B482" s="111"/>
      <c r="C482" s="64"/>
      <c r="D482" s="64"/>
      <c r="E482" s="64"/>
      <c r="F482" s="64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64"/>
      <c r="V482" s="64"/>
      <c r="W482" s="64"/>
      <c r="X482" s="64"/>
      <c r="Y482" s="64"/>
    </row>
    <row r="483">
      <c r="A483" s="110"/>
      <c r="B483" s="111"/>
      <c r="C483" s="64"/>
      <c r="D483" s="64"/>
      <c r="E483" s="64"/>
      <c r="F483" s="64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64"/>
      <c r="V483" s="64"/>
      <c r="W483" s="64"/>
      <c r="X483" s="64"/>
      <c r="Y483" s="64"/>
    </row>
    <row r="484">
      <c r="A484" s="110"/>
      <c r="B484" s="111"/>
      <c r="C484" s="64"/>
      <c r="D484" s="64"/>
      <c r="E484" s="64"/>
      <c r="F484" s="64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64"/>
      <c r="V484" s="64"/>
      <c r="W484" s="64"/>
      <c r="X484" s="64"/>
      <c r="Y484" s="64"/>
    </row>
    <row r="485">
      <c r="A485" s="110"/>
      <c r="B485" s="111"/>
      <c r="C485" s="64"/>
      <c r="D485" s="64"/>
      <c r="E485" s="64"/>
      <c r="F485" s="64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64"/>
      <c r="V485" s="64"/>
      <c r="W485" s="64"/>
      <c r="X485" s="64"/>
      <c r="Y485" s="64"/>
    </row>
    <row r="486">
      <c r="A486" s="110"/>
      <c r="B486" s="111"/>
      <c r="C486" s="64"/>
      <c r="D486" s="64"/>
      <c r="E486" s="64"/>
      <c r="F486" s="64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64"/>
      <c r="V486" s="64"/>
      <c r="W486" s="64"/>
      <c r="X486" s="64"/>
      <c r="Y486" s="64"/>
    </row>
    <row r="487">
      <c r="A487" s="110"/>
      <c r="B487" s="111"/>
      <c r="C487" s="64"/>
      <c r="D487" s="64"/>
      <c r="E487" s="64"/>
      <c r="F487" s="64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64"/>
      <c r="V487" s="64"/>
      <c r="W487" s="64"/>
      <c r="X487" s="64"/>
      <c r="Y487" s="64"/>
    </row>
    <row r="488">
      <c r="A488" s="110"/>
      <c r="B488" s="111"/>
      <c r="C488" s="64"/>
      <c r="D488" s="64"/>
      <c r="E488" s="64"/>
      <c r="F488" s="64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64"/>
      <c r="V488" s="64"/>
      <c r="W488" s="64"/>
      <c r="X488" s="64"/>
      <c r="Y488" s="64"/>
    </row>
    <row r="489">
      <c r="A489" s="110"/>
      <c r="B489" s="111"/>
      <c r="C489" s="64"/>
      <c r="D489" s="64"/>
      <c r="E489" s="64"/>
      <c r="F489" s="64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64"/>
      <c r="V489" s="64"/>
      <c r="W489" s="64"/>
      <c r="X489" s="64"/>
      <c r="Y489" s="64"/>
    </row>
    <row r="490">
      <c r="A490" s="110"/>
      <c r="B490" s="111"/>
      <c r="C490" s="64"/>
      <c r="D490" s="64"/>
      <c r="E490" s="64"/>
      <c r="F490" s="64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64"/>
      <c r="V490" s="64"/>
      <c r="W490" s="64"/>
      <c r="X490" s="64"/>
      <c r="Y490" s="64"/>
    </row>
    <row r="491">
      <c r="A491" s="110"/>
      <c r="B491" s="111"/>
      <c r="C491" s="64"/>
      <c r="D491" s="64"/>
      <c r="E491" s="64"/>
      <c r="F491" s="64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64"/>
      <c r="V491" s="64"/>
      <c r="W491" s="64"/>
      <c r="X491" s="64"/>
      <c r="Y491" s="64"/>
    </row>
    <row r="492">
      <c r="A492" s="110"/>
      <c r="B492" s="111"/>
      <c r="C492" s="64"/>
      <c r="D492" s="64"/>
      <c r="E492" s="64"/>
      <c r="F492" s="64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64"/>
      <c r="V492" s="64"/>
      <c r="W492" s="64"/>
      <c r="X492" s="64"/>
      <c r="Y492" s="64"/>
    </row>
    <row r="493">
      <c r="A493" s="110"/>
      <c r="B493" s="111"/>
      <c r="C493" s="64"/>
      <c r="D493" s="64"/>
      <c r="E493" s="64"/>
      <c r="F493" s="64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64"/>
      <c r="V493" s="64"/>
      <c r="W493" s="64"/>
      <c r="X493" s="64"/>
      <c r="Y493" s="64"/>
    </row>
    <row r="494">
      <c r="A494" s="110"/>
      <c r="B494" s="111"/>
      <c r="C494" s="64"/>
      <c r="D494" s="64"/>
      <c r="E494" s="64"/>
      <c r="F494" s="64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64"/>
      <c r="V494" s="64"/>
      <c r="W494" s="64"/>
      <c r="X494" s="64"/>
      <c r="Y494" s="64"/>
    </row>
    <row r="495">
      <c r="A495" s="110"/>
      <c r="B495" s="111"/>
      <c r="C495" s="64"/>
      <c r="D495" s="64"/>
      <c r="E495" s="64"/>
      <c r="F495" s="64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64"/>
      <c r="V495" s="64"/>
      <c r="W495" s="64"/>
      <c r="X495" s="64"/>
      <c r="Y495" s="64"/>
    </row>
    <row r="496">
      <c r="A496" s="110"/>
      <c r="B496" s="111"/>
      <c r="C496" s="64"/>
      <c r="D496" s="64"/>
      <c r="E496" s="64"/>
      <c r="F496" s="64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64"/>
      <c r="V496" s="64"/>
      <c r="W496" s="64"/>
      <c r="X496" s="64"/>
      <c r="Y496" s="64"/>
    </row>
    <row r="497">
      <c r="A497" s="110"/>
      <c r="B497" s="111"/>
      <c r="C497" s="64"/>
      <c r="D497" s="64"/>
      <c r="E497" s="64"/>
      <c r="F497" s="64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64"/>
      <c r="V497" s="64"/>
      <c r="W497" s="64"/>
      <c r="X497" s="64"/>
      <c r="Y497" s="64"/>
    </row>
    <row r="498">
      <c r="A498" s="110"/>
      <c r="B498" s="111"/>
      <c r="C498" s="64"/>
      <c r="D498" s="64"/>
      <c r="E498" s="64"/>
      <c r="F498" s="64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64"/>
      <c r="V498" s="64"/>
      <c r="W498" s="64"/>
      <c r="X498" s="64"/>
      <c r="Y498" s="64"/>
    </row>
    <row r="499">
      <c r="A499" s="110"/>
      <c r="B499" s="111"/>
      <c r="C499" s="64"/>
      <c r="D499" s="64"/>
      <c r="E499" s="64"/>
      <c r="F499" s="64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64"/>
      <c r="V499" s="64"/>
      <c r="W499" s="64"/>
      <c r="X499" s="64"/>
      <c r="Y499" s="64"/>
    </row>
    <row r="500">
      <c r="A500" s="110"/>
      <c r="B500" s="111"/>
      <c r="C500" s="64"/>
      <c r="D500" s="64"/>
      <c r="E500" s="64"/>
      <c r="F500" s="64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64"/>
      <c r="V500" s="64"/>
      <c r="W500" s="64"/>
      <c r="X500" s="64"/>
      <c r="Y500" s="64"/>
    </row>
    <row r="501">
      <c r="A501" s="110"/>
      <c r="B501" s="111"/>
      <c r="C501" s="64"/>
      <c r="D501" s="64"/>
      <c r="E501" s="64"/>
      <c r="F501" s="64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64"/>
      <c r="V501" s="64"/>
      <c r="W501" s="64"/>
      <c r="X501" s="64"/>
      <c r="Y501" s="64"/>
    </row>
    <row r="502">
      <c r="A502" s="110"/>
      <c r="B502" s="111"/>
      <c r="C502" s="64"/>
      <c r="D502" s="64"/>
      <c r="E502" s="64"/>
      <c r="F502" s="64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64"/>
      <c r="V502" s="64"/>
      <c r="W502" s="64"/>
      <c r="X502" s="64"/>
      <c r="Y502" s="64"/>
    </row>
    <row r="503">
      <c r="A503" s="110"/>
      <c r="B503" s="111"/>
      <c r="C503" s="64"/>
      <c r="D503" s="64"/>
      <c r="E503" s="64"/>
      <c r="F503" s="64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64"/>
      <c r="V503" s="64"/>
      <c r="W503" s="64"/>
      <c r="X503" s="64"/>
      <c r="Y503" s="64"/>
    </row>
    <row r="504">
      <c r="A504" s="110"/>
      <c r="B504" s="111"/>
      <c r="C504" s="64"/>
      <c r="D504" s="64"/>
      <c r="E504" s="64"/>
      <c r="F504" s="64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64"/>
      <c r="V504" s="64"/>
      <c r="W504" s="64"/>
      <c r="X504" s="64"/>
      <c r="Y504" s="64"/>
    </row>
    <row r="505">
      <c r="A505" s="110"/>
      <c r="B505" s="111"/>
      <c r="C505" s="64"/>
      <c r="D505" s="64"/>
      <c r="E505" s="64"/>
      <c r="F505" s="64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64"/>
      <c r="V505" s="64"/>
      <c r="W505" s="64"/>
      <c r="X505" s="64"/>
      <c r="Y505" s="64"/>
    </row>
    <row r="506">
      <c r="A506" s="110"/>
      <c r="B506" s="111"/>
      <c r="C506" s="64"/>
      <c r="D506" s="64"/>
      <c r="E506" s="64"/>
      <c r="F506" s="64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64"/>
      <c r="V506" s="64"/>
      <c r="W506" s="64"/>
      <c r="X506" s="64"/>
      <c r="Y506" s="64"/>
    </row>
    <row r="507">
      <c r="A507" s="110"/>
      <c r="B507" s="111"/>
      <c r="C507" s="64"/>
      <c r="D507" s="64"/>
      <c r="E507" s="64"/>
      <c r="F507" s="64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64"/>
      <c r="V507" s="64"/>
      <c r="W507" s="64"/>
      <c r="X507" s="64"/>
      <c r="Y507" s="64"/>
    </row>
    <row r="508">
      <c r="A508" s="110"/>
      <c r="B508" s="111"/>
      <c r="C508" s="64"/>
      <c r="D508" s="64"/>
      <c r="E508" s="64"/>
      <c r="F508" s="64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64"/>
      <c r="V508" s="64"/>
      <c r="W508" s="64"/>
      <c r="X508" s="64"/>
      <c r="Y508" s="64"/>
    </row>
    <row r="509">
      <c r="A509" s="110"/>
      <c r="B509" s="111"/>
      <c r="C509" s="64"/>
      <c r="D509" s="64"/>
      <c r="E509" s="64"/>
      <c r="F509" s="64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64"/>
      <c r="V509" s="64"/>
      <c r="W509" s="64"/>
      <c r="X509" s="64"/>
      <c r="Y509" s="64"/>
    </row>
    <row r="510">
      <c r="A510" s="110"/>
      <c r="B510" s="111"/>
      <c r="C510" s="64"/>
      <c r="D510" s="64"/>
      <c r="E510" s="64"/>
      <c r="F510" s="64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64"/>
      <c r="V510" s="64"/>
      <c r="W510" s="64"/>
      <c r="X510" s="64"/>
      <c r="Y510" s="64"/>
    </row>
    <row r="511">
      <c r="A511" s="110"/>
      <c r="B511" s="111"/>
      <c r="C511" s="64"/>
      <c r="D511" s="64"/>
      <c r="E511" s="64"/>
      <c r="F511" s="64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64"/>
      <c r="V511" s="64"/>
      <c r="W511" s="64"/>
      <c r="X511" s="64"/>
      <c r="Y511" s="64"/>
    </row>
    <row r="512">
      <c r="A512" s="110"/>
      <c r="B512" s="111"/>
      <c r="C512" s="64"/>
      <c r="D512" s="64"/>
      <c r="E512" s="64"/>
      <c r="F512" s="64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64"/>
      <c r="V512" s="64"/>
      <c r="W512" s="64"/>
      <c r="X512" s="64"/>
      <c r="Y512" s="64"/>
    </row>
    <row r="513">
      <c r="A513" s="110"/>
      <c r="B513" s="111"/>
      <c r="C513" s="64"/>
      <c r="D513" s="64"/>
      <c r="E513" s="64"/>
      <c r="F513" s="64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64"/>
      <c r="V513" s="64"/>
      <c r="W513" s="64"/>
      <c r="X513" s="64"/>
      <c r="Y513" s="64"/>
    </row>
    <row r="514">
      <c r="A514" s="110"/>
      <c r="B514" s="111"/>
      <c r="C514" s="64"/>
      <c r="D514" s="64"/>
      <c r="E514" s="64"/>
      <c r="F514" s="64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64"/>
      <c r="V514" s="64"/>
      <c r="W514" s="64"/>
      <c r="X514" s="64"/>
      <c r="Y514" s="64"/>
    </row>
    <row r="515">
      <c r="A515" s="110"/>
      <c r="B515" s="111"/>
      <c r="C515" s="64"/>
      <c r="D515" s="64"/>
      <c r="E515" s="64"/>
      <c r="F515" s="64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64"/>
      <c r="V515" s="64"/>
      <c r="W515" s="64"/>
      <c r="X515" s="64"/>
      <c r="Y515" s="64"/>
    </row>
    <row r="516">
      <c r="A516" s="110"/>
      <c r="B516" s="111"/>
      <c r="C516" s="64"/>
      <c r="D516" s="64"/>
      <c r="E516" s="64"/>
      <c r="F516" s="64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64"/>
      <c r="V516" s="64"/>
      <c r="W516" s="64"/>
      <c r="X516" s="64"/>
      <c r="Y516" s="64"/>
    </row>
    <row r="517">
      <c r="A517" s="110"/>
      <c r="B517" s="111"/>
      <c r="C517" s="64"/>
      <c r="D517" s="64"/>
      <c r="E517" s="64"/>
      <c r="F517" s="64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64"/>
      <c r="V517" s="64"/>
      <c r="W517" s="64"/>
      <c r="X517" s="64"/>
      <c r="Y517" s="64"/>
    </row>
    <row r="518">
      <c r="A518" s="110"/>
      <c r="B518" s="111"/>
      <c r="C518" s="64"/>
      <c r="D518" s="64"/>
      <c r="E518" s="64"/>
      <c r="F518" s="64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64"/>
      <c r="V518" s="64"/>
      <c r="W518" s="64"/>
      <c r="X518" s="64"/>
      <c r="Y518" s="64"/>
    </row>
    <row r="519">
      <c r="A519" s="110"/>
      <c r="B519" s="111"/>
      <c r="C519" s="64"/>
      <c r="D519" s="64"/>
      <c r="E519" s="64"/>
      <c r="F519" s="64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64"/>
      <c r="V519" s="64"/>
      <c r="W519" s="64"/>
      <c r="X519" s="64"/>
      <c r="Y519" s="64"/>
    </row>
    <row r="520">
      <c r="A520" s="110"/>
      <c r="B520" s="111"/>
      <c r="C520" s="64"/>
      <c r="D520" s="64"/>
      <c r="E520" s="64"/>
      <c r="F520" s="64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64"/>
      <c r="V520" s="64"/>
      <c r="W520" s="64"/>
      <c r="X520" s="64"/>
      <c r="Y520" s="64"/>
    </row>
    <row r="521">
      <c r="A521" s="110"/>
      <c r="B521" s="111"/>
      <c r="C521" s="64"/>
      <c r="D521" s="64"/>
      <c r="E521" s="64"/>
      <c r="F521" s="64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64"/>
      <c r="V521" s="64"/>
      <c r="W521" s="64"/>
      <c r="X521" s="64"/>
      <c r="Y521" s="64"/>
    </row>
    <row r="522">
      <c r="A522" s="110"/>
      <c r="B522" s="111"/>
      <c r="C522" s="64"/>
      <c r="D522" s="64"/>
      <c r="E522" s="64"/>
      <c r="F522" s="64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64"/>
      <c r="V522" s="64"/>
      <c r="W522" s="64"/>
      <c r="X522" s="64"/>
      <c r="Y522" s="64"/>
    </row>
    <row r="523">
      <c r="A523" s="110"/>
      <c r="B523" s="111"/>
      <c r="C523" s="64"/>
      <c r="D523" s="64"/>
      <c r="E523" s="64"/>
      <c r="F523" s="64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64"/>
      <c r="V523" s="64"/>
      <c r="W523" s="64"/>
      <c r="X523" s="64"/>
      <c r="Y523" s="64"/>
    </row>
    <row r="524">
      <c r="A524" s="110"/>
      <c r="B524" s="111"/>
      <c r="C524" s="64"/>
      <c r="D524" s="64"/>
      <c r="E524" s="64"/>
      <c r="F524" s="64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64"/>
      <c r="V524" s="64"/>
      <c r="W524" s="64"/>
      <c r="X524" s="64"/>
      <c r="Y524" s="64"/>
    </row>
    <row r="525">
      <c r="A525" s="110"/>
      <c r="B525" s="111"/>
      <c r="C525" s="64"/>
      <c r="D525" s="64"/>
      <c r="E525" s="64"/>
      <c r="F525" s="64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64"/>
      <c r="V525" s="64"/>
      <c r="W525" s="64"/>
      <c r="X525" s="64"/>
      <c r="Y525" s="64"/>
    </row>
    <row r="526">
      <c r="A526" s="110"/>
      <c r="B526" s="111"/>
      <c r="C526" s="64"/>
      <c r="D526" s="64"/>
      <c r="E526" s="64"/>
      <c r="F526" s="64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64"/>
      <c r="V526" s="64"/>
      <c r="W526" s="64"/>
      <c r="X526" s="64"/>
      <c r="Y526" s="64"/>
    </row>
    <row r="527">
      <c r="A527" s="110"/>
      <c r="B527" s="111"/>
      <c r="C527" s="64"/>
      <c r="D527" s="64"/>
      <c r="E527" s="64"/>
      <c r="F527" s="64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64"/>
      <c r="V527" s="64"/>
      <c r="W527" s="64"/>
      <c r="X527" s="64"/>
      <c r="Y527" s="64"/>
    </row>
    <row r="528">
      <c r="A528" s="110"/>
      <c r="B528" s="111"/>
      <c r="C528" s="64"/>
      <c r="D528" s="64"/>
      <c r="E528" s="64"/>
      <c r="F528" s="64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64"/>
      <c r="V528" s="64"/>
      <c r="W528" s="64"/>
      <c r="X528" s="64"/>
      <c r="Y528" s="64"/>
    </row>
    <row r="529">
      <c r="A529" s="110"/>
      <c r="B529" s="111"/>
      <c r="C529" s="64"/>
      <c r="D529" s="64"/>
      <c r="E529" s="64"/>
      <c r="F529" s="64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64"/>
      <c r="V529" s="64"/>
      <c r="W529" s="64"/>
      <c r="X529" s="64"/>
      <c r="Y529" s="64"/>
    </row>
    <row r="530">
      <c r="A530" s="110"/>
      <c r="B530" s="111"/>
      <c r="C530" s="64"/>
      <c r="D530" s="64"/>
      <c r="E530" s="64"/>
      <c r="F530" s="64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64"/>
      <c r="V530" s="64"/>
      <c r="W530" s="64"/>
      <c r="X530" s="64"/>
      <c r="Y530" s="64"/>
    </row>
    <row r="531">
      <c r="A531" s="110"/>
      <c r="B531" s="111"/>
      <c r="C531" s="64"/>
      <c r="D531" s="64"/>
      <c r="E531" s="64"/>
      <c r="F531" s="64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64"/>
      <c r="V531" s="64"/>
      <c r="W531" s="64"/>
      <c r="X531" s="64"/>
      <c r="Y531" s="64"/>
    </row>
    <row r="532">
      <c r="A532" s="110"/>
      <c r="B532" s="111"/>
      <c r="C532" s="64"/>
      <c r="D532" s="64"/>
      <c r="E532" s="64"/>
      <c r="F532" s="64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64"/>
      <c r="V532" s="64"/>
      <c r="W532" s="64"/>
      <c r="X532" s="64"/>
      <c r="Y532" s="64"/>
    </row>
    <row r="533">
      <c r="A533" s="110"/>
      <c r="B533" s="111"/>
      <c r="C533" s="64"/>
      <c r="D533" s="64"/>
      <c r="E533" s="64"/>
      <c r="F533" s="64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64"/>
      <c r="V533" s="64"/>
      <c r="W533" s="64"/>
      <c r="X533" s="64"/>
      <c r="Y533" s="64"/>
    </row>
    <row r="534">
      <c r="A534" s="110"/>
      <c r="B534" s="111"/>
      <c r="C534" s="64"/>
      <c r="D534" s="64"/>
      <c r="E534" s="64"/>
      <c r="F534" s="64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64"/>
      <c r="V534" s="64"/>
      <c r="W534" s="64"/>
      <c r="X534" s="64"/>
      <c r="Y534" s="64"/>
    </row>
    <row r="535">
      <c r="A535" s="110"/>
      <c r="B535" s="111"/>
      <c r="C535" s="64"/>
      <c r="D535" s="64"/>
      <c r="E535" s="64"/>
      <c r="F535" s="64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64"/>
      <c r="V535" s="64"/>
      <c r="W535" s="64"/>
      <c r="X535" s="64"/>
      <c r="Y535" s="64"/>
    </row>
    <row r="536">
      <c r="A536" s="110"/>
      <c r="B536" s="111"/>
      <c r="C536" s="64"/>
      <c r="D536" s="64"/>
      <c r="E536" s="64"/>
      <c r="F536" s="64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64"/>
      <c r="V536" s="64"/>
      <c r="W536" s="64"/>
      <c r="X536" s="64"/>
      <c r="Y536" s="64"/>
    </row>
    <row r="537">
      <c r="A537" s="110"/>
      <c r="B537" s="111"/>
      <c r="C537" s="64"/>
      <c r="D537" s="64"/>
      <c r="E537" s="64"/>
      <c r="F537" s="64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64"/>
      <c r="V537" s="64"/>
      <c r="W537" s="64"/>
      <c r="X537" s="64"/>
      <c r="Y537" s="64"/>
    </row>
    <row r="538">
      <c r="A538" s="110"/>
      <c r="B538" s="111"/>
      <c r="C538" s="64"/>
      <c r="D538" s="64"/>
      <c r="E538" s="64"/>
      <c r="F538" s="64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64"/>
      <c r="V538" s="64"/>
      <c r="W538" s="64"/>
      <c r="X538" s="64"/>
      <c r="Y538" s="64"/>
    </row>
    <row r="539">
      <c r="A539" s="110"/>
      <c r="B539" s="111"/>
      <c r="C539" s="64"/>
      <c r="D539" s="64"/>
      <c r="E539" s="64"/>
      <c r="F539" s="64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64"/>
      <c r="V539" s="64"/>
      <c r="W539" s="64"/>
      <c r="X539" s="64"/>
      <c r="Y539" s="64"/>
    </row>
    <row r="540">
      <c r="A540" s="110"/>
      <c r="B540" s="111"/>
      <c r="C540" s="64"/>
      <c r="D540" s="64"/>
      <c r="E540" s="64"/>
      <c r="F540" s="64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64"/>
      <c r="V540" s="64"/>
      <c r="W540" s="64"/>
      <c r="X540" s="64"/>
      <c r="Y540" s="64"/>
    </row>
    <row r="541">
      <c r="A541" s="110"/>
      <c r="B541" s="111"/>
      <c r="C541" s="64"/>
      <c r="D541" s="64"/>
      <c r="E541" s="64"/>
      <c r="F541" s="64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64"/>
      <c r="V541" s="64"/>
      <c r="W541" s="64"/>
      <c r="X541" s="64"/>
      <c r="Y541" s="64"/>
    </row>
    <row r="542">
      <c r="A542" s="110"/>
      <c r="B542" s="111"/>
      <c r="C542" s="64"/>
      <c r="D542" s="64"/>
      <c r="E542" s="64"/>
      <c r="F542" s="64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64"/>
      <c r="V542" s="64"/>
      <c r="W542" s="64"/>
      <c r="X542" s="64"/>
      <c r="Y542" s="64"/>
    </row>
    <row r="543">
      <c r="A543" s="110"/>
      <c r="B543" s="111"/>
      <c r="C543" s="64"/>
      <c r="D543" s="64"/>
      <c r="E543" s="64"/>
      <c r="F543" s="64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64"/>
      <c r="V543" s="64"/>
      <c r="W543" s="64"/>
      <c r="X543" s="64"/>
      <c r="Y543" s="64"/>
    </row>
    <row r="544">
      <c r="A544" s="110"/>
      <c r="B544" s="111"/>
      <c r="C544" s="64"/>
      <c r="D544" s="64"/>
      <c r="E544" s="64"/>
      <c r="F544" s="64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64"/>
      <c r="V544" s="64"/>
      <c r="W544" s="64"/>
      <c r="X544" s="64"/>
      <c r="Y544" s="64"/>
    </row>
    <row r="545">
      <c r="A545" s="110"/>
      <c r="B545" s="111"/>
      <c r="C545" s="64"/>
      <c r="D545" s="64"/>
      <c r="E545" s="64"/>
      <c r="F545" s="64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64"/>
      <c r="V545" s="64"/>
      <c r="W545" s="64"/>
      <c r="X545" s="64"/>
      <c r="Y545" s="64"/>
    </row>
    <row r="546">
      <c r="A546" s="110"/>
      <c r="B546" s="111"/>
      <c r="C546" s="64"/>
      <c r="D546" s="64"/>
      <c r="E546" s="64"/>
      <c r="F546" s="64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64"/>
      <c r="V546" s="64"/>
      <c r="W546" s="64"/>
      <c r="X546" s="64"/>
      <c r="Y546" s="64"/>
    </row>
    <row r="547">
      <c r="A547" s="110"/>
      <c r="B547" s="111"/>
      <c r="C547" s="64"/>
      <c r="D547" s="64"/>
      <c r="E547" s="64"/>
      <c r="F547" s="64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64"/>
      <c r="V547" s="64"/>
      <c r="W547" s="64"/>
      <c r="X547" s="64"/>
      <c r="Y547" s="64"/>
    </row>
    <row r="548">
      <c r="A548" s="110"/>
      <c r="B548" s="111"/>
      <c r="C548" s="64"/>
      <c r="D548" s="64"/>
      <c r="E548" s="64"/>
      <c r="F548" s="64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64"/>
      <c r="V548" s="64"/>
      <c r="W548" s="64"/>
      <c r="X548" s="64"/>
      <c r="Y548" s="64"/>
    </row>
    <row r="549">
      <c r="A549" s="110"/>
      <c r="B549" s="111"/>
      <c r="C549" s="64"/>
      <c r="D549" s="64"/>
      <c r="E549" s="64"/>
      <c r="F549" s="64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64"/>
      <c r="V549" s="64"/>
      <c r="W549" s="64"/>
      <c r="X549" s="64"/>
      <c r="Y549" s="64"/>
    </row>
    <row r="550">
      <c r="A550" s="110"/>
      <c r="B550" s="111"/>
      <c r="C550" s="64"/>
      <c r="D550" s="64"/>
      <c r="E550" s="64"/>
      <c r="F550" s="64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64"/>
      <c r="V550" s="64"/>
      <c r="W550" s="64"/>
      <c r="X550" s="64"/>
      <c r="Y550" s="64"/>
    </row>
    <row r="551">
      <c r="A551" s="110"/>
      <c r="B551" s="111"/>
      <c r="C551" s="64"/>
      <c r="D551" s="64"/>
      <c r="E551" s="64"/>
      <c r="F551" s="64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64"/>
      <c r="V551" s="64"/>
      <c r="W551" s="64"/>
      <c r="X551" s="64"/>
      <c r="Y551" s="64"/>
    </row>
    <row r="552">
      <c r="A552" s="110"/>
      <c r="B552" s="111"/>
      <c r="C552" s="64"/>
      <c r="D552" s="64"/>
      <c r="E552" s="64"/>
      <c r="F552" s="64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64"/>
      <c r="V552" s="64"/>
      <c r="W552" s="64"/>
      <c r="X552" s="64"/>
      <c r="Y552" s="64"/>
    </row>
    <row r="553">
      <c r="A553" s="110"/>
      <c r="B553" s="111"/>
      <c r="C553" s="64"/>
      <c r="D553" s="64"/>
      <c r="E553" s="64"/>
      <c r="F553" s="64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64"/>
      <c r="V553" s="64"/>
      <c r="W553" s="64"/>
      <c r="X553" s="64"/>
      <c r="Y553" s="64"/>
    </row>
    <row r="554">
      <c r="A554" s="110"/>
      <c r="B554" s="111"/>
      <c r="C554" s="64"/>
      <c r="D554" s="64"/>
      <c r="E554" s="64"/>
      <c r="F554" s="64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64"/>
      <c r="V554" s="64"/>
      <c r="W554" s="64"/>
      <c r="X554" s="64"/>
      <c r="Y554" s="64"/>
    </row>
    <row r="555">
      <c r="A555" s="110"/>
      <c r="B555" s="111"/>
      <c r="C555" s="64"/>
      <c r="D555" s="64"/>
      <c r="E555" s="64"/>
      <c r="F555" s="64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64"/>
      <c r="V555" s="64"/>
      <c r="W555" s="64"/>
      <c r="X555" s="64"/>
      <c r="Y555" s="64"/>
    </row>
    <row r="556">
      <c r="A556" s="110"/>
      <c r="B556" s="111"/>
      <c r="C556" s="64"/>
      <c r="D556" s="64"/>
      <c r="E556" s="64"/>
      <c r="F556" s="64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64"/>
      <c r="V556" s="64"/>
      <c r="W556" s="64"/>
      <c r="X556" s="64"/>
      <c r="Y556" s="64"/>
    </row>
    <row r="557">
      <c r="A557" s="110"/>
      <c r="B557" s="111"/>
      <c r="C557" s="64"/>
      <c r="D557" s="64"/>
      <c r="E557" s="64"/>
      <c r="F557" s="64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64"/>
      <c r="V557" s="64"/>
      <c r="W557" s="64"/>
      <c r="X557" s="64"/>
      <c r="Y557" s="64"/>
    </row>
    <row r="558">
      <c r="A558" s="110"/>
      <c r="B558" s="111"/>
      <c r="C558" s="64"/>
      <c r="D558" s="64"/>
      <c r="E558" s="64"/>
      <c r="F558" s="64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64"/>
      <c r="V558" s="64"/>
      <c r="W558" s="64"/>
      <c r="X558" s="64"/>
      <c r="Y558" s="64"/>
    </row>
    <row r="559">
      <c r="A559" s="110"/>
      <c r="B559" s="111"/>
      <c r="C559" s="64"/>
      <c r="D559" s="64"/>
      <c r="E559" s="64"/>
      <c r="F559" s="64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64"/>
      <c r="V559" s="64"/>
      <c r="W559" s="64"/>
      <c r="X559" s="64"/>
      <c r="Y559" s="64"/>
    </row>
    <row r="560">
      <c r="A560" s="110"/>
      <c r="B560" s="111"/>
      <c r="C560" s="64"/>
      <c r="D560" s="64"/>
      <c r="E560" s="64"/>
      <c r="F560" s="64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64"/>
      <c r="V560" s="64"/>
      <c r="W560" s="64"/>
      <c r="X560" s="64"/>
      <c r="Y560" s="64"/>
    </row>
    <row r="561">
      <c r="A561" s="110"/>
      <c r="B561" s="111"/>
      <c r="C561" s="64"/>
      <c r="D561" s="64"/>
      <c r="E561" s="64"/>
      <c r="F561" s="64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64"/>
      <c r="V561" s="64"/>
      <c r="W561" s="64"/>
      <c r="X561" s="64"/>
      <c r="Y561" s="64"/>
    </row>
    <row r="562">
      <c r="A562" s="110"/>
      <c r="B562" s="111"/>
      <c r="C562" s="64"/>
      <c r="D562" s="64"/>
      <c r="E562" s="64"/>
      <c r="F562" s="64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64"/>
      <c r="V562" s="64"/>
      <c r="W562" s="64"/>
      <c r="X562" s="64"/>
      <c r="Y562" s="64"/>
    </row>
    <row r="563">
      <c r="A563" s="110"/>
      <c r="B563" s="111"/>
      <c r="C563" s="64"/>
      <c r="D563" s="64"/>
      <c r="E563" s="64"/>
      <c r="F563" s="64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64"/>
      <c r="V563" s="64"/>
      <c r="W563" s="64"/>
      <c r="X563" s="64"/>
      <c r="Y563" s="64"/>
    </row>
    <row r="564">
      <c r="A564" s="110"/>
      <c r="B564" s="111"/>
      <c r="C564" s="64"/>
      <c r="D564" s="64"/>
      <c r="E564" s="64"/>
      <c r="F564" s="64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64"/>
      <c r="V564" s="64"/>
      <c r="W564" s="64"/>
      <c r="X564" s="64"/>
      <c r="Y564" s="64"/>
    </row>
    <row r="565">
      <c r="A565" s="110"/>
      <c r="B565" s="111"/>
      <c r="C565" s="64"/>
      <c r="D565" s="64"/>
      <c r="E565" s="64"/>
      <c r="F565" s="64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64"/>
      <c r="V565" s="64"/>
      <c r="W565" s="64"/>
      <c r="X565" s="64"/>
      <c r="Y565" s="64"/>
    </row>
    <row r="566">
      <c r="A566" s="110"/>
      <c r="B566" s="111"/>
      <c r="C566" s="64"/>
      <c r="D566" s="64"/>
      <c r="E566" s="64"/>
      <c r="F566" s="64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64"/>
      <c r="V566" s="64"/>
      <c r="W566" s="64"/>
      <c r="X566" s="64"/>
      <c r="Y566" s="64"/>
    </row>
    <row r="567">
      <c r="A567" s="110"/>
      <c r="B567" s="111"/>
      <c r="C567" s="64"/>
      <c r="D567" s="64"/>
      <c r="E567" s="64"/>
      <c r="F567" s="64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64"/>
      <c r="V567" s="64"/>
      <c r="W567" s="64"/>
      <c r="X567" s="64"/>
      <c r="Y567" s="64"/>
    </row>
    <row r="568">
      <c r="A568" s="110"/>
      <c r="B568" s="111"/>
      <c r="C568" s="64"/>
      <c r="D568" s="64"/>
      <c r="E568" s="64"/>
      <c r="F568" s="64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64"/>
      <c r="V568" s="64"/>
      <c r="W568" s="64"/>
      <c r="X568" s="64"/>
      <c r="Y568" s="64"/>
    </row>
    <row r="569">
      <c r="A569" s="110"/>
      <c r="B569" s="111"/>
      <c r="C569" s="64"/>
      <c r="D569" s="64"/>
      <c r="E569" s="64"/>
      <c r="F569" s="64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64"/>
      <c r="V569" s="64"/>
      <c r="W569" s="64"/>
      <c r="X569" s="64"/>
      <c r="Y569" s="64"/>
    </row>
    <row r="570">
      <c r="A570" s="110"/>
      <c r="B570" s="111"/>
      <c r="C570" s="64"/>
      <c r="D570" s="64"/>
      <c r="E570" s="64"/>
      <c r="F570" s="64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64"/>
      <c r="V570" s="64"/>
      <c r="W570" s="64"/>
      <c r="X570" s="64"/>
      <c r="Y570" s="64"/>
    </row>
    <row r="571">
      <c r="A571" s="110"/>
      <c r="B571" s="111"/>
      <c r="C571" s="64"/>
      <c r="D571" s="64"/>
      <c r="E571" s="64"/>
      <c r="F571" s="64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64"/>
      <c r="V571" s="64"/>
      <c r="W571" s="64"/>
      <c r="X571" s="64"/>
      <c r="Y571" s="64"/>
    </row>
    <row r="572">
      <c r="A572" s="110"/>
      <c r="B572" s="111"/>
      <c r="C572" s="64"/>
      <c r="D572" s="64"/>
      <c r="E572" s="64"/>
      <c r="F572" s="64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64"/>
      <c r="V572" s="64"/>
      <c r="W572" s="64"/>
      <c r="X572" s="64"/>
      <c r="Y572" s="64"/>
    </row>
    <row r="573">
      <c r="A573" s="110"/>
      <c r="B573" s="111"/>
      <c r="C573" s="64"/>
      <c r="D573" s="64"/>
      <c r="E573" s="64"/>
      <c r="F573" s="64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64"/>
      <c r="V573" s="64"/>
      <c r="W573" s="64"/>
      <c r="X573" s="64"/>
      <c r="Y573" s="64"/>
    </row>
    <row r="574">
      <c r="A574" s="110"/>
      <c r="B574" s="111"/>
      <c r="C574" s="64"/>
      <c r="D574" s="64"/>
      <c r="E574" s="64"/>
      <c r="F574" s="64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64"/>
      <c r="V574" s="64"/>
      <c r="W574" s="64"/>
      <c r="X574" s="64"/>
      <c r="Y574" s="64"/>
    </row>
    <row r="575">
      <c r="A575" s="110"/>
      <c r="B575" s="111"/>
      <c r="C575" s="64"/>
      <c r="D575" s="64"/>
      <c r="E575" s="64"/>
      <c r="F575" s="64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64"/>
      <c r="V575" s="64"/>
      <c r="W575" s="64"/>
      <c r="X575" s="64"/>
      <c r="Y575" s="64"/>
    </row>
    <row r="576">
      <c r="A576" s="110"/>
      <c r="B576" s="111"/>
      <c r="C576" s="64"/>
      <c r="D576" s="64"/>
      <c r="E576" s="64"/>
      <c r="F576" s="64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64"/>
      <c r="V576" s="64"/>
      <c r="W576" s="64"/>
      <c r="X576" s="64"/>
      <c r="Y576" s="64"/>
    </row>
    <row r="577">
      <c r="A577" s="110"/>
      <c r="B577" s="111"/>
      <c r="C577" s="64"/>
      <c r="D577" s="64"/>
      <c r="E577" s="64"/>
      <c r="F577" s="64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64"/>
      <c r="V577" s="64"/>
      <c r="W577" s="64"/>
      <c r="X577" s="64"/>
      <c r="Y577" s="64"/>
    </row>
    <row r="578">
      <c r="A578" s="110"/>
      <c r="B578" s="111"/>
      <c r="C578" s="64"/>
      <c r="D578" s="64"/>
      <c r="E578" s="64"/>
      <c r="F578" s="64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64"/>
      <c r="V578" s="64"/>
      <c r="W578" s="64"/>
      <c r="X578" s="64"/>
      <c r="Y578" s="64"/>
    </row>
    <row r="579">
      <c r="A579" s="110"/>
      <c r="B579" s="111"/>
      <c r="C579" s="64"/>
      <c r="D579" s="64"/>
      <c r="E579" s="64"/>
      <c r="F579" s="64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64"/>
      <c r="V579" s="64"/>
      <c r="W579" s="64"/>
      <c r="X579" s="64"/>
      <c r="Y579" s="64"/>
    </row>
    <row r="580">
      <c r="A580" s="110"/>
      <c r="B580" s="111"/>
      <c r="C580" s="64"/>
      <c r="D580" s="64"/>
      <c r="E580" s="64"/>
      <c r="F580" s="64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64"/>
      <c r="V580" s="64"/>
      <c r="W580" s="64"/>
      <c r="X580" s="64"/>
      <c r="Y580" s="64"/>
    </row>
    <row r="581">
      <c r="A581" s="110"/>
      <c r="B581" s="111"/>
      <c r="C581" s="64"/>
      <c r="D581" s="64"/>
      <c r="E581" s="64"/>
      <c r="F581" s="64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64"/>
      <c r="V581" s="64"/>
      <c r="W581" s="64"/>
      <c r="X581" s="64"/>
      <c r="Y581" s="64"/>
    </row>
    <row r="582">
      <c r="A582" s="110"/>
      <c r="B582" s="111"/>
      <c r="C582" s="64"/>
      <c r="D582" s="64"/>
      <c r="E582" s="64"/>
      <c r="F582" s="64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64"/>
      <c r="V582" s="64"/>
      <c r="W582" s="64"/>
      <c r="X582" s="64"/>
      <c r="Y582" s="64"/>
    </row>
    <row r="583">
      <c r="A583" s="110"/>
      <c r="B583" s="111"/>
      <c r="C583" s="64"/>
      <c r="D583" s="64"/>
      <c r="E583" s="64"/>
      <c r="F583" s="64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64"/>
      <c r="V583" s="64"/>
      <c r="W583" s="64"/>
      <c r="X583" s="64"/>
      <c r="Y583" s="64"/>
    </row>
    <row r="584">
      <c r="A584" s="110"/>
      <c r="B584" s="111"/>
      <c r="C584" s="64"/>
      <c r="D584" s="64"/>
      <c r="E584" s="64"/>
      <c r="F584" s="64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64"/>
      <c r="V584" s="64"/>
      <c r="W584" s="64"/>
      <c r="X584" s="64"/>
      <c r="Y584" s="64"/>
    </row>
    <row r="585">
      <c r="A585" s="110"/>
      <c r="B585" s="111"/>
      <c r="C585" s="64"/>
      <c r="D585" s="64"/>
      <c r="E585" s="64"/>
      <c r="F585" s="64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64"/>
      <c r="V585" s="64"/>
      <c r="W585" s="64"/>
      <c r="X585" s="64"/>
      <c r="Y585" s="64"/>
    </row>
    <row r="586">
      <c r="A586" s="110"/>
      <c r="B586" s="111"/>
      <c r="C586" s="64"/>
      <c r="D586" s="64"/>
      <c r="E586" s="64"/>
      <c r="F586" s="64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64"/>
      <c r="V586" s="64"/>
      <c r="W586" s="64"/>
      <c r="X586" s="64"/>
      <c r="Y586" s="64"/>
    </row>
    <row r="587">
      <c r="A587" s="110"/>
      <c r="B587" s="111"/>
      <c r="C587" s="64"/>
      <c r="D587" s="64"/>
      <c r="E587" s="64"/>
      <c r="F587" s="64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64"/>
      <c r="V587" s="64"/>
      <c r="W587" s="64"/>
      <c r="X587" s="64"/>
      <c r="Y587" s="64"/>
    </row>
    <row r="588">
      <c r="A588" s="110"/>
      <c r="B588" s="111"/>
      <c r="C588" s="64"/>
      <c r="D588" s="64"/>
      <c r="E588" s="64"/>
      <c r="F588" s="64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64"/>
      <c r="V588" s="64"/>
      <c r="W588" s="64"/>
      <c r="X588" s="64"/>
      <c r="Y588" s="64"/>
    </row>
    <row r="589">
      <c r="A589" s="110"/>
      <c r="B589" s="111"/>
      <c r="C589" s="64"/>
      <c r="D589" s="64"/>
      <c r="E589" s="64"/>
      <c r="F589" s="64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64"/>
      <c r="V589" s="64"/>
      <c r="W589" s="64"/>
      <c r="X589" s="64"/>
      <c r="Y589" s="64"/>
    </row>
    <row r="590">
      <c r="A590" s="110"/>
      <c r="B590" s="111"/>
      <c r="C590" s="64"/>
      <c r="D590" s="64"/>
      <c r="E590" s="64"/>
      <c r="F590" s="64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64"/>
      <c r="V590" s="64"/>
      <c r="W590" s="64"/>
      <c r="X590" s="64"/>
      <c r="Y590" s="64"/>
    </row>
    <row r="591">
      <c r="A591" s="110"/>
      <c r="B591" s="111"/>
      <c r="C591" s="64"/>
      <c r="D591" s="64"/>
      <c r="E591" s="64"/>
      <c r="F591" s="64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64"/>
      <c r="V591" s="64"/>
      <c r="W591" s="64"/>
      <c r="X591" s="64"/>
      <c r="Y591" s="64"/>
    </row>
    <row r="592">
      <c r="A592" s="110"/>
      <c r="B592" s="111"/>
      <c r="C592" s="64"/>
      <c r="D592" s="64"/>
      <c r="E592" s="64"/>
      <c r="F592" s="64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64"/>
      <c r="V592" s="64"/>
      <c r="W592" s="64"/>
      <c r="X592" s="64"/>
      <c r="Y592" s="64"/>
    </row>
    <row r="593">
      <c r="A593" s="110"/>
      <c r="B593" s="111"/>
      <c r="C593" s="64"/>
      <c r="D593" s="64"/>
      <c r="E593" s="64"/>
      <c r="F593" s="64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64"/>
      <c r="V593" s="64"/>
      <c r="W593" s="64"/>
      <c r="X593" s="64"/>
      <c r="Y593" s="64"/>
    </row>
    <row r="594">
      <c r="A594" s="110"/>
      <c r="B594" s="111"/>
      <c r="C594" s="64"/>
      <c r="D594" s="64"/>
      <c r="E594" s="64"/>
      <c r="F594" s="64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64"/>
      <c r="V594" s="64"/>
      <c r="W594" s="64"/>
      <c r="X594" s="64"/>
      <c r="Y594" s="64"/>
    </row>
    <row r="595">
      <c r="A595" s="110"/>
      <c r="B595" s="111"/>
      <c r="C595" s="64"/>
      <c r="D595" s="64"/>
      <c r="E595" s="64"/>
      <c r="F595" s="64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64"/>
      <c r="V595" s="64"/>
      <c r="W595" s="64"/>
      <c r="X595" s="64"/>
      <c r="Y595" s="64"/>
    </row>
    <row r="596">
      <c r="A596" s="110"/>
      <c r="B596" s="111"/>
      <c r="C596" s="64"/>
      <c r="D596" s="64"/>
      <c r="E596" s="64"/>
      <c r="F596" s="64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64"/>
      <c r="V596" s="64"/>
      <c r="W596" s="64"/>
      <c r="X596" s="64"/>
      <c r="Y596" s="64"/>
    </row>
    <row r="597">
      <c r="A597" s="110"/>
      <c r="B597" s="111"/>
      <c r="C597" s="64"/>
      <c r="D597" s="64"/>
      <c r="E597" s="64"/>
      <c r="F597" s="64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64"/>
      <c r="V597" s="64"/>
      <c r="W597" s="64"/>
      <c r="X597" s="64"/>
      <c r="Y597" s="64"/>
    </row>
    <row r="598">
      <c r="A598" s="110"/>
      <c r="B598" s="111"/>
      <c r="C598" s="64"/>
      <c r="D598" s="64"/>
      <c r="E598" s="64"/>
      <c r="F598" s="64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64"/>
      <c r="V598" s="64"/>
      <c r="W598" s="64"/>
      <c r="X598" s="64"/>
      <c r="Y598" s="64"/>
    </row>
    <row r="599">
      <c r="A599" s="110"/>
      <c r="B599" s="111"/>
      <c r="C599" s="64"/>
      <c r="D599" s="64"/>
      <c r="E599" s="64"/>
      <c r="F599" s="64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64"/>
      <c r="V599" s="64"/>
      <c r="W599" s="64"/>
      <c r="X599" s="64"/>
      <c r="Y599" s="64"/>
    </row>
    <row r="600">
      <c r="A600" s="110"/>
      <c r="B600" s="111"/>
      <c r="C600" s="64"/>
      <c r="D600" s="64"/>
      <c r="E600" s="64"/>
      <c r="F600" s="64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64"/>
      <c r="V600" s="64"/>
      <c r="W600" s="64"/>
      <c r="X600" s="64"/>
      <c r="Y600" s="64"/>
    </row>
    <row r="601">
      <c r="A601" s="110"/>
      <c r="B601" s="111"/>
      <c r="C601" s="64"/>
      <c r="D601" s="64"/>
      <c r="E601" s="64"/>
      <c r="F601" s="64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64"/>
      <c r="V601" s="64"/>
      <c r="W601" s="64"/>
      <c r="X601" s="64"/>
      <c r="Y601" s="64"/>
    </row>
    <row r="602">
      <c r="A602" s="110"/>
      <c r="B602" s="111"/>
      <c r="C602" s="64"/>
      <c r="D602" s="64"/>
      <c r="E602" s="64"/>
      <c r="F602" s="64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64"/>
      <c r="V602" s="64"/>
      <c r="W602" s="64"/>
      <c r="X602" s="64"/>
      <c r="Y602" s="64"/>
    </row>
    <row r="603">
      <c r="A603" s="110"/>
      <c r="B603" s="111"/>
      <c r="C603" s="64"/>
      <c r="D603" s="64"/>
      <c r="E603" s="64"/>
      <c r="F603" s="64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64"/>
      <c r="V603" s="64"/>
      <c r="W603" s="64"/>
      <c r="X603" s="64"/>
      <c r="Y603" s="64"/>
    </row>
    <row r="604">
      <c r="A604" s="110"/>
      <c r="B604" s="111"/>
      <c r="C604" s="64"/>
      <c r="D604" s="64"/>
      <c r="E604" s="64"/>
      <c r="F604" s="64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64"/>
      <c r="V604" s="64"/>
      <c r="W604" s="64"/>
      <c r="X604" s="64"/>
      <c r="Y604" s="64"/>
    </row>
    <row r="605">
      <c r="A605" s="110"/>
      <c r="B605" s="111"/>
      <c r="C605" s="64"/>
      <c r="D605" s="64"/>
      <c r="E605" s="64"/>
      <c r="F605" s="64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64"/>
      <c r="V605" s="64"/>
      <c r="W605" s="64"/>
      <c r="X605" s="64"/>
      <c r="Y605" s="64"/>
    </row>
    <row r="606">
      <c r="A606" s="110"/>
      <c r="B606" s="111"/>
      <c r="C606" s="64"/>
      <c r="D606" s="64"/>
      <c r="E606" s="64"/>
      <c r="F606" s="64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64"/>
      <c r="V606" s="64"/>
      <c r="W606" s="64"/>
      <c r="X606" s="64"/>
      <c r="Y606" s="64"/>
    </row>
    <row r="607">
      <c r="A607" s="110"/>
      <c r="B607" s="111"/>
      <c r="C607" s="64"/>
      <c r="D607" s="64"/>
      <c r="E607" s="64"/>
      <c r="F607" s="64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64"/>
      <c r="V607" s="64"/>
      <c r="W607" s="64"/>
      <c r="X607" s="64"/>
      <c r="Y607" s="64"/>
    </row>
    <row r="608">
      <c r="A608" s="110"/>
      <c r="B608" s="111"/>
      <c r="C608" s="64"/>
      <c r="D608" s="64"/>
      <c r="E608" s="64"/>
      <c r="F608" s="64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64"/>
      <c r="V608" s="64"/>
      <c r="W608" s="64"/>
      <c r="X608" s="64"/>
      <c r="Y608" s="64"/>
    </row>
    <row r="609">
      <c r="A609" s="110"/>
      <c r="B609" s="111"/>
      <c r="C609" s="64"/>
      <c r="D609" s="64"/>
      <c r="E609" s="64"/>
      <c r="F609" s="64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64"/>
      <c r="V609" s="64"/>
      <c r="W609" s="64"/>
      <c r="X609" s="64"/>
      <c r="Y609" s="64"/>
    </row>
    <row r="610">
      <c r="A610" s="110"/>
      <c r="B610" s="111"/>
      <c r="C610" s="64"/>
      <c r="D610" s="64"/>
      <c r="E610" s="64"/>
      <c r="F610" s="64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64"/>
      <c r="V610" s="64"/>
      <c r="W610" s="64"/>
      <c r="X610" s="64"/>
      <c r="Y610" s="64"/>
    </row>
    <row r="611">
      <c r="A611" s="110"/>
      <c r="B611" s="111"/>
      <c r="C611" s="64"/>
      <c r="D611" s="64"/>
      <c r="E611" s="64"/>
      <c r="F611" s="64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64"/>
      <c r="V611" s="64"/>
      <c r="W611" s="64"/>
      <c r="X611" s="64"/>
      <c r="Y611" s="64"/>
    </row>
    <row r="612">
      <c r="A612" s="110"/>
      <c r="B612" s="111"/>
      <c r="C612" s="64"/>
      <c r="D612" s="64"/>
      <c r="E612" s="64"/>
      <c r="F612" s="64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64"/>
      <c r="V612" s="64"/>
      <c r="W612" s="64"/>
      <c r="X612" s="64"/>
      <c r="Y612" s="64"/>
    </row>
    <row r="613">
      <c r="A613" s="110"/>
      <c r="B613" s="111"/>
      <c r="C613" s="64"/>
      <c r="D613" s="64"/>
      <c r="E613" s="64"/>
      <c r="F613" s="64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64"/>
      <c r="V613" s="64"/>
      <c r="W613" s="64"/>
      <c r="X613" s="64"/>
      <c r="Y613" s="64"/>
    </row>
    <row r="614">
      <c r="A614" s="110"/>
      <c r="B614" s="111"/>
      <c r="C614" s="64"/>
      <c r="D614" s="64"/>
      <c r="E614" s="64"/>
      <c r="F614" s="64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64"/>
      <c r="V614" s="64"/>
      <c r="W614" s="64"/>
      <c r="X614" s="64"/>
      <c r="Y614" s="64"/>
    </row>
    <row r="615">
      <c r="A615" s="110"/>
      <c r="B615" s="111"/>
      <c r="C615" s="64"/>
      <c r="D615" s="64"/>
      <c r="E615" s="64"/>
      <c r="F615" s="64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64"/>
      <c r="V615" s="64"/>
      <c r="W615" s="64"/>
      <c r="X615" s="64"/>
      <c r="Y615" s="64"/>
    </row>
    <row r="616">
      <c r="A616" s="110"/>
      <c r="B616" s="111"/>
      <c r="C616" s="64"/>
      <c r="D616" s="64"/>
      <c r="E616" s="64"/>
      <c r="F616" s="64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64"/>
      <c r="V616" s="64"/>
      <c r="W616" s="64"/>
      <c r="X616" s="64"/>
      <c r="Y616" s="64"/>
    </row>
    <row r="617">
      <c r="A617" s="110"/>
      <c r="B617" s="111"/>
      <c r="C617" s="64"/>
      <c r="D617" s="64"/>
      <c r="E617" s="64"/>
      <c r="F617" s="64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64"/>
      <c r="V617" s="64"/>
      <c r="W617" s="64"/>
      <c r="X617" s="64"/>
      <c r="Y617" s="64"/>
    </row>
    <row r="618">
      <c r="A618" s="110"/>
      <c r="B618" s="111"/>
      <c r="C618" s="64"/>
      <c r="D618" s="64"/>
      <c r="E618" s="64"/>
      <c r="F618" s="64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64"/>
      <c r="V618" s="64"/>
      <c r="W618" s="64"/>
      <c r="X618" s="64"/>
      <c r="Y618" s="64"/>
    </row>
    <row r="619">
      <c r="A619" s="110"/>
      <c r="B619" s="111"/>
      <c r="C619" s="64"/>
      <c r="D619" s="64"/>
      <c r="E619" s="64"/>
      <c r="F619" s="64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64"/>
      <c r="V619" s="64"/>
      <c r="W619" s="64"/>
      <c r="X619" s="64"/>
      <c r="Y619" s="64"/>
    </row>
    <row r="620">
      <c r="A620" s="110"/>
      <c r="B620" s="111"/>
      <c r="C620" s="64"/>
      <c r="D620" s="64"/>
      <c r="E620" s="64"/>
      <c r="F620" s="64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64"/>
      <c r="V620" s="64"/>
      <c r="W620" s="64"/>
      <c r="X620" s="64"/>
      <c r="Y620" s="64"/>
    </row>
    <row r="621">
      <c r="A621" s="110"/>
      <c r="B621" s="111"/>
      <c r="C621" s="64"/>
      <c r="D621" s="64"/>
      <c r="E621" s="64"/>
      <c r="F621" s="64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64"/>
      <c r="V621" s="64"/>
      <c r="W621" s="64"/>
      <c r="X621" s="64"/>
      <c r="Y621" s="64"/>
    </row>
    <row r="622">
      <c r="A622" s="110"/>
      <c r="B622" s="111"/>
      <c r="C622" s="64"/>
      <c r="D622" s="64"/>
      <c r="E622" s="64"/>
      <c r="F622" s="64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64"/>
      <c r="V622" s="64"/>
      <c r="W622" s="64"/>
      <c r="X622" s="64"/>
      <c r="Y622" s="64"/>
    </row>
    <row r="623">
      <c r="A623" s="110"/>
      <c r="B623" s="111"/>
      <c r="C623" s="64"/>
      <c r="D623" s="64"/>
      <c r="E623" s="64"/>
      <c r="F623" s="64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64"/>
      <c r="V623" s="64"/>
      <c r="W623" s="64"/>
      <c r="X623" s="64"/>
      <c r="Y623" s="64"/>
    </row>
    <row r="624">
      <c r="A624" s="110"/>
      <c r="B624" s="111"/>
      <c r="C624" s="64"/>
      <c r="D624" s="64"/>
      <c r="E624" s="64"/>
      <c r="F624" s="64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64"/>
      <c r="V624" s="64"/>
      <c r="W624" s="64"/>
      <c r="X624" s="64"/>
      <c r="Y624" s="64"/>
    </row>
    <row r="625">
      <c r="A625" s="110"/>
      <c r="B625" s="111"/>
      <c r="C625" s="64"/>
      <c r="D625" s="64"/>
      <c r="E625" s="64"/>
      <c r="F625" s="64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64"/>
      <c r="V625" s="64"/>
      <c r="W625" s="64"/>
      <c r="X625" s="64"/>
      <c r="Y625" s="64"/>
    </row>
    <row r="626">
      <c r="A626" s="110"/>
      <c r="B626" s="111"/>
      <c r="C626" s="64"/>
      <c r="D626" s="64"/>
      <c r="E626" s="64"/>
      <c r="F626" s="64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64"/>
      <c r="V626" s="64"/>
      <c r="W626" s="64"/>
      <c r="X626" s="64"/>
      <c r="Y626" s="64"/>
    </row>
    <row r="627">
      <c r="A627" s="110"/>
      <c r="B627" s="111"/>
      <c r="C627" s="64"/>
      <c r="D627" s="64"/>
      <c r="E627" s="64"/>
      <c r="F627" s="64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64"/>
      <c r="V627" s="64"/>
      <c r="W627" s="64"/>
      <c r="X627" s="64"/>
      <c r="Y627" s="64"/>
    </row>
    <row r="628">
      <c r="A628" s="110"/>
      <c r="B628" s="111"/>
      <c r="C628" s="64"/>
      <c r="D628" s="64"/>
      <c r="E628" s="64"/>
      <c r="F628" s="64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64"/>
      <c r="V628" s="64"/>
      <c r="W628" s="64"/>
      <c r="X628" s="64"/>
      <c r="Y628" s="64"/>
    </row>
    <row r="629">
      <c r="A629" s="110"/>
      <c r="B629" s="111"/>
      <c r="C629" s="64"/>
      <c r="D629" s="64"/>
      <c r="E629" s="64"/>
      <c r="F629" s="64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64"/>
      <c r="V629" s="64"/>
      <c r="W629" s="64"/>
      <c r="X629" s="64"/>
      <c r="Y629" s="64"/>
    </row>
    <row r="630">
      <c r="A630" s="110"/>
      <c r="B630" s="111"/>
      <c r="C630" s="64"/>
      <c r="D630" s="64"/>
      <c r="E630" s="64"/>
      <c r="F630" s="64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64"/>
      <c r="V630" s="64"/>
      <c r="W630" s="64"/>
      <c r="X630" s="64"/>
      <c r="Y630" s="64"/>
    </row>
    <row r="631">
      <c r="A631" s="110"/>
      <c r="B631" s="111"/>
      <c r="C631" s="64"/>
      <c r="D631" s="64"/>
      <c r="E631" s="64"/>
      <c r="F631" s="64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64"/>
      <c r="V631" s="64"/>
      <c r="W631" s="64"/>
      <c r="X631" s="64"/>
      <c r="Y631" s="64"/>
    </row>
    <row r="632">
      <c r="A632" s="110"/>
      <c r="B632" s="111"/>
      <c r="C632" s="64"/>
      <c r="D632" s="64"/>
      <c r="E632" s="64"/>
      <c r="F632" s="64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64"/>
      <c r="V632" s="64"/>
      <c r="W632" s="64"/>
      <c r="X632" s="64"/>
      <c r="Y632" s="64"/>
    </row>
    <row r="633">
      <c r="A633" s="110"/>
      <c r="B633" s="111"/>
      <c r="C633" s="64"/>
      <c r="D633" s="64"/>
      <c r="E633" s="64"/>
      <c r="F633" s="64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64"/>
      <c r="V633" s="64"/>
      <c r="W633" s="64"/>
      <c r="X633" s="64"/>
      <c r="Y633" s="64"/>
    </row>
    <row r="634">
      <c r="A634" s="110"/>
      <c r="B634" s="111"/>
      <c r="C634" s="64"/>
      <c r="D634" s="64"/>
      <c r="E634" s="64"/>
      <c r="F634" s="64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64"/>
      <c r="V634" s="64"/>
      <c r="W634" s="64"/>
      <c r="X634" s="64"/>
      <c r="Y634" s="64"/>
    </row>
    <row r="635">
      <c r="A635" s="110"/>
      <c r="B635" s="111"/>
      <c r="C635" s="64"/>
      <c r="D635" s="64"/>
      <c r="E635" s="64"/>
      <c r="F635" s="64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64"/>
      <c r="V635" s="64"/>
      <c r="W635" s="64"/>
      <c r="X635" s="64"/>
      <c r="Y635" s="64"/>
    </row>
    <row r="636">
      <c r="A636" s="110"/>
      <c r="B636" s="111"/>
      <c r="C636" s="64"/>
      <c r="D636" s="64"/>
      <c r="E636" s="64"/>
      <c r="F636" s="64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64"/>
      <c r="V636" s="64"/>
      <c r="W636" s="64"/>
      <c r="X636" s="64"/>
      <c r="Y636" s="64"/>
    </row>
    <row r="637">
      <c r="A637" s="110"/>
      <c r="B637" s="111"/>
      <c r="C637" s="64"/>
      <c r="D637" s="64"/>
      <c r="E637" s="64"/>
      <c r="F637" s="64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64"/>
      <c r="V637" s="64"/>
      <c r="W637" s="64"/>
      <c r="X637" s="64"/>
      <c r="Y637" s="64"/>
    </row>
    <row r="638">
      <c r="A638" s="110"/>
      <c r="B638" s="111"/>
      <c r="C638" s="64"/>
      <c r="D638" s="64"/>
      <c r="E638" s="64"/>
      <c r="F638" s="64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64"/>
      <c r="V638" s="64"/>
      <c r="W638" s="64"/>
      <c r="X638" s="64"/>
      <c r="Y638" s="64"/>
    </row>
    <row r="639">
      <c r="A639" s="110"/>
      <c r="B639" s="111"/>
      <c r="C639" s="64"/>
      <c r="D639" s="64"/>
      <c r="E639" s="64"/>
      <c r="F639" s="64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64"/>
      <c r="V639" s="64"/>
      <c r="W639" s="64"/>
      <c r="X639" s="64"/>
      <c r="Y639" s="64"/>
    </row>
    <row r="640">
      <c r="A640" s="110"/>
      <c r="B640" s="111"/>
      <c r="C640" s="64"/>
      <c r="D640" s="64"/>
      <c r="E640" s="64"/>
      <c r="F640" s="64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64"/>
      <c r="V640" s="64"/>
      <c r="W640" s="64"/>
      <c r="X640" s="64"/>
      <c r="Y640" s="64"/>
    </row>
    <row r="641">
      <c r="A641" s="110"/>
      <c r="B641" s="111"/>
      <c r="C641" s="64"/>
      <c r="D641" s="64"/>
      <c r="E641" s="64"/>
      <c r="F641" s="64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64"/>
      <c r="V641" s="64"/>
      <c r="W641" s="64"/>
      <c r="X641" s="64"/>
      <c r="Y641" s="64"/>
    </row>
    <row r="642">
      <c r="A642" s="110"/>
      <c r="B642" s="111"/>
      <c r="C642" s="64"/>
      <c r="D642" s="64"/>
      <c r="E642" s="64"/>
      <c r="F642" s="64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64"/>
      <c r="V642" s="64"/>
      <c r="W642" s="64"/>
      <c r="X642" s="64"/>
      <c r="Y642" s="64"/>
    </row>
    <row r="643">
      <c r="A643" s="110"/>
      <c r="B643" s="111"/>
      <c r="C643" s="64"/>
      <c r="D643" s="64"/>
      <c r="E643" s="64"/>
      <c r="F643" s="64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64"/>
      <c r="V643" s="64"/>
      <c r="W643" s="64"/>
      <c r="X643" s="64"/>
      <c r="Y643" s="64"/>
    </row>
    <row r="644">
      <c r="A644" s="110"/>
      <c r="B644" s="111"/>
      <c r="C644" s="64"/>
      <c r="D644" s="64"/>
      <c r="E644" s="64"/>
      <c r="F644" s="64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64"/>
      <c r="V644" s="64"/>
      <c r="W644" s="64"/>
      <c r="X644" s="64"/>
      <c r="Y644" s="64"/>
    </row>
    <row r="645">
      <c r="A645" s="110"/>
      <c r="B645" s="111"/>
      <c r="C645" s="64"/>
      <c r="D645" s="64"/>
      <c r="E645" s="64"/>
      <c r="F645" s="64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64"/>
      <c r="V645" s="64"/>
      <c r="W645" s="64"/>
      <c r="X645" s="64"/>
      <c r="Y645" s="64"/>
    </row>
    <row r="646">
      <c r="A646" s="110"/>
      <c r="B646" s="111"/>
      <c r="C646" s="64"/>
      <c r="D646" s="64"/>
      <c r="E646" s="64"/>
      <c r="F646" s="64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64"/>
      <c r="V646" s="64"/>
      <c r="W646" s="64"/>
      <c r="X646" s="64"/>
      <c r="Y646" s="64"/>
    </row>
    <row r="647">
      <c r="A647" s="110"/>
      <c r="B647" s="111"/>
      <c r="C647" s="64"/>
      <c r="D647" s="64"/>
      <c r="E647" s="64"/>
      <c r="F647" s="64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64"/>
      <c r="V647" s="64"/>
      <c r="W647" s="64"/>
      <c r="X647" s="64"/>
      <c r="Y647" s="64"/>
    </row>
    <row r="648">
      <c r="A648" s="110"/>
      <c r="B648" s="111"/>
      <c r="C648" s="64"/>
      <c r="D648" s="64"/>
      <c r="E648" s="64"/>
      <c r="F648" s="64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64"/>
      <c r="V648" s="64"/>
      <c r="W648" s="64"/>
      <c r="X648" s="64"/>
      <c r="Y648" s="64"/>
    </row>
    <row r="649">
      <c r="A649" s="110"/>
      <c r="B649" s="111"/>
      <c r="C649" s="64"/>
      <c r="D649" s="64"/>
      <c r="E649" s="64"/>
      <c r="F649" s="64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64"/>
      <c r="V649" s="64"/>
      <c r="W649" s="64"/>
      <c r="X649" s="64"/>
      <c r="Y649" s="64"/>
    </row>
    <row r="650">
      <c r="A650" s="110"/>
      <c r="B650" s="111"/>
      <c r="C650" s="64"/>
      <c r="D650" s="64"/>
      <c r="E650" s="64"/>
      <c r="F650" s="64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64"/>
      <c r="V650" s="64"/>
      <c r="W650" s="64"/>
      <c r="X650" s="64"/>
      <c r="Y650" s="64"/>
    </row>
    <row r="651">
      <c r="A651" s="110"/>
      <c r="B651" s="111"/>
      <c r="C651" s="64"/>
      <c r="D651" s="64"/>
      <c r="E651" s="64"/>
      <c r="F651" s="64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64"/>
      <c r="V651" s="64"/>
      <c r="W651" s="64"/>
      <c r="X651" s="64"/>
      <c r="Y651" s="64"/>
    </row>
    <row r="652">
      <c r="A652" s="110"/>
      <c r="B652" s="111"/>
      <c r="C652" s="64"/>
      <c r="D652" s="64"/>
      <c r="E652" s="64"/>
      <c r="F652" s="64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64"/>
      <c r="V652" s="64"/>
      <c r="W652" s="64"/>
      <c r="X652" s="64"/>
      <c r="Y652" s="64"/>
    </row>
    <row r="653">
      <c r="A653" s="110"/>
      <c r="B653" s="111"/>
      <c r="C653" s="64"/>
      <c r="D653" s="64"/>
      <c r="E653" s="64"/>
      <c r="F653" s="64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64"/>
      <c r="V653" s="64"/>
      <c r="W653" s="64"/>
      <c r="X653" s="64"/>
      <c r="Y653" s="64"/>
    </row>
    <row r="654">
      <c r="A654" s="110"/>
      <c r="B654" s="111"/>
      <c r="C654" s="64"/>
      <c r="D654" s="64"/>
      <c r="E654" s="64"/>
      <c r="F654" s="64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64"/>
      <c r="V654" s="64"/>
      <c r="W654" s="64"/>
      <c r="X654" s="64"/>
      <c r="Y654" s="64"/>
    </row>
    <row r="655">
      <c r="A655" s="110"/>
      <c r="B655" s="111"/>
      <c r="C655" s="64"/>
      <c r="D655" s="64"/>
      <c r="E655" s="64"/>
      <c r="F655" s="64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64"/>
      <c r="V655" s="64"/>
      <c r="W655" s="64"/>
      <c r="X655" s="64"/>
      <c r="Y655" s="64"/>
    </row>
    <row r="656">
      <c r="A656" s="110"/>
      <c r="B656" s="111"/>
      <c r="C656" s="64"/>
      <c r="D656" s="64"/>
      <c r="E656" s="64"/>
      <c r="F656" s="64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64"/>
      <c r="V656" s="64"/>
      <c r="W656" s="64"/>
      <c r="X656" s="64"/>
      <c r="Y656" s="64"/>
    </row>
    <row r="657">
      <c r="A657" s="110"/>
      <c r="B657" s="111"/>
      <c r="C657" s="64"/>
      <c r="D657" s="64"/>
      <c r="E657" s="64"/>
      <c r="F657" s="64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64"/>
      <c r="V657" s="64"/>
      <c r="W657" s="64"/>
      <c r="X657" s="64"/>
      <c r="Y657" s="64"/>
    </row>
    <row r="658">
      <c r="A658" s="110"/>
      <c r="B658" s="111"/>
      <c r="C658" s="64"/>
      <c r="D658" s="64"/>
      <c r="E658" s="64"/>
      <c r="F658" s="64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64"/>
      <c r="V658" s="64"/>
      <c r="W658" s="64"/>
      <c r="X658" s="64"/>
      <c r="Y658" s="64"/>
    </row>
    <row r="659">
      <c r="A659" s="110"/>
      <c r="B659" s="111"/>
      <c r="C659" s="64"/>
      <c r="D659" s="64"/>
      <c r="E659" s="64"/>
      <c r="F659" s="64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64"/>
      <c r="V659" s="64"/>
      <c r="W659" s="64"/>
      <c r="X659" s="64"/>
      <c r="Y659" s="64"/>
    </row>
    <row r="660">
      <c r="A660" s="110"/>
      <c r="B660" s="111"/>
      <c r="C660" s="64"/>
      <c r="D660" s="64"/>
      <c r="E660" s="64"/>
      <c r="F660" s="64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64"/>
      <c r="V660" s="64"/>
      <c r="W660" s="64"/>
      <c r="X660" s="64"/>
      <c r="Y660" s="64"/>
    </row>
    <row r="661">
      <c r="A661" s="110"/>
      <c r="B661" s="111"/>
      <c r="C661" s="64"/>
      <c r="D661" s="64"/>
      <c r="E661" s="64"/>
      <c r="F661" s="64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64"/>
      <c r="V661" s="64"/>
      <c r="W661" s="64"/>
      <c r="X661" s="64"/>
      <c r="Y661" s="64"/>
    </row>
    <row r="662">
      <c r="A662" s="110"/>
      <c r="B662" s="111"/>
      <c r="C662" s="64"/>
      <c r="D662" s="64"/>
      <c r="E662" s="64"/>
      <c r="F662" s="64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64"/>
      <c r="V662" s="64"/>
      <c r="W662" s="64"/>
      <c r="X662" s="64"/>
      <c r="Y662" s="64"/>
    </row>
    <row r="663">
      <c r="A663" s="110"/>
      <c r="B663" s="111"/>
      <c r="C663" s="64"/>
      <c r="D663" s="64"/>
      <c r="E663" s="64"/>
      <c r="F663" s="64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64"/>
      <c r="V663" s="64"/>
      <c r="W663" s="64"/>
      <c r="X663" s="64"/>
      <c r="Y663" s="64"/>
    </row>
  </sheetData>
  <dataValidations>
    <dataValidation type="list" allowBlank="1" sqref="F6 F8:F11 F14:F16 F19:F20 F23:F24 F27:F35 F37:F38 F40:F43 F45:F48 F50:F51 F53:F59 F73:F74">
      <formula1>Menu!$B$73:$B$84</formula1>
    </dataValidation>
    <dataValidation type="list" allowBlank="1" sqref="D5:D7 D9:D11 D14 D16:D22 D24 D27:D30 D33 D36:D42 D45:D47 D51 D56 D58:D60 D69:D70 D73:D74">
      <formula1>Menu!$B$19:$B$27</formula1>
    </dataValidation>
    <dataValidation type="list" allowBlank="1" sqref="D8 D15 D25:D26 D31:D32 D34:D35 D43:D44 D48 D50 D52:D55 D57 D71:D72">
      <formula1>Menu!$B$19:$B$26</formula1>
    </dataValidation>
    <dataValidation type="list" allowBlank="1" sqref="C49">
      <formula1>#REF!</formula1>
    </dataValidation>
    <dataValidation type="list" allowBlank="1" sqref="E49">
      <formula1>#REF!</formula1>
    </dataValidation>
    <dataValidation type="list" allowBlank="1" sqref="F49">
      <formula1>#REF!</formula1>
    </dataValidation>
    <dataValidation type="list" allowBlank="1" sqref="C5:C11 C14:C48 C51 C54:C74">
      <formula1>Menu!$B$2:$B$16</formula1>
    </dataValidation>
    <dataValidation type="list" allowBlank="1" sqref="D49">
      <formula1>#REF!</formula1>
    </dataValidation>
    <dataValidation type="list" allowBlank="1" sqref="H29 H34">
      <formula1>Menu!$A$1</formula1>
    </dataValidation>
    <dataValidation type="list" allowBlank="1" sqref="C50 C52:C53">
      <formula1>Menu!$B$2:$B$15</formula1>
    </dataValidation>
    <dataValidation type="list" allowBlank="1" sqref="D23">
      <formula1>Menu!$B$19:$B$25</formula1>
    </dataValidation>
    <dataValidation type="list" allowBlank="1" sqref="H49">
      <formula1>#REF!</formula1>
    </dataValidation>
    <dataValidation type="list" allowBlank="1" sqref="E5:E11 E14:E48 E50:E60 E69:E74">
      <formula1>Menu!$B$36:$B$58</formula1>
    </dataValidation>
    <dataValidation type="list" allowBlank="1" sqref="F5 F17:F18 F21:F22 F25:F26 F39 F44 F52 F60 F69:F70 F72">
      <formula1>Menu!$B$73:$B$86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5.0"/>
    <col customWidth="1" min="3" max="3" width="13.5"/>
    <col customWidth="1" min="4" max="4" width="17.13"/>
    <col customWidth="1" min="5" max="5" width="18.0"/>
    <col customWidth="1" min="6" max="6" width="18.63"/>
    <col customWidth="1" min="7" max="7" width="25.5"/>
    <col customWidth="1" min="9" max="9" width="16.5"/>
  </cols>
  <sheetData>
    <row r="1" ht="30.0" customHeight="1">
      <c r="A1" s="1" t="s">
        <v>0</v>
      </c>
      <c r="B1" s="1"/>
      <c r="C1" s="1"/>
      <c r="D1" s="1"/>
      <c r="E1" s="1"/>
      <c r="F1" s="1"/>
      <c r="G1" s="5"/>
      <c r="H1" s="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2"/>
      <c r="X1" s="12"/>
      <c r="Y1" s="12"/>
    </row>
    <row r="2" ht="30.0" customHeight="1">
      <c r="A2" s="15" t="s">
        <v>21</v>
      </c>
      <c r="B2" s="18"/>
      <c r="C2" s="18"/>
      <c r="D2" s="18"/>
      <c r="E2" s="1"/>
      <c r="F2" s="1"/>
      <c r="G2" s="5"/>
      <c r="H2" s="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2"/>
      <c r="X2" s="12"/>
      <c r="Y2" s="12"/>
    </row>
    <row r="3" ht="30.0" customHeight="1">
      <c r="A3" s="22" t="s">
        <v>26</v>
      </c>
      <c r="B3" s="3"/>
      <c r="C3" s="3"/>
      <c r="D3" s="3"/>
      <c r="E3" s="3"/>
      <c r="F3" s="3"/>
      <c r="G3" s="5"/>
      <c r="H3" s="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2"/>
      <c r="X3" s="12"/>
      <c r="Y3" s="12"/>
    </row>
    <row r="4" ht="30.0" customHeight="1">
      <c r="A4" s="85" t="s">
        <v>34</v>
      </c>
      <c r="B4" s="3"/>
      <c r="C4" s="27" t="s">
        <v>38</v>
      </c>
      <c r="D4" s="29" t="s">
        <v>41</v>
      </c>
      <c r="E4" s="29" t="s">
        <v>44</v>
      </c>
      <c r="F4" s="29" t="s">
        <v>46</v>
      </c>
      <c r="G4" s="30"/>
      <c r="H4" s="30"/>
      <c r="I4" s="36" t="str">
        <f>IFERROR(__xludf.DUMMYFUNCTION("QUERY(A5:H102, ""Select C, count(A), H group by C, H order by H"")"),"")</f>
        <v/>
      </c>
      <c r="J4" s="39" t="str">
        <f>IFERROR(__xludf.DUMMYFUNCTION("""COMPUTED_VALUE"""),"count ")</f>
        <v>count </v>
      </c>
      <c r="K4" s="36" t="str">
        <f>IFERROR(__xludf.DUMMYFUNCTION("""COMPUTED_VALUE"""),"")</f>
        <v/>
      </c>
      <c r="L4" s="36" t="str">
        <f>IFERROR(__xludf.DUMMYFUNCTION("QUERY(A5:H102, ""Select D, count(A), H group by D, H order by H"")"),"")</f>
        <v/>
      </c>
      <c r="M4" s="36" t="str">
        <f>IFERROR(__xludf.DUMMYFUNCTION("""COMPUTED_VALUE"""),"count ")</f>
        <v>count </v>
      </c>
      <c r="N4" s="5" t="str">
        <f>IFERROR(__xludf.DUMMYFUNCTION("""COMPUTED_VALUE"""),"")</f>
        <v/>
      </c>
      <c r="O4" s="86"/>
      <c r="P4" s="5"/>
      <c r="Q4" s="10"/>
      <c r="R4" s="10"/>
      <c r="S4" s="10"/>
      <c r="T4" s="10"/>
      <c r="U4" s="10"/>
      <c r="V4" s="10"/>
      <c r="W4" s="12"/>
      <c r="X4" s="12"/>
      <c r="Y4" s="12"/>
    </row>
    <row r="5" ht="30.0" customHeight="1">
      <c r="A5" s="44" t="s">
        <v>148</v>
      </c>
      <c r="B5" s="87">
        <v>1.0</v>
      </c>
      <c r="C5" s="51" t="s">
        <v>33</v>
      </c>
      <c r="D5" s="51" t="s">
        <v>48</v>
      </c>
      <c r="E5" s="51" t="s">
        <v>73</v>
      </c>
      <c r="F5" s="51"/>
      <c r="G5" s="55" t="str">
        <f t="shared" ref="G5:G38" si="1"> CONCATENATE(E5," ", F5)</f>
        <v>Бл. твор </v>
      </c>
      <c r="H5" s="57" t="s">
        <v>1</v>
      </c>
      <c r="I5" s="10"/>
      <c r="J5" s="10">
        <f>IFERROR(__xludf.DUMMYFUNCTION("""COMPUTED_VALUE"""),0.0)</f>
        <v>0</v>
      </c>
      <c r="K5" s="10"/>
      <c r="L5" s="10"/>
      <c r="M5" s="10">
        <f>IFERROR(__xludf.DUMMYFUNCTION("""COMPUTED_VALUE"""),1.0)</f>
        <v>1</v>
      </c>
      <c r="N5" s="10"/>
      <c r="O5" s="10"/>
      <c r="P5" s="10"/>
      <c r="Q5" s="10"/>
      <c r="R5" s="10"/>
      <c r="S5" s="10"/>
      <c r="T5" s="10"/>
      <c r="U5" s="10"/>
      <c r="V5" s="10"/>
      <c r="W5" s="12"/>
      <c r="X5" s="12"/>
      <c r="Y5" s="12"/>
    </row>
    <row r="6" ht="30.0" customHeight="1">
      <c r="A6" s="3" t="s">
        <v>62</v>
      </c>
      <c r="B6" s="47">
        <v>2.0</v>
      </c>
      <c r="C6" s="51" t="s">
        <v>35</v>
      </c>
      <c r="D6" s="51" t="s">
        <v>52</v>
      </c>
      <c r="E6" s="51" t="s">
        <v>97</v>
      </c>
      <c r="F6" s="51" t="s">
        <v>68</v>
      </c>
      <c r="G6" s="55" t="str">
        <f t="shared" si="1"/>
        <v>Шницель Картошка</v>
      </c>
      <c r="H6" s="57" t="s">
        <v>1</v>
      </c>
      <c r="I6" s="10" t="str">
        <f>IFERROR(__xludf.DUMMYFUNCTION("""COMPUTED_VALUE"""),"cosher")</f>
        <v>cosher</v>
      </c>
      <c r="J6" s="10">
        <f>IFERROR(__xludf.DUMMYFUNCTION("""COMPUTED_VALUE"""),1.0)</f>
        <v>1</v>
      </c>
      <c r="K6" s="10"/>
      <c r="L6" s="10" t="str">
        <f>IFERROR(__xludf.DUMMYFUNCTION("""COMPUTED_VALUE"""),"Кур ")</f>
        <v>Кур </v>
      </c>
      <c r="M6" s="10">
        <f>IFERROR(__xludf.DUMMYFUNCTION("""COMPUTED_VALUE"""),1.0)</f>
        <v>1</v>
      </c>
      <c r="N6" s="10"/>
      <c r="O6" s="10"/>
      <c r="P6" s="10"/>
      <c r="Q6" s="10"/>
      <c r="R6" s="10"/>
      <c r="S6" s="10"/>
      <c r="T6" s="10"/>
      <c r="U6" s="10"/>
      <c r="V6" s="10"/>
      <c r="W6" s="12"/>
      <c r="X6" s="12"/>
      <c r="Y6" s="12"/>
    </row>
    <row r="7" ht="30.0" customHeight="1">
      <c r="A7" s="3" t="s">
        <v>157</v>
      </c>
      <c r="B7" s="87">
        <v>3.0</v>
      </c>
      <c r="C7" s="51" t="s">
        <v>35</v>
      </c>
      <c r="D7" s="51" t="s">
        <v>50</v>
      </c>
      <c r="E7" s="51" t="s">
        <v>67</v>
      </c>
      <c r="F7" s="51" t="s">
        <v>103</v>
      </c>
      <c r="G7" s="55" t="str">
        <f t="shared" si="1"/>
        <v>S   Гр  </v>
      </c>
      <c r="H7" s="57" t="s">
        <v>1</v>
      </c>
      <c r="I7" s="10" t="str">
        <f>IFERROR(__xludf.DUMMYFUNCTION("""COMPUTED_VALUE"""),"Днестр")</f>
        <v>Днестр</v>
      </c>
      <c r="J7" s="10">
        <f>IFERROR(__xludf.DUMMYFUNCTION("""COMPUTED_VALUE"""),1.0)</f>
        <v>1</v>
      </c>
      <c r="K7" s="10"/>
      <c r="L7" s="10"/>
      <c r="M7" s="10">
        <f>IFERROR(__xludf.DUMMYFUNCTION("""COMPUTED_VALUE"""),1.0)</f>
        <v>1</v>
      </c>
      <c r="N7" s="10" t="str">
        <f>IFERROR(__xludf.DUMMYFUNCTION("""COMPUTED_VALUE"""),"Олимп")</f>
        <v>Олимп</v>
      </c>
      <c r="O7" s="10"/>
      <c r="P7" s="10"/>
      <c r="Q7" s="10"/>
      <c r="R7" s="10"/>
      <c r="S7" s="10"/>
      <c r="T7" s="10"/>
      <c r="U7" s="10"/>
      <c r="V7" s="10"/>
      <c r="W7" s="12"/>
      <c r="X7" s="12"/>
      <c r="Y7" s="12"/>
    </row>
    <row r="8" ht="30.0" customHeight="1">
      <c r="A8" s="3" t="s">
        <v>160</v>
      </c>
      <c r="B8" s="47">
        <v>4.0</v>
      </c>
      <c r="C8" s="51" t="s">
        <v>45</v>
      </c>
      <c r="D8" s="51" t="s">
        <v>57</v>
      </c>
      <c r="E8" s="51" t="s">
        <v>94</v>
      </c>
      <c r="F8" s="51" t="s">
        <v>100</v>
      </c>
      <c r="G8" s="55" t="str">
        <f t="shared" si="1"/>
        <v>Чалахач Паста  </v>
      </c>
      <c r="H8" s="57" t="s">
        <v>1</v>
      </c>
      <c r="I8" s="10" t="str">
        <f>IFERROR(__xludf.DUMMYFUNCTION("""COMPUTED_VALUE"""),"Весна")</f>
        <v>Весна</v>
      </c>
      <c r="J8" s="10">
        <f>IFERROR(__xludf.DUMMYFUNCTION("""COMPUTED_VALUE"""),9.0)</f>
        <v>9</v>
      </c>
      <c r="K8" s="10" t="str">
        <f>IFERROR(__xludf.DUMMYFUNCTION("""COMPUTED_VALUE"""),"Олимп")</f>
        <v>Олимп</v>
      </c>
      <c r="L8" s="10" t="str">
        <f>IFERROR(__xludf.DUMMYFUNCTION("""COMPUTED_VALUE"""),"3.Б")</f>
        <v>3.Б</v>
      </c>
      <c r="M8" s="10">
        <f>IFERROR(__xludf.DUMMYFUNCTION("""COMPUTED_VALUE"""),16.0)</f>
        <v>16</v>
      </c>
      <c r="N8" s="10" t="str">
        <f>IFERROR(__xludf.DUMMYFUNCTION("""COMPUTED_VALUE"""),"Олимп")</f>
        <v>Олимп</v>
      </c>
      <c r="O8" s="10"/>
      <c r="P8" s="10"/>
      <c r="Q8" s="10"/>
      <c r="R8" s="10"/>
      <c r="S8" s="10"/>
      <c r="T8" s="10"/>
      <c r="U8" s="10"/>
      <c r="V8" s="10"/>
      <c r="W8" s="12"/>
      <c r="X8" s="12"/>
      <c r="Y8" s="12"/>
    </row>
    <row r="9" ht="30.0" customHeight="1">
      <c r="A9" s="3" t="s">
        <v>98</v>
      </c>
      <c r="B9" s="87">
        <v>5.0</v>
      </c>
      <c r="C9" s="62" t="s">
        <v>35</v>
      </c>
      <c r="D9" s="92" t="s">
        <v>48</v>
      </c>
      <c r="E9" s="62" t="s">
        <v>65</v>
      </c>
      <c r="F9" s="51"/>
      <c r="G9" s="55" t="str">
        <f t="shared" si="1"/>
        <v>Вар.Кар </v>
      </c>
      <c r="H9" s="57" t="s">
        <v>1</v>
      </c>
      <c r="I9" s="10" t="str">
        <f>IFERROR(__xludf.DUMMYFUNCTION("""COMPUTED_VALUE"""),"Вин")</f>
        <v>Вин</v>
      </c>
      <c r="J9" s="10">
        <f>IFERROR(__xludf.DUMMYFUNCTION("""COMPUTED_VALUE"""),18.0)</f>
        <v>18</v>
      </c>
      <c r="K9" s="10" t="str">
        <f>IFERROR(__xludf.DUMMYFUNCTION("""COMPUTED_VALUE"""),"Олимп")</f>
        <v>Олимп</v>
      </c>
      <c r="L9" s="10" t="str">
        <f>IFERROR(__xludf.DUMMYFUNCTION("""COMPUTED_VALUE"""),"Б ")</f>
        <v>Б </v>
      </c>
      <c r="M9" s="10">
        <f>IFERROR(__xludf.DUMMYFUNCTION("""COMPUTED_VALUE"""),18.0)</f>
        <v>18</v>
      </c>
      <c r="N9" s="10" t="str">
        <f>IFERROR(__xludf.DUMMYFUNCTION("""COMPUTED_VALUE"""),"Олимп")</f>
        <v>Олимп</v>
      </c>
      <c r="O9" s="10"/>
      <c r="P9" s="10"/>
      <c r="Q9" s="10"/>
      <c r="R9" s="10"/>
      <c r="S9" s="10"/>
      <c r="T9" s="10"/>
      <c r="U9" s="10"/>
      <c r="V9" s="10"/>
      <c r="W9" s="12"/>
      <c r="X9" s="12"/>
      <c r="Y9" s="12"/>
    </row>
    <row r="10" ht="30.0" customHeight="1">
      <c r="A10" s="44" t="s">
        <v>163</v>
      </c>
      <c r="B10" s="47">
        <v>6.0</v>
      </c>
      <c r="C10" s="51" t="s">
        <v>20</v>
      </c>
      <c r="D10" s="51" t="s">
        <v>48</v>
      </c>
      <c r="E10" s="51" t="s">
        <v>80</v>
      </c>
      <c r="F10" s="51"/>
      <c r="G10" s="55" t="str">
        <f t="shared" si="1"/>
        <v>Котл. кур </v>
      </c>
      <c r="H10" s="57" t="s">
        <v>1</v>
      </c>
      <c r="I10" s="10" t="str">
        <f>IFERROR(__xludf.DUMMYFUNCTION("""COMPUTED_VALUE"""),"Днестр")</f>
        <v>Днестр</v>
      </c>
      <c r="J10" s="10">
        <f>IFERROR(__xludf.DUMMYFUNCTION("""COMPUTED_VALUE"""),14.0)</f>
        <v>14</v>
      </c>
      <c r="K10" s="10" t="str">
        <f>IFERROR(__xludf.DUMMYFUNCTION("""COMPUTED_VALUE"""),"Олимп")</f>
        <v>Олимп</v>
      </c>
      <c r="L10" s="10" t="str">
        <f>IFERROR(__xludf.DUMMYFUNCTION("""COMPUTED_VALUE"""),"Горох")</f>
        <v>Горох</v>
      </c>
      <c r="M10" s="10">
        <f>IFERROR(__xludf.DUMMYFUNCTION("""COMPUTED_VALUE"""),14.0)</f>
        <v>14</v>
      </c>
      <c r="N10" s="10" t="str">
        <f>IFERROR(__xludf.DUMMYFUNCTION("""COMPUTED_VALUE"""),"Олимп")</f>
        <v>Олимп</v>
      </c>
      <c r="O10" s="10"/>
      <c r="P10" s="10"/>
      <c r="Q10" s="10"/>
      <c r="R10" s="10"/>
      <c r="S10" s="10"/>
      <c r="T10" s="10"/>
      <c r="U10" s="10"/>
      <c r="V10" s="10"/>
      <c r="W10" s="12"/>
      <c r="X10" s="12"/>
      <c r="Y10" s="12"/>
    </row>
    <row r="11" ht="30.0" customHeight="1">
      <c r="A11" s="44" t="s">
        <v>166</v>
      </c>
      <c r="B11" s="87">
        <v>7.0</v>
      </c>
      <c r="C11" s="51" t="s">
        <v>16</v>
      </c>
      <c r="D11" s="51" t="s">
        <v>48</v>
      </c>
      <c r="E11" s="51" t="s">
        <v>85</v>
      </c>
      <c r="F11" s="51" t="s">
        <v>111</v>
      </c>
      <c r="G11" s="55" t="str">
        <f t="shared" si="1"/>
        <v>Поперечка MP </v>
      </c>
      <c r="H11" s="57" t="s">
        <v>1</v>
      </c>
      <c r="I11" s="10" t="str">
        <f>IFERROR(__xludf.DUMMYFUNCTION("""COMPUTED_VALUE"""),"Ол ")</f>
        <v>Ол </v>
      </c>
      <c r="J11" s="10">
        <f>IFERROR(__xludf.DUMMYFUNCTION("""COMPUTED_VALUE"""),8.0)</f>
        <v>8</v>
      </c>
      <c r="K11" s="10" t="str">
        <f>IFERROR(__xludf.DUMMYFUNCTION("""COMPUTED_VALUE"""),"Олимп")</f>
        <v>Олимп</v>
      </c>
      <c r="L11" s="10" t="str">
        <f>IFERROR(__xludf.DUMMYFUNCTION("""COMPUTED_VALUE"""),"Гриб")</f>
        <v>Гриб</v>
      </c>
      <c r="M11" s="10">
        <f>IFERROR(__xludf.DUMMYFUNCTION("""COMPUTED_VALUE"""),10.0)</f>
        <v>10</v>
      </c>
      <c r="N11" s="10" t="str">
        <f>IFERROR(__xludf.DUMMYFUNCTION("""COMPUTED_VALUE"""),"Олимп")</f>
        <v>Олимп</v>
      </c>
      <c r="O11" s="10"/>
      <c r="P11" s="10"/>
      <c r="Q11" s="10"/>
      <c r="R11" s="10"/>
      <c r="S11" s="10"/>
      <c r="T11" s="10"/>
      <c r="U11" s="10"/>
      <c r="V11" s="10"/>
      <c r="W11" s="12"/>
      <c r="X11" s="12"/>
      <c r="Y11" s="12"/>
    </row>
    <row r="12" ht="30.0" customHeight="1">
      <c r="A12" s="44" t="s">
        <v>169</v>
      </c>
      <c r="B12" s="47">
        <v>8.0</v>
      </c>
      <c r="C12" s="51" t="s">
        <v>33</v>
      </c>
      <c r="D12" s="51" t="s">
        <v>50</v>
      </c>
      <c r="E12" s="51" t="s">
        <v>73</v>
      </c>
      <c r="F12" s="51"/>
      <c r="G12" s="55" t="str">
        <f t="shared" si="1"/>
        <v>Бл. твор </v>
      </c>
      <c r="H12" s="57" t="s">
        <v>1</v>
      </c>
      <c r="I12" s="10" t="str">
        <f>IFERROR(__xludf.DUMMYFUNCTION("""COMPUTED_VALUE"""),"Сало")</f>
        <v>Сало</v>
      </c>
      <c r="J12" s="10">
        <f>IFERROR(__xludf.DUMMYFUNCTION("""COMPUTED_VALUE"""),10.0)</f>
        <v>10</v>
      </c>
      <c r="K12" s="10" t="str">
        <f>IFERROR(__xludf.DUMMYFUNCTION("""COMPUTED_VALUE"""),"Олимп")</f>
        <v>Олимп</v>
      </c>
      <c r="L12" s="10" t="str">
        <f>IFERROR(__xludf.DUMMYFUNCTION("""COMPUTED_VALUE"""),"Кур ")</f>
        <v>Кур </v>
      </c>
      <c r="M12" s="10">
        <f>IFERROR(__xludf.DUMMYFUNCTION("""COMPUTED_VALUE"""),18.0)</f>
        <v>18</v>
      </c>
      <c r="N12" s="10" t="str">
        <f>IFERROR(__xludf.DUMMYFUNCTION("""COMPUTED_VALUE"""),"Олимп")</f>
        <v>Олимп</v>
      </c>
      <c r="O12" s="10"/>
      <c r="P12" s="10"/>
      <c r="Q12" s="10"/>
      <c r="R12" s="10"/>
      <c r="S12" s="10"/>
      <c r="T12" s="10"/>
      <c r="U12" s="10"/>
      <c r="V12" s="10"/>
      <c r="W12" s="12"/>
      <c r="X12" s="12"/>
      <c r="Y12" s="12"/>
    </row>
    <row r="13" ht="30.0" customHeight="1">
      <c r="A13" s="44" t="s">
        <v>172</v>
      </c>
      <c r="B13" s="87">
        <v>9.0</v>
      </c>
      <c r="C13" s="51" t="s">
        <v>25</v>
      </c>
      <c r="D13" s="51" t="s">
        <v>52</v>
      </c>
      <c r="E13" s="51" t="s">
        <v>63</v>
      </c>
      <c r="F13" s="51" t="s">
        <v>68</v>
      </c>
      <c r="G13" s="55" t="str">
        <f t="shared" si="1"/>
        <v>Баса Картошка</v>
      </c>
      <c r="H13" s="57" t="s">
        <v>1</v>
      </c>
      <c r="I13" s="10" t="str">
        <f>IFERROR(__xludf.DUMMYFUNCTION("""COMPUTED_VALUE"""),"Свкл")</f>
        <v>Свкл</v>
      </c>
      <c r="J13" s="10">
        <f>IFERROR(__xludf.DUMMYFUNCTION("""COMPUTED_VALUE"""),14.0)</f>
        <v>14</v>
      </c>
      <c r="K13" s="10" t="str">
        <f>IFERROR(__xludf.DUMMYFUNCTION("""COMPUTED_VALUE"""),"Олимп")</f>
        <v>Олимп</v>
      </c>
      <c r="L13" s="10" t="str">
        <f>IFERROR(__xludf.DUMMYFUNCTION("""COMPUTED_VALUE"""),"Овощ")</f>
        <v>Овощ</v>
      </c>
      <c r="M13" s="10">
        <f>IFERROR(__xludf.DUMMYFUNCTION("""COMPUTED_VALUE"""),7.0)</f>
        <v>7</v>
      </c>
      <c r="N13" s="10" t="str">
        <f>IFERROR(__xludf.DUMMYFUNCTION("""COMPUTED_VALUE"""),"Олимп")</f>
        <v>Олимп</v>
      </c>
      <c r="O13" s="10"/>
      <c r="P13" s="10"/>
      <c r="Q13" s="10"/>
      <c r="R13" s="10"/>
      <c r="S13" s="10"/>
      <c r="T13" s="10"/>
      <c r="U13" s="10"/>
      <c r="V13" s="10"/>
      <c r="W13" s="12"/>
      <c r="X13" s="12"/>
      <c r="Y13" s="12"/>
    </row>
    <row r="14" ht="30.0" customHeight="1">
      <c r="A14" s="91" t="s">
        <v>177</v>
      </c>
      <c r="B14" s="47">
        <v>10.0</v>
      </c>
      <c r="C14" s="51" t="s">
        <v>16</v>
      </c>
      <c r="D14" s="51" t="s">
        <v>55</v>
      </c>
      <c r="E14" s="51" t="s">
        <v>67</v>
      </c>
      <c r="F14" s="51"/>
      <c r="G14" s="55" t="str">
        <f t="shared" si="1"/>
        <v>S   </v>
      </c>
      <c r="H14" s="57" t="s">
        <v>1</v>
      </c>
      <c r="I14" s="10" t="str">
        <f>IFERROR(__xludf.DUMMYFUNCTION("""COMPUTED_VALUE"""),"Селедка")</f>
        <v>Селедка</v>
      </c>
      <c r="J14" s="10">
        <f>IFERROR(__xludf.DUMMYFUNCTION("""COMPUTED_VALUE"""),4.0)</f>
        <v>4</v>
      </c>
      <c r="K14" s="10" t="str">
        <f>IFERROR(__xludf.DUMMYFUNCTION("""COMPUTED_VALUE"""),"Олимп")</f>
        <v>Олимп</v>
      </c>
      <c r="L14" s="10" t="str">
        <f>IFERROR(__xludf.DUMMYFUNCTION("""COMPUTED_VALUE"""),"Харчо ")</f>
        <v>Харчо </v>
      </c>
      <c r="M14" s="10">
        <f>IFERROR(__xludf.DUMMYFUNCTION("""COMPUTED_VALUE"""),7.0)</f>
        <v>7</v>
      </c>
      <c r="N14" s="10" t="str">
        <f>IFERROR(__xludf.DUMMYFUNCTION("""COMPUTED_VALUE"""),"Олимп")</f>
        <v>Олимп</v>
      </c>
      <c r="O14" s="10"/>
      <c r="P14" s="10"/>
      <c r="Q14" s="10"/>
      <c r="R14" s="10"/>
      <c r="S14" s="10"/>
      <c r="T14" s="10"/>
      <c r="U14" s="10"/>
      <c r="V14" s="10"/>
      <c r="W14" s="12"/>
      <c r="X14" s="12"/>
      <c r="Y14" s="12"/>
    </row>
    <row r="15" ht="30.0" customHeight="1">
      <c r="A15" s="44" t="s">
        <v>101</v>
      </c>
      <c r="B15" s="87">
        <v>11.0</v>
      </c>
      <c r="C15" s="51" t="s">
        <v>40</v>
      </c>
      <c r="D15" s="51" t="s">
        <v>52</v>
      </c>
      <c r="E15" s="51" t="s">
        <v>75</v>
      </c>
      <c r="F15" s="51"/>
      <c r="G15" s="55" t="str">
        <f t="shared" si="1"/>
        <v>Голубцы </v>
      </c>
      <c r="H15" s="57" t="s">
        <v>1</v>
      </c>
      <c r="I15" s="5" t="str">
        <f>IFERROR(__xludf.DUMMYFUNCTION("""COMPUTED_VALUE"""),"баклаж")</f>
        <v>баклаж</v>
      </c>
      <c r="J15" s="10">
        <f>IFERROR(__xludf.DUMMYFUNCTION("""COMPUTED_VALUE"""),10.0)</f>
        <v>10</v>
      </c>
      <c r="K15" s="10" t="str">
        <f>IFERROR(__xludf.DUMMYFUNCTION("""COMPUTED_VALUE"""),"Олимп")</f>
        <v>Олимп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2"/>
      <c r="X15" s="12"/>
      <c r="Y15" s="12"/>
    </row>
    <row r="16" ht="30.0" customHeight="1">
      <c r="A16" s="91" t="s">
        <v>105</v>
      </c>
      <c r="B16" s="47">
        <v>12.0</v>
      </c>
      <c r="C16" s="51" t="s">
        <v>28</v>
      </c>
      <c r="D16" s="51" t="s">
        <v>52</v>
      </c>
      <c r="E16" s="51" t="s">
        <v>82</v>
      </c>
      <c r="F16" s="51" t="s">
        <v>103</v>
      </c>
      <c r="G16" s="55" t="str">
        <f t="shared" si="1"/>
        <v>крылья Гр  </v>
      </c>
      <c r="H16" s="57" t="s">
        <v>1</v>
      </c>
      <c r="I16" s="5" t="str">
        <f>IFERROR(__xludf.DUMMYFUNCTION("""COMPUTED_VALUE"""),"капуста")</f>
        <v>капуста</v>
      </c>
      <c r="J16" s="10">
        <f>IFERROR(__xludf.DUMMYFUNCTION("""COMPUTED_VALUE"""),4.0)</f>
        <v>4</v>
      </c>
      <c r="K16" s="10" t="str">
        <f>IFERROR(__xludf.DUMMYFUNCTION("""COMPUTED_VALUE"""),"Олимп")</f>
        <v>Олимп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2"/>
      <c r="X16" s="12"/>
      <c r="Y16" s="12"/>
    </row>
    <row r="17" ht="30.0" customHeight="1">
      <c r="A17" s="97" t="s">
        <v>185</v>
      </c>
      <c r="B17" s="87">
        <v>13.0</v>
      </c>
      <c r="C17" s="51" t="s">
        <v>25</v>
      </c>
      <c r="D17" s="51" t="s">
        <v>48</v>
      </c>
      <c r="E17" s="51" t="s">
        <v>94</v>
      </c>
      <c r="F17" s="51" t="s">
        <v>103</v>
      </c>
      <c r="G17" s="55" t="str">
        <f t="shared" si="1"/>
        <v>Чалахач Гр  </v>
      </c>
      <c r="H17" s="57" t="s">
        <v>1</v>
      </c>
      <c r="I17" s="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2"/>
      <c r="X17" s="12"/>
      <c r="Y17" s="12"/>
    </row>
    <row r="18" ht="30.0" customHeight="1">
      <c r="A18" s="77" t="s">
        <v>120</v>
      </c>
      <c r="B18" s="47">
        <v>14.0</v>
      </c>
      <c r="C18" s="51" t="s">
        <v>25</v>
      </c>
      <c r="D18" s="51" t="s">
        <v>55</v>
      </c>
      <c r="E18" s="51" t="s">
        <v>67</v>
      </c>
      <c r="F18" s="51" t="s">
        <v>90</v>
      </c>
      <c r="G18" s="55" t="str">
        <f t="shared" si="1"/>
        <v>S   Туш. кап.</v>
      </c>
      <c r="H18" s="57" t="s">
        <v>1</v>
      </c>
      <c r="I18" s="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2"/>
      <c r="X18" s="12"/>
      <c r="Y18" s="12"/>
    </row>
    <row r="19" ht="30.0" customHeight="1">
      <c r="A19" s="98" t="s">
        <v>191</v>
      </c>
      <c r="B19" s="87">
        <v>15.0</v>
      </c>
      <c r="C19" s="51" t="s">
        <v>28</v>
      </c>
      <c r="D19" s="51" t="s">
        <v>59</v>
      </c>
      <c r="E19" s="51" t="s">
        <v>67</v>
      </c>
      <c r="F19" s="51" t="s">
        <v>103</v>
      </c>
      <c r="G19" s="55" t="str">
        <f t="shared" si="1"/>
        <v>S   Гр  </v>
      </c>
      <c r="H19" s="57" t="s">
        <v>1</v>
      </c>
      <c r="I19" s="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2"/>
      <c r="X19" s="12"/>
      <c r="Y19" s="12"/>
    </row>
    <row r="20" ht="30.0" customHeight="1">
      <c r="A20" s="44" t="s">
        <v>125</v>
      </c>
      <c r="B20" s="47">
        <v>16.0</v>
      </c>
      <c r="C20" s="100" t="s">
        <v>20</v>
      </c>
      <c r="D20" s="51" t="s">
        <v>57</v>
      </c>
      <c r="E20" s="51" t="s">
        <v>67</v>
      </c>
      <c r="F20" s="51" t="s">
        <v>64</v>
      </c>
      <c r="G20" s="55" t="str">
        <f t="shared" si="1"/>
        <v>S    FF</v>
      </c>
      <c r="H20" s="57" t="s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2"/>
      <c r="X20" s="12"/>
      <c r="Y20" s="12"/>
    </row>
    <row r="21" ht="30.0" customHeight="1">
      <c r="A21" s="44" t="s">
        <v>129</v>
      </c>
      <c r="B21" s="87">
        <v>17.0</v>
      </c>
      <c r="C21" s="51" t="s">
        <v>33</v>
      </c>
      <c r="D21" s="51" t="s">
        <v>57</v>
      </c>
      <c r="E21" s="51" t="s">
        <v>97</v>
      </c>
      <c r="F21" s="51" t="s">
        <v>117</v>
      </c>
      <c r="G21" s="55" t="str">
        <f t="shared" si="1"/>
        <v>Шницель Фасоль</v>
      </c>
      <c r="H21" s="57" t="s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2"/>
      <c r="X21" s="12"/>
      <c r="Y21" s="12"/>
    </row>
    <row r="22" ht="30.0" customHeight="1">
      <c r="A22" s="3" t="s">
        <v>99</v>
      </c>
      <c r="B22" s="47">
        <v>18.0</v>
      </c>
      <c r="C22" s="51" t="s">
        <v>31</v>
      </c>
      <c r="D22" s="51" t="s">
        <v>61</v>
      </c>
      <c r="E22" s="51" t="s">
        <v>80</v>
      </c>
      <c r="F22" s="51"/>
      <c r="G22" s="55" t="str">
        <f t="shared" si="1"/>
        <v>Котл. кур </v>
      </c>
      <c r="H22" s="57" t="s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2"/>
      <c r="X22" s="12"/>
      <c r="Y22" s="12"/>
    </row>
    <row r="23" ht="30.0" customHeight="1">
      <c r="A23" s="44" t="s">
        <v>132</v>
      </c>
      <c r="B23" s="87">
        <v>19.0</v>
      </c>
      <c r="C23" s="62" t="s">
        <v>31</v>
      </c>
      <c r="D23" s="51" t="s">
        <v>52</v>
      </c>
      <c r="E23" s="51" t="s">
        <v>82</v>
      </c>
      <c r="F23" s="51"/>
      <c r="G23" s="55" t="str">
        <f t="shared" si="1"/>
        <v>крылья </v>
      </c>
      <c r="H23" s="57" t="s">
        <v>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2"/>
      <c r="X23" s="12"/>
      <c r="Y23" s="12"/>
    </row>
    <row r="24" ht="30.0" customHeight="1">
      <c r="A24" s="44" t="s">
        <v>204</v>
      </c>
      <c r="B24" s="47">
        <v>20.0</v>
      </c>
      <c r="C24" s="62" t="s">
        <v>40</v>
      </c>
      <c r="D24" s="51" t="s">
        <v>50</v>
      </c>
      <c r="E24" s="51" t="s">
        <v>67</v>
      </c>
      <c r="F24" s="51"/>
      <c r="G24" s="55" t="str">
        <f t="shared" si="1"/>
        <v>S   </v>
      </c>
      <c r="H24" s="57" t="s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2"/>
      <c r="X24" s="12"/>
      <c r="Y24" s="12"/>
    </row>
    <row r="25" ht="30.0" customHeight="1">
      <c r="A25" s="44" t="s">
        <v>208</v>
      </c>
      <c r="B25" s="87">
        <v>21.0</v>
      </c>
      <c r="C25" s="51" t="s">
        <v>28</v>
      </c>
      <c r="D25" s="51" t="s">
        <v>48</v>
      </c>
      <c r="E25" s="51" t="s">
        <v>97</v>
      </c>
      <c r="F25" s="51"/>
      <c r="G25" s="55" t="str">
        <f t="shared" si="1"/>
        <v>Шницель </v>
      </c>
      <c r="H25" s="57" t="s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2"/>
      <c r="X25" s="12"/>
      <c r="Y25" s="12"/>
    </row>
    <row r="26" ht="30.0" customHeight="1">
      <c r="A26" s="91" t="s">
        <v>136</v>
      </c>
      <c r="B26" s="47">
        <v>22.0</v>
      </c>
      <c r="C26" s="51" t="s">
        <v>40</v>
      </c>
      <c r="D26" s="51" t="s">
        <v>50</v>
      </c>
      <c r="E26" s="51" t="s">
        <v>80</v>
      </c>
      <c r="F26" s="51" t="s">
        <v>100</v>
      </c>
      <c r="G26" s="55" t="str">
        <f t="shared" si="1"/>
        <v>Котл. кур Паста  </v>
      </c>
      <c r="H26" s="57" t="s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2"/>
      <c r="X26" s="12"/>
      <c r="Y26" s="12"/>
    </row>
    <row r="27" ht="30.0" customHeight="1">
      <c r="A27" s="77" t="s">
        <v>215</v>
      </c>
      <c r="B27" s="87">
        <v>23.0</v>
      </c>
      <c r="C27" s="51" t="s">
        <v>35</v>
      </c>
      <c r="D27" s="51" t="s">
        <v>55</v>
      </c>
      <c r="E27" s="51" t="s">
        <v>94</v>
      </c>
      <c r="F27" s="51"/>
      <c r="G27" s="55" t="str">
        <f t="shared" si="1"/>
        <v>Чалахач </v>
      </c>
      <c r="H27" s="57" t="s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2"/>
      <c r="X27" s="12"/>
      <c r="Y27" s="12"/>
    </row>
    <row r="28" ht="30.0" customHeight="1">
      <c r="A28" s="77" t="s">
        <v>143</v>
      </c>
      <c r="B28" s="47">
        <v>24.0</v>
      </c>
      <c r="C28" s="51" t="s">
        <v>28</v>
      </c>
      <c r="D28" s="62" t="s">
        <v>57</v>
      </c>
      <c r="E28" s="51" t="s">
        <v>63</v>
      </c>
      <c r="F28" s="51" t="s">
        <v>103</v>
      </c>
      <c r="G28" s="55" t="str">
        <f t="shared" si="1"/>
        <v>Баса Гр  </v>
      </c>
      <c r="H28" s="57" t="s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2"/>
      <c r="X28" s="12"/>
      <c r="Y28" s="12"/>
    </row>
    <row r="29" ht="30.0" customHeight="1">
      <c r="A29" s="77" t="s">
        <v>145</v>
      </c>
      <c r="B29" s="87">
        <v>25.0</v>
      </c>
      <c r="C29" s="51" t="s">
        <v>33</v>
      </c>
      <c r="D29" s="51" t="s">
        <v>57</v>
      </c>
      <c r="E29" s="51" t="s">
        <v>76</v>
      </c>
      <c r="F29" s="51" t="s">
        <v>117</v>
      </c>
      <c r="G29" s="55" t="str">
        <f t="shared" si="1"/>
        <v>Гуляш Фасоль</v>
      </c>
      <c r="H29" s="57" t="s">
        <v>1</v>
      </c>
      <c r="I29" s="8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2"/>
      <c r="X29" s="12"/>
      <c r="Y29" s="12"/>
    </row>
    <row r="30" ht="30.0" customHeight="1">
      <c r="A30" s="3" t="s">
        <v>224</v>
      </c>
      <c r="B30" s="87">
        <v>30.0</v>
      </c>
      <c r="C30" s="51" t="s">
        <v>25</v>
      </c>
      <c r="D30" s="51" t="s">
        <v>50</v>
      </c>
      <c r="E30" s="51" t="s">
        <v>67</v>
      </c>
      <c r="F30" s="51" t="s">
        <v>111</v>
      </c>
      <c r="G30" s="55" t="str">
        <f t="shared" si="1"/>
        <v>S   MP </v>
      </c>
      <c r="H30" s="57" t="s">
        <v>1</v>
      </c>
      <c r="I30" s="36"/>
      <c r="J30" s="68"/>
      <c r="K30" s="68"/>
      <c r="L30" s="68"/>
      <c r="M30" s="68"/>
      <c r="N30" s="68"/>
      <c r="O30" s="68"/>
      <c r="P30" s="68"/>
      <c r="Q30" s="68"/>
      <c r="R30" s="106"/>
      <c r="S30" s="68"/>
      <c r="T30" s="68"/>
      <c r="U30" s="68"/>
      <c r="V30" s="68"/>
      <c r="W30" s="68"/>
      <c r="X30" s="68"/>
      <c r="Y30" s="68"/>
    </row>
    <row r="31" ht="30.0" customHeight="1">
      <c r="A31" s="97" t="s">
        <v>227</v>
      </c>
      <c r="B31" s="47">
        <v>26.0</v>
      </c>
      <c r="C31" s="51" t="s">
        <v>33</v>
      </c>
      <c r="D31" s="51" t="s">
        <v>57</v>
      </c>
      <c r="E31" s="51" t="s">
        <v>67</v>
      </c>
      <c r="F31" s="51" t="s">
        <v>68</v>
      </c>
      <c r="G31" s="55" t="str">
        <f t="shared" si="1"/>
        <v>S   Картошка</v>
      </c>
      <c r="H31" s="57" t="s">
        <v>1</v>
      </c>
      <c r="I31" s="36"/>
      <c r="J31" s="68"/>
      <c r="K31" s="68"/>
      <c r="L31" s="68"/>
      <c r="M31" s="68"/>
      <c r="N31" s="68"/>
      <c r="O31" s="68"/>
      <c r="P31" s="68"/>
      <c r="Q31" s="68"/>
      <c r="R31" s="106"/>
      <c r="S31" s="68"/>
      <c r="T31" s="68"/>
      <c r="U31" s="68"/>
      <c r="V31" s="68"/>
      <c r="W31" s="68"/>
      <c r="X31" s="68"/>
      <c r="Y31" s="68"/>
    </row>
    <row r="32" ht="30.0" customHeight="1">
      <c r="A32" s="77" t="s">
        <v>231</v>
      </c>
      <c r="B32" s="87">
        <v>27.0</v>
      </c>
      <c r="C32" s="51" t="s">
        <v>40</v>
      </c>
      <c r="D32" s="51" t="s">
        <v>57</v>
      </c>
      <c r="E32" s="51" t="s">
        <v>82</v>
      </c>
      <c r="F32" s="51"/>
      <c r="G32" s="55" t="str">
        <f t="shared" si="1"/>
        <v>крылья </v>
      </c>
      <c r="H32" s="57" t="s">
        <v>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30.0" customHeight="1">
      <c r="A33" s="3" t="s">
        <v>150</v>
      </c>
      <c r="B33" s="47">
        <v>28.0</v>
      </c>
      <c r="C33" s="51" t="s">
        <v>40</v>
      </c>
      <c r="D33" s="51" t="s">
        <v>50</v>
      </c>
      <c r="E33" s="51" t="s">
        <v>94</v>
      </c>
      <c r="F33" s="51" t="s">
        <v>103</v>
      </c>
      <c r="G33" s="88" t="str">
        <f t="shared" si="1"/>
        <v>Чалахач Гр  </v>
      </c>
      <c r="H33" s="57" t="s">
        <v>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30.0" customHeight="1">
      <c r="A34" s="44" t="s">
        <v>237</v>
      </c>
      <c r="B34" s="87">
        <v>29.0</v>
      </c>
      <c r="C34" s="51" t="s">
        <v>16</v>
      </c>
      <c r="D34" s="51" t="s">
        <v>61</v>
      </c>
      <c r="E34" s="51" t="s">
        <v>63</v>
      </c>
      <c r="F34" s="51" t="s">
        <v>68</v>
      </c>
      <c r="G34" s="55" t="str">
        <f t="shared" si="1"/>
        <v>Баса Картошка</v>
      </c>
      <c r="H34" s="57" t="s">
        <v>1</v>
      </c>
      <c r="I34" s="36"/>
      <c r="J34" s="68"/>
      <c r="K34" s="68"/>
      <c r="L34" s="68"/>
      <c r="M34" s="68"/>
      <c r="N34" s="68"/>
      <c r="O34" s="68"/>
      <c r="P34" s="68"/>
      <c r="Q34" s="68"/>
      <c r="R34" s="106"/>
      <c r="S34" s="68"/>
      <c r="T34" s="68"/>
      <c r="U34" s="68"/>
      <c r="V34" s="68"/>
      <c r="W34" s="68"/>
      <c r="X34" s="68"/>
      <c r="Y34" s="68"/>
    </row>
    <row r="35" ht="30.0" customHeight="1">
      <c r="A35" s="44" t="s">
        <v>151</v>
      </c>
      <c r="B35" s="47">
        <v>30.0</v>
      </c>
      <c r="C35" s="51" t="s">
        <v>16</v>
      </c>
      <c r="D35" s="51" t="s">
        <v>57</v>
      </c>
      <c r="E35" s="51" t="s">
        <v>85</v>
      </c>
      <c r="F35" s="51" t="s">
        <v>90</v>
      </c>
      <c r="G35" s="55" t="str">
        <f t="shared" si="1"/>
        <v>Поперечка Туш. кап.</v>
      </c>
      <c r="H35" s="57" t="s">
        <v>1</v>
      </c>
      <c r="I35" s="36" t="str">
        <f>IFERROR(__xludf.DUMMYFUNCTION("QUERY(A5:H102, ""Select G, count(A), H group by G, H order by H"")"),"")</f>
        <v/>
      </c>
      <c r="J35" s="68" t="str">
        <f>IFERROR(__xludf.DUMMYFUNCTION("""COMPUTED_VALUE"""),"count ")</f>
        <v>count </v>
      </c>
      <c r="K35" s="68" t="str">
        <f>IFERROR(__xludf.DUMMYFUNCTION("""COMPUTED_VALUE"""),"")</f>
        <v/>
      </c>
      <c r="L35" s="68"/>
      <c r="M35" s="68"/>
      <c r="N35" s="68"/>
      <c r="O35" s="68"/>
      <c r="P35" s="68"/>
      <c r="Q35" s="68"/>
      <c r="R35" s="106"/>
      <c r="S35" s="68"/>
      <c r="T35" s="68"/>
      <c r="U35" s="68"/>
      <c r="V35" s="68"/>
      <c r="W35" s="68"/>
      <c r="X35" s="68"/>
      <c r="Y35" s="68"/>
    </row>
    <row r="36" ht="30.0" customHeight="1">
      <c r="A36" s="71" t="s">
        <v>126</v>
      </c>
      <c r="B36" s="87">
        <v>31.0</v>
      </c>
      <c r="C36" s="51" t="s">
        <v>16</v>
      </c>
      <c r="D36" s="51" t="s">
        <v>57</v>
      </c>
      <c r="E36" s="51" t="s">
        <v>94</v>
      </c>
      <c r="F36" s="51"/>
      <c r="G36" s="55" t="str">
        <f t="shared" si="1"/>
        <v>Чалахач </v>
      </c>
      <c r="H36" s="57" t="s">
        <v>1</v>
      </c>
      <c r="I36" s="86"/>
      <c r="J36" s="10">
        <f>IFERROR(__xludf.DUMMYFUNCTION("""COMPUTED_VALUE"""),2.0)</f>
        <v>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2"/>
      <c r="X36" s="12"/>
      <c r="Y36" s="12"/>
    </row>
    <row r="37" ht="30.0" customHeight="1">
      <c r="A37" s="3" t="s">
        <v>153</v>
      </c>
      <c r="B37" s="47">
        <v>32.0</v>
      </c>
      <c r="C37" s="51" t="s">
        <v>40</v>
      </c>
      <c r="D37" s="51" t="s">
        <v>57</v>
      </c>
      <c r="E37" s="51" t="s">
        <v>67</v>
      </c>
      <c r="F37" s="51" t="s">
        <v>90</v>
      </c>
      <c r="G37" s="55" t="str">
        <f t="shared" si="1"/>
        <v>S   Туш. кап.</v>
      </c>
      <c r="H37" s="57" t="s">
        <v>1</v>
      </c>
      <c r="I37" s="86" t="str">
        <f>IFERROR(__xludf.DUMMYFUNCTION("""COMPUTED_VALUE"""),"S   ")</f>
        <v>S   </v>
      </c>
      <c r="J37" s="10">
        <f>IFERROR(__xludf.DUMMYFUNCTION("""COMPUTED_VALUE"""),3.0)</f>
        <v>3</v>
      </c>
      <c r="K37" s="10" t="str">
        <f>IFERROR(__xludf.DUMMYFUNCTION("""COMPUTED_VALUE"""),"Олимп")</f>
        <v>Олимп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2"/>
      <c r="X37" s="12"/>
      <c r="Y37" s="12"/>
    </row>
    <row r="38" ht="30.0" customHeight="1">
      <c r="A38" s="44" t="s">
        <v>158</v>
      </c>
      <c r="B38" s="87">
        <v>33.0</v>
      </c>
      <c r="C38" s="51" t="s">
        <v>28</v>
      </c>
      <c r="D38" s="62" t="s">
        <v>48</v>
      </c>
      <c r="E38" s="51" t="s">
        <v>85</v>
      </c>
      <c r="F38" s="62"/>
      <c r="G38" s="55" t="str">
        <f t="shared" si="1"/>
        <v>Поперечка </v>
      </c>
      <c r="H38" s="57" t="s">
        <v>1</v>
      </c>
      <c r="I38" s="86" t="str">
        <f>IFERROR(__xludf.DUMMYFUNCTION("""COMPUTED_VALUE"""),"S    FF")</f>
        <v>S    FF</v>
      </c>
      <c r="J38" s="10">
        <f>IFERROR(__xludf.DUMMYFUNCTION("""COMPUTED_VALUE"""),1.0)</f>
        <v>1</v>
      </c>
      <c r="K38" s="10" t="str">
        <f>IFERROR(__xludf.DUMMYFUNCTION("""COMPUTED_VALUE"""),"Олимп")</f>
        <v>Олимп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2"/>
      <c r="X38" s="12"/>
      <c r="Y38" s="12"/>
    </row>
    <row r="39" ht="30.0" customHeight="1">
      <c r="A39" s="91" t="s">
        <v>168</v>
      </c>
      <c r="B39" s="47">
        <v>34.0</v>
      </c>
      <c r="C39" s="51" t="s">
        <v>28</v>
      </c>
      <c r="D39" s="51" t="s">
        <v>57</v>
      </c>
      <c r="E39" s="51" t="s">
        <v>82</v>
      </c>
      <c r="F39" s="51" t="s">
        <v>100</v>
      </c>
      <c r="G39" s="55"/>
      <c r="H39" s="57"/>
      <c r="I39" s="86" t="str">
        <f>IFERROR(__xludf.DUMMYFUNCTION("""COMPUTED_VALUE"""),"S   MP ")</f>
        <v>S   MP </v>
      </c>
      <c r="J39" s="10">
        <f>IFERROR(__xludf.DUMMYFUNCTION("""COMPUTED_VALUE"""),4.0)</f>
        <v>4</v>
      </c>
      <c r="K39" s="10" t="str">
        <f>IFERROR(__xludf.DUMMYFUNCTION("""COMPUTED_VALUE"""),"Олимп")</f>
        <v>Олимп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2"/>
      <c r="X39" s="12"/>
      <c r="Y39" s="12"/>
    </row>
    <row r="40" ht="30.0" customHeight="1">
      <c r="A40" s="77" t="s">
        <v>135</v>
      </c>
      <c r="B40" s="87">
        <v>35.0</v>
      </c>
      <c r="C40" s="51" t="s">
        <v>40</v>
      </c>
      <c r="D40" s="51" t="s">
        <v>48</v>
      </c>
      <c r="E40" s="51" t="s">
        <v>80</v>
      </c>
      <c r="F40" s="51"/>
      <c r="G40" s="55" t="str">
        <f t="shared" ref="G40:G84" si="2"> CONCATENATE(E40," ", F40)</f>
        <v>Котл. кур </v>
      </c>
      <c r="H40" s="57" t="s">
        <v>1</v>
      </c>
      <c r="I40" s="86" t="str">
        <f>IFERROR(__xludf.DUMMYFUNCTION("""COMPUTED_VALUE"""),"S   Гр  ")</f>
        <v>S   Гр  </v>
      </c>
      <c r="J40" s="10">
        <f>IFERROR(__xludf.DUMMYFUNCTION("""COMPUTED_VALUE"""),4.0)</f>
        <v>4</v>
      </c>
      <c r="K40" s="10" t="str">
        <f>IFERROR(__xludf.DUMMYFUNCTION("""COMPUTED_VALUE"""),"Олимп")</f>
        <v>Олимп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2"/>
      <c r="X40" s="12"/>
      <c r="Y40" s="12"/>
    </row>
    <row r="41" ht="30.0" customHeight="1">
      <c r="A41" s="112" t="s">
        <v>265</v>
      </c>
      <c r="B41" s="47">
        <v>36.0</v>
      </c>
      <c r="C41" s="51" t="s">
        <v>40</v>
      </c>
      <c r="D41" s="62" t="s">
        <v>55</v>
      </c>
      <c r="E41" s="51" t="s">
        <v>63</v>
      </c>
      <c r="F41" s="51"/>
      <c r="G41" s="55" t="str">
        <f t="shared" si="2"/>
        <v>Баса </v>
      </c>
      <c r="H41" s="57" t="s">
        <v>1</v>
      </c>
      <c r="I41" s="10" t="str">
        <f>IFERROR(__xludf.DUMMYFUNCTION("""COMPUTED_VALUE"""),"S   Картошка")</f>
        <v>S   Картошка</v>
      </c>
      <c r="J41" s="10">
        <f>IFERROR(__xludf.DUMMYFUNCTION("""COMPUTED_VALUE"""),1.0)</f>
        <v>1</v>
      </c>
      <c r="K41" s="10" t="str">
        <f>IFERROR(__xludf.DUMMYFUNCTION("""COMPUTED_VALUE"""),"Олимп")</f>
        <v>Олимп</v>
      </c>
      <c r="L41" s="6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2"/>
      <c r="X41" s="12"/>
      <c r="Y41" s="12"/>
    </row>
    <row r="42" ht="30.0" customHeight="1">
      <c r="A42" s="77" t="s">
        <v>175</v>
      </c>
      <c r="B42" s="87">
        <v>37.0</v>
      </c>
      <c r="C42" s="51" t="s">
        <v>25</v>
      </c>
      <c r="D42" s="62" t="s">
        <v>57</v>
      </c>
      <c r="E42" s="51" t="s">
        <v>80</v>
      </c>
      <c r="F42" s="51"/>
      <c r="G42" s="55" t="str">
        <f t="shared" si="2"/>
        <v>Котл. кур </v>
      </c>
      <c r="H42" s="57" t="s">
        <v>1</v>
      </c>
      <c r="I42" s="10" t="str">
        <f>IFERROR(__xludf.DUMMYFUNCTION("""COMPUTED_VALUE"""),"S   Туш. кап.")</f>
        <v>S   Туш. кап.</v>
      </c>
      <c r="J42" s="10">
        <f>IFERROR(__xludf.DUMMYFUNCTION("""COMPUTED_VALUE"""),4.0)</f>
        <v>4</v>
      </c>
      <c r="K42" s="10" t="str">
        <f>IFERROR(__xludf.DUMMYFUNCTION("""COMPUTED_VALUE"""),"Олимп")</f>
        <v>Олимп</v>
      </c>
      <c r="L42" s="64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2"/>
      <c r="X42" s="12"/>
      <c r="Y42" s="12"/>
    </row>
    <row r="43" ht="30.0" customHeight="1">
      <c r="A43" s="77" t="s">
        <v>179</v>
      </c>
      <c r="B43" s="47">
        <v>38.0</v>
      </c>
      <c r="C43" s="51" t="s">
        <v>35</v>
      </c>
      <c r="D43" s="51" t="s">
        <v>57</v>
      </c>
      <c r="E43" s="51" t="s">
        <v>82</v>
      </c>
      <c r="F43" s="51"/>
      <c r="G43" s="55" t="str">
        <f t="shared" si="2"/>
        <v>крылья </v>
      </c>
      <c r="H43" s="57" t="s">
        <v>1</v>
      </c>
      <c r="I43" s="10" t="str">
        <f>IFERROR(__xludf.DUMMYFUNCTION("""COMPUTED_VALUE"""),"Баса ")</f>
        <v>Баса </v>
      </c>
      <c r="J43" s="10">
        <f>IFERROR(__xludf.DUMMYFUNCTION("""COMPUTED_VALUE"""),2.0)</f>
        <v>2</v>
      </c>
      <c r="K43" s="10" t="str">
        <f>IFERROR(__xludf.DUMMYFUNCTION("""COMPUTED_VALUE"""),"Олимп")</f>
        <v>Олимп</v>
      </c>
      <c r="L43" s="6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2"/>
      <c r="X43" s="12"/>
      <c r="Y43" s="12"/>
    </row>
    <row r="44" ht="30.0" customHeight="1">
      <c r="A44" s="3" t="s">
        <v>289</v>
      </c>
      <c r="B44" s="87">
        <v>39.0</v>
      </c>
      <c r="C44" s="51" t="s">
        <v>28</v>
      </c>
      <c r="D44" s="51" t="s">
        <v>48</v>
      </c>
      <c r="E44" s="51" t="s">
        <v>80</v>
      </c>
      <c r="F44" s="51" t="s">
        <v>90</v>
      </c>
      <c r="G44" s="55" t="str">
        <f t="shared" si="2"/>
        <v>Котл. кур Туш. кап.</v>
      </c>
      <c r="H44" s="57" t="s">
        <v>1</v>
      </c>
      <c r="I44" s="10" t="str">
        <f>IFERROR(__xludf.DUMMYFUNCTION("""COMPUTED_VALUE"""),"Баса MP ")</f>
        <v>Баса MP </v>
      </c>
      <c r="J44" s="10">
        <f>IFERROR(__xludf.DUMMYFUNCTION("""COMPUTED_VALUE"""),1.0)</f>
        <v>1</v>
      </c>
      <c r="K44" s="10" t="str">
        <f>IFERROR(__xludf.DUMMYFUNCTION("""COMPUTED_VALUE"""),"Олимп")</f>
        <v>Олимп</v>
      </c>
      <c r="L44" s="6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2"/>
      <c r="X44" s="12"/>
      <c r="Y44" s="12"/>
    </row>
    <row r="45" ht="30.0" customHeight="1">
      <c r="A45" s="44" t="s">
        <v>293</v>
      </c>
      <c r="B45" s="47">
        <v>40.0</v>
      </c>
      <c r="C45" s="51" t="s">
        <v>45</v>
      </c>
      <c r="D45" s="51" t="s">
        <v>59</v>
      </c>
      <c r="E45" s="51" t="s">
        <v>82</v>
      </c>
      <c r="F45" s="51" t="s">
        <v>103</v>
      </c>
      <c r="G45" s="55" t="str">
        <f t="shared" si="2"/>
        <v>крылья Гр  </v>
      </c>
      <c r="H45" s="57" t="s">
        <v>1</v>
      </c>
      <c r="I45" s="10" t="str">
        <f>IFERROR(__xludf.DUMMYFUNCTION("""COMPUTED_VALUE"""),"Баса Гр  ")</f>
        <v>Баса Гр  </v>
      </c>
      <c r="J45" s="10">
        <f>IFERROR(__xludf.DUMMYFUNCTION("""COMPUTED_VALUE"""),1.0)</f>
        <v>1</v>
      </c>
      <c r="K45" s="10" t="str">
        <f>IFERROR(__xludf.DUMMYFUNCTION("""COMPUTED_VALUE"""),"Олимп")</f>
        <v>Олимп</v>
      </c>
      <c r="L45" s="64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2"/>
      <c r="X45" s="12"/>
      <c r="Y45" s="12"/>
    </row>
    <row r="46" ht="30.0" customHeight="1">
      <c r="A46" s="3" t="s">
        <v>182</v>
      </c>
      <c r="B46" s="87">
        <v>41.0</v>
      </c>
      <c r="C46" s="51" t="s">
        <v>25</v>
      </c>
      <c r="D46" s="51" t="s">
        <v>57</v>
      </c>
      <c r="E46" s="51" t="s">
        <v>82</v>
      </c>
      <c r="F46" s="62"/>
      <c r="G46" s="55" t="str">
        <f t="shared" si="2"/>
        <v>крылья </v>
      </c>
      <c r="H46" s="57" t="s">
        <v>1</v>
      </c>
      <c r="I46" s="10" t="str">
        <f>IFERROR(__xludf.DUMMYFUNCTION("""COMPUTED_VALUE"""),"Баса Картошка")</f>
        <v>Баса Картошка</v>
      </c>
      <c r="J46" s="10">
        <f>IFERROR(__xludf.DUMMYFUNCTION("""COMPUTED_VALUE"""),2.0)</f>
        <v>2</v>
      </c>
      <c r="K46" s="10" t="str">
        <f>IFERROR(__xludf.DUMMYFUNCTION("""COMPUTED_VALUE"""),"Олимп")</f>
        <v>Олимп</v>
      </c>
      <c r="L46" s="64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2"/>
      <c r="X46" s="12"/>
      <c r="Y46" s="12"/>
    </row>
    <row r="47" ht="30.0" customHeight="1">
      <c r="A47" s="44" t="s">
        <v>140</v>
      </c>
      <c r="B47" s="47">
        <v>42.0</v>
      </c>
      <c r="C47" s="51" t="s">
        <v>35</v>
      </c>
      <c r="D47" s="51" t="s">
        <v>57</v>
      </c>
      <c r="E47" s="51" t="s">
        <v>85</v>
      </c>
      <c r="F47" s="62" t="s">
        <v>103</v>
      </c>
      <c r="G47" s="55" t="str">
        <f t="shared" si="2"/>
        <v>Поперечка Гр  </v>
      </c>
      <c r="H47" s="57" t="s">
        <v>1</v>
      </c>
      <c r="I47" s="10" t="str">
        <f>IFERROR(__xludf.DUMMYFUNCTION("""COMPUTED_VALUE"""),"Бл. мясо ")</f>
        <v>Бл. мясо </v>
      </c>
      <c r="J47" s="10">
        <f>IFERROR(__xludf.DUMMYFUNCTION("""COMPUTED_VALUE"""),3.0)</f>
        <v>3</v>
      </c>
      <c r="K47" s="10" t="str">
        <f>IFERROR(__xludf.DUMMYFUNCTION("""COMPUTED_VALUE"""),"Олимп")</f>
        <v>Олимп</v>
      </c>
      <c r="L47" s="64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2"/>
      <c r="X47" s="12"/>
      <c r="Y47" s="12"/>
    </row>
    <row r="48" ht="30.0" customHeight="1">
      <c r="A48" s="3" t="s">
        <v>142</v>
      </c>
      <c r="B48" s="87">
        <v>43.0</v>
      </c>
      <c r="C48" s="51" t="s">
        <v>25</v>
      </c>
      <c r="D48" s="51" t="s">
        <v>50</v>
      </c>
      <c r="E48" s="51" t="s">
        <v>97</v>
      </c>
      <c r="F48" s="84" t="s">
        <v>103</v>
      </c>
      <c r="G48" s="55" t="str">
        <f t="shared" si="2"/>
        <v>Шницель Гр  </v>
      </c>
      <c r="H48" s="57" t="s">
        <v>1</v>
      </c>
      <c r="I48" s="10" t="str">
        <f>IFERROR(__xludf.DUMMYFUNCTION("""COMPUTED_VALUE"""),"Бл. твор ")</f>
        <v>Бл. твор </v>
      </c>
      <c r="J48" s="10">
        <f>IFERROR(__xludf.DUMMYFUNCTION("""COMPUTED_VALUE"""),5.0)</f>
        <v>5</v>
      </c>
      <c r="K48" s="10" t="str">
        <f>IFERROR(__xludf.DUMMYFUNCTION("""COMPUTED_VALUE"""),"Олимп")</f>
        <v>Олимп</v>
      </c>
      <c r="L48" s="64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2"/>
      <c r="X48" s="12"/>
      <c r="Y48" s="12"/>
    </row>
    <row r="49" ht="30.0" customHeight="1">
      <c r="A49" s="3" t="s">
        <v>144</v>
      </c>
      <c r="B49" s="47">
        <v>44.0</v>
      </c>
      <c r="C49" s="51" t="s">
        <v>25</v>
      </c>
      <c r="D49" s="51" t="s">
        <v>50</v>
      </c>
      <c r="E49" s="51" t="s">
        <v>97</v>
      </c>
      <c r="F49" s="51" t="s">
        <v>103</v>
      </c>
      <c r="G49" s="55" t="str">
        <f t="shared" si="2"/>
        <v>Шницель Гр  </v>
      </c>
      <c r="H49" s="57" t="s">
        <v>1</v>
      </c>
      <c r="I49" s="10" t="str">
        <f>IFERROR(__xludf.DUMMYFUNCTION("""COMPUTED_VALUE"""),"Бл. твор Паста  ")</f>
        <v>Бл. твор Паста  </v>
      </c>
      <c r="J49" s="10">
        <f>IFERROR(__xludf.DUMMYFUNCTION("""COMPUTED_VALUE"""),1.0)</f>
        <v>1</v>
      </c>
      <c r="K49" s="10" t="str">
        <f>IFERROR(__xludf.DUMMYFUNCTION("""COMPUTED_VALUE"""),"Олимп")</f>
        <v>Олимп</v>
      </c>
      <c r="L49" s="64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2"/>
      <c r="X49" s="12"/>
      <c r="Y49" s="12"/>
    </row>
    <row r="50" ht="30.0" customHeight="1">
      <c r="A50" s="97" t="s">
        <v>303</v>
      </c>
      <c r="B50" s="87">
        <v>45.0</v>
      </c>
      <c r="C50" s="51" t="s">
        <v>25</v>
      </c>
      <c r="D50" s="51" t="s">
        <v>48</v>
      </c>
      <c r="E50" s="62" t="s">
        <v>67</v>
      </c>
      <c r="F50" s="62" t="s">
        <v>103</v>
      </c>
      <c r="G50" s="55" t="str">
        <f t="shared" si="2"/>
        <v>S   Гр  </v>
      </c>
      <c r="H50" s="57" t="s">
        <v>1</v>
      </c>
      <c r="I50" s="10" t="str">
        <f>IFERROR(__xludf.DUMMYFUNCTION("""COMPUTED_VALUE"""),"Вар.Кар ")</f>
        <v>Вар.Кар </v>
      </c>
      <c r="J50" s="10">
        <f>IFERROR(__xludf.DUMMYFUNCTION("""COMPUTED_VALUE"""),5.0)</f>
        <v>5</v>
      </c>
      <c r="K50" s="10" t="str">
        <f>IFERROR(__xludf.DUMMYFUNCTION("""COMPUTED_VALUE"""),"Олимп")</f>
        <v>Олимп</v>
      </c>
      <c r="L50" s="6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2"/>
      <c r="X50" s="12"/>
      <c r="Y50" s="12"/>
    </row>
    <row r="51" ht="30.0" customHeight="1">
      <c r="A51" s="77" t="s">
        <v>188</v>
      </c>
      <c r="B51" s="47">
        <v>46.0</v>
      </c>
      <c r="C51" s="51" t="s">
        <v>20</v>
      </c>
      <c r="D51" s="51" t="s">
        <v>59</v>
      </c>
      <c r="E51" s="51" t="s">
        <v>65</v>
      </c>
      <c r="F51" s="51"/>
      <c r="G51" s="55" t="str">
        <f t="shared" si="2"/>
        <v>Вар.Кар </v>
      </c>
      <c r="H51" s="57" t="s">
        <v>1</v>
      </c>
      <c r="I51" s="68" t="str">
        <f>IFERROR(__xludf.DUMMYFUNCTION("""COMPUTED_VALUE"""),"Голубцы ")</f>
        <v>Голубцы </v>
      </c>
      <c r="J51" s="68">
        <f>IFERROR(__xludf.DUMMYFUNCTION("""COMPUTED_VALUE"""),1.0)</f>
        <v>1</v>
      </c>
      <c r="K51" s="68" t="str">
        <f>IFERROR(__xludf.DUMMYFUNCTION("""COMPUTED_VALUE"""),"Олимп")</f>
        <v>Олимп</v>
      </c>
      <c r="L51" s="64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ht="30.0" customHeight="1">
      <c r="A52" s="91" t="s">
        <v>308</v>
      </c>
      <c r="B52" s="87">
        <v>47.0</v>
      </c>
      <c r="C52" s="51" t="s">
        <v>25</v>
      </c>
      <c r="D52" s="51" t="s">
        <v>48</v>
      </c>
      <c r="E52" s="51" t="s">
        <v>67</v>
      </c>
      <c r="F52" s="51" t="s">
        <v>90</v>
      </c>
      <c r="G52" s="55" t="str">
        <f t="shared" si="2"/>
        <v>S   Туш. кап.</v>
      </c>
      <c r="H52" s="57" t="s">
        <v>1</v>
      </c>
      <c r="I52" s="68" t="str">
        <f>IFERROR(__xludf.DUMMYFUNCTION("""COMPUTED_VALUE"""),"Гуляш MP ")</f>
        <v>Гуляш MP </v>
      </c>
      <c r="J52" s="68">
        <f>IFERROR(__xludf.DUMMYFUNCTION("""COMPUTED_VALUE"""),1.0)</f>
        <v>1</v>
      </c>
      <c r="K52" s="68" t="str">
        <f>IFERROR(__xludf.DUMMYFUNCTION("""COMPUTED_VALUE"""),"Олимп")</f>
        <v>Олимп</v>
      </c>
      <c r="L52" s="64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ht="30.0" customHeight="1">
      <c r="A53" s="44" t="s">
        <v>146</v>
      </c>
      <c r="B53" s="47">
        <v>48.0</v>
      </c>
      <c r="C53" s="51" t="s">
        <v>16</v>
      </c>
      <c r="D53" s="51" t="s">
        <v>50</v>
      </c>
      <c r="E53" s="51" t="s">
        <v>93</v>
      </c>
      <c r="F53" s="51" t="s">
        <v>103</v>
      </c>
      <c r="G53" s="55" t="str">
        <f t="shared" si="2"/>
        <v>Терияки Гр  </v>
      </c>
      <c r="H53" s="57" t="s">
        <v>1</v>
      </c>
      <c r="I53" s="68" t="str">
        <f>IFERROR(__xludf.DUMMYFUNCTION("""COMPUTED_VALUE"""),"Гуляш Фасоль")</f>
        <v>Гуляш Фасоль</v>
      </c>
      <c r="J53" s="68">
        <f>IFERROR(__xludf.DUMMYFUNCTION("""COMPUTED_VALUE"""),1.0)</f>
        <v>1</v>
      </c>
      <c r="K53" s="68" t="str">
        <f>IFERROR(__xludf.DUMMYFUNCTION("""COMPUTED_VALUE"""),"Олимп")</f>
        <v>Олимп</v>
      </c>
      <c r="L53" s="64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ht="30.0" customHeight="1">
      <c r="A54" s="77" t="s">
        <v>190</v>
      </c>
      <c r="B54" s="87">
        <v>49.0</v>
      </c>
      <c r="C54" s="51" t="s">
        <v>40</v>
      </c>
      <c r="D54" s="51" t="s">
        <v>55</v>
      </c>
      <c r="E54" s="51" t="s">
        <v>73</v>
      </c>
      <c r="F54" s="51" t="s">
        <v>100</v>
      </c>
      <c r="G54" s="55" t="str">
        <f t="shared" si="2"/>
        <v>Бл. твор Паста  </v>
      </c>
      <c r="H54" s="57" t="s">
        <v>1</v>
      </c>
      <c r="I54" s="10" t="str">
        <f>IFERROR(__xludf.DUMMYFUNCTION("""COMPUTED_VALUE"""),"Дорадо Фасоль")</f>
        <v>Дорадо Фасоль</v>
      </c>
      <c r="J54" s="10">
        <f>IFERROR(__xludf.DUMMYFUNCTION("""COMPUTED_VALUE"""),1.0)</f>
        <v>1</v>
      </c>
      <c r="K54" s="10" t="str">
        <f>IFERROR(__xludf.DUMMYFUNCTION("""COMPUTED_VALUE"""),"Олимп")</f>
        <v>Олимп</v>
      </c>
      <c r="L54" s="6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2"/>
      <c r="X54" s="12"/>
      <c r="Y54" s="12"/>
    </row>
    <row r="55" ht="30.0" customHeight="1">
      <c r="A55" s="77" t="s">
        <v>313</v>
      </c>
      <c r="B55" s="47">
        <v>50.0</v>
      </c>
      <c r="C55" s="51" t="s">
        <v>28</v>
      </c>
      <c r="D55" s="51" t="s">
        <v>48</v>
      </c>
      <c r="E55" s="51" t="s">
        <v>67</v>
      </c>
      <c r="F55" s="51"/>
      <c r="G55" s="55" t="str">
        <f t="shared" si="2"/>
        <v>S   </v>
      </c>
      <c r="H55" s="57" t="s">
        <v>1</v>
      </c>
      <c r="I55" s="10" t="str">
        <f>IFERROR(__xludf.DUMMYFUNCTION("""COMPUTED_VALUE"""),"Жульен Гр  ")</f>
        <v>Жульен Гр  </v>
      </c>
      <c r="J55" s="10">
        <f>IFERROR(__xludf.DUMMYFUNCTION("""COMPUTED_VALUE"""),1.0)</f>
        <v>1</v>
      </c>
      <c r="K55" s="10" t="str">
        <f>IFERROR(__xludf.DUMMYFUNCTION("""COMPUTED_VALUE"""),"Олимп")</f>
        <v>Олимп</v>
      </c>
      <c r="L55" s="6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2"/>
      <c r="X55" s="12"/>
      <c r="Y55" s="12"/>
    </row>
    <row r="56" ht="30.0" customHeight="1">
      <c r="A56" s="72" t="s">
        <v>194</v>
      </c>
      <c r="B56" s="87">
        <v>51.0</v>
      </c>
      <c r="C56" s="51" t="s">
        <v>16</v>
      </c>
      <c r="D56" s="51" t="s">
        <v>52</v>
      </c>
      <c r="E56" s="51" t="s">
        <v>85</v>
      </c>
      <c r="F56" s="51" t="s">
        <v>103</v>
      </c>
      <c r="G56" s="55" t="str">
        <f t="shared" si="2"/>
        <v>Поперечка Гр  </v>
      </c>
      <c r="H56" s="57" t="s">
        <v>1</v>
      </c>
      <c r="I56" s="10" t="str">
        <f>IFERROR(__xludf.DUMMYFUNCTION("""COMPUTED_VALUE"""),"Жульен Паста  ")</f>
        <v>Жульен Паста  </v>
      </c>
      <c r="J56" s="10">
        <f>IFERROR(__xludf.DUMMYFUNCTION("""COMPUTED_VALUE"""),1.0)</f>
        <v>1</v>
      </c>
      <c r="K56" s="10" t="str">
        <f>IFERROR(__xludf.DUMMYFUNCTION("""COMPUTED_VALUE"""),"Олимп")</f>
        <v>Олимп</v>
      </c>
      <c r="L56" s="6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2"/>
      <c r="X56" s="12"/>
      <c r="Y56" s="12"/>
    </row>
    <row r="57" ht="30.0" customHeight="1">
      <c r="A57" s="72" t="s">
        <v>200</v>
      </c>
      <c r="B57" s="47">
        <v>52.0</v>
      </c>
      <c r="C57" s="51" t="s">
        <v>31</v>
      </c>
      <c r="D57" s="51" t="s">
        <v>50</v>
      </c>
      <c r="E57" s="51" t="s">
        <v>73</v>
      </c>
      <c r="F57" s="62"/>
      <c r="G57" s="55" t="str">
        <f t="shared" si="2"/>
        <v>Бл. твор </v>
      </c>
      <c r="H57" s="57" t="s">
        <v>1</v>
      </c>
      <c r="I57" s="10" t="str">
        <f>IFERROR(__xludf.DUMMYFUNCTION("""COMPUTED_VALUE"""),"Котл. кур ")</f>
        <v>Котл. кур </v>
      </c>
      <c r="J57" s="10">
        <f>IFERROR(__xludf.DUMMYFUNCTION("""COMPUTED_VALUE"""),4.0)</f>
        <v>4</v>
      </c>
      <c r="K57" s="10" t="str">
        <f>IFERROR(__xludf.DUMMYFUNCTION("""COMPUTED_VALUE"""),"Олимп")</f>
        <v>Олимп</v>
      </c>
      <c r="L57" s="6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2"/>
      <c r="X57" s="12"/>
      <c r="Y57" s="12"/>
    </row>
    <row r="58" ht="30.0" customHeight="1">
      <c r="A58" s="44" t="s">
        <v>324</v>
      </c>
      <c r="B58" s="87">
        <v>53.0</v>
      </c>
      <c r="C58" s="51" t="s">
        <v>28</v>
      </c>
      <c r="D58" s="51" t="s">
        <v>55</v>
      </c>
      <c r="E58" s="62" t="s">
        <v>78</v>
      </c>
      <c r="F58" s="62" t="s">
        <v>103</v>
      </c>
      <c r="G58" s="55" t="str">
        <f t="shared" si="2"/>
        <v>Жульен Гр  </v>
      </c>
      <c r="H58" s="57" t="s">
        <v>1</v>
      </c>
      <c r="I58" s="10" t="str">
        <f>IFERROR(__xludf.DUMMYFUNCTION("""COMPUTED_VALUE"""),"Котл. кур  FF")</f>
        <v>Котл. кур  FF</v>
      </c>
      <c r="J58" s="10">
        <f>IFERROR(__xludf.DUMMYFUNCTION("""COMPUTED_VALUE"""),1.0)</f>
        <v>1</v>
      </c>
      <c r="K58" s="10" t="str">
        <f>IFERROR(__xludf.DUMMYFUNCTION("""COMPUTED_VALUE"""),"Олимп")</f>
        <v>Олимп</v>
      </c>
      <c r="L58" s="6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2"/>
      <c r="X58" s="12"/>
      <c r="Y58" s="12"/>
    </row>
    <row r="59" ht="30.0" customHeight="1">
      <c r="A59" s="77" t="s">
        <v>209</v>
      </c>
      <c r="B59" s="47">
        <v>54.0</v>
      </c>
      <c r="C59" s="51" t="s">
        <v>25</v>
      </c>
      <c r="D59" s="51" t="s">
        <v>61</v>
      </c>
      <c r="E59" s="51" t="s">
        <v>71</v>
      </c>
      <c r="F59" s="62"/>
      <c r="G59" s="55" t="str">
        <f t="shared" si="2"/>
        <v>Бл. мясо </v>
      </c>
      <c r="H59" s="57" t="s">
        <v>1</v>
      </c>
      <c r="I59" s="68" t="str">
        <f>IFERROR(__xludf.DUMMYFUNCTION("""COMPUTED_VALUE"""),"Котл. кур Картошка")</f>
        <v>Котл. кур Картошка</v>
      </c>
      <c r="J59" s="68">
        <f>IFERROR(__xludf.DUMMYFUNCTION("""COMPUTED_VALUE"""),1.0)</f>
        <v>1</v>
      </c>
      <c r="K59" s="68" t="str">
        <f>IFERROR(__xludf.DUMMYFUNCTION("""COMPUTED_VALUE"""),"Олимп")</f>
        <v>Олимп</v>
      </c>
      <c r="L59" s="64"/>
      <c r="M59" s="68"/>
      <c r="N59" s="68"/>
      <c r="O59" s="68"/>
      <c r="P59" s="68"/>
      <c r="Q59" s="68"/>
      <c r="R59" s="106"/>
      <c r="S59" s="68"/>
      <c r="T59" s="68"/>
      <c r="U59" s="68"/>
      <c r="V59" s="68"/>
      <c r="W59" s="68"/>
      <c r="X59" s="68"/>
      <c r="Y59" s="68"/>
    </row>
    <row r="60" ht="30.0" customHeight="1">
      <c r="A60" s="44" t="s">
        <v>328</v>
      </c>
      <c r="B60" s="87">
        <v>55.0</v>
      </c>
      <c r="C60" s="62" t="s">
        <v>28</v>
      </c>
      <c r="D60" s="51" t="s">
        <v>61</v>
      </c>
      <c r="E60" s="62" t="s">
        <v>71</v>
      </c>
      <c r="F60" s="92"/>
      <c r="G60" s="55" t="str">
        <f t="shared" si="2"/>
        <v>Бл. мясо </v>
      </c>
      <c r="H60" s="57" t="s">
        <v>1</v>
      </c>
      <c r="I60" s="10" t="str">
        <f>IFERROR(__xludf.DUMMYFUNCTION("""COMPUTED_VALUE"""),"Котл. кур Паста  ")</f>
        <v>Котл. кур Паста  </v>
      </c>
      <c r="J60" s="10">
        <f>IFERROR(__xludf.DUMMYFUNCTION("""COMPUTED_VALUE"""),1.0)</f>
        <v>1</v>
      </c>
      <c r="K60" s="10" t="str">
        <f>IFERROR(__xludf.DUMMYFUNCTION("""COMPUTED_VALUE"""),"Олимп")</f>
        <v>Олимп</v>
      </c>
      <c r="L60" s="6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2"/>
      <c r="X60" s="12"/>
      <c r="Y60" s="12"/>
    </row>
    <row r="61" ht="30.0" customHeight="1">
      <c r="A61" s="44" t="s">
        <v>330</v>
      </c>
      <c r="B61" s="47">
        <v>56.0</v>
      </c>
      <c r="C61" s="62" t="s">
        <v>40</v>
      </c>
      <c r="D61" s="51" t="s">
        <v>50</v>
      </c>
      <c r="E61" s="62" t="s">
        <v>71</v>
      </c>
      <c r="F61" s="62"/>
      <c r="G61" s="55" t="str">
        <f t="shared" si="2"/>
        <v>Бл. мясо </v>
      </c>
      <c r="H61" s="57" t="s">
        <v>1</v>
      </c>
      <c r="I61" s="10" t="str">
        <f>IFERROR(__xludf.DUMMYFUNCTION("""COMPUTED_VALUE"""),"Котл. кур Туш. кап.")</f>
        <v>Котл. кур Туш. кап.</v>
      </c>
      <c r="J61" s="10">
        <f>IFERROR(__xludf.DUMMYFUNCTION("""COMPUTED_VALUE"""),1.0)</f>
        <v>1</v>
      </c>
      <c r="K61" s="10" t="str">
        <f>IFERROR(__xludf.DUMMYFUNCTION("""COMPUTED_VALUE"""),"Олимп")</f>
        <v>Олимп</v>
      </c>
      <c r="L61" s="6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2"/>
      <c r="X61" s="12"/>
      <c r="Y61" s="12"/>
    </row>
    <row r="62" ht="30.0" customHeight="1">
      <c r="A62" s="91" t="s">
        <v>217</v>
      </c>
      <c r="B62" s="87">
        <v>57.0</v>
      </c>
      <c r="C62" s="62" t="s">
        <v>20</v>
      </c>
      <c r="D62" s="103" t="s">
        <v>59</v>
      </c>
      <c r="E62" s="62" t="s">
        <v>94</v>
      </c>
      <c r="F62" s="51" t="s">
        <v>90</v>
      </c>
      <c r="G62" s="55" t="str">
        <f t="shared" si="2"/>
        <v>Чалахач Туш. кап.</v>
      </c>
      <c r="H62" s="57" t="s">
        <v>1</v>
      </c>
      <c r="I62" s="10" t="str">
        <f>IFERROR(__xludf.DUMMYFUNCTION("""COMPUTED_VALUE"""),"Пельмени ")</f>
        <v>Пельмени </v>
      </c>
      <c r="J62" s="10">
        <f>IFERROR(__xludf.DUMMYFUNCTION("""COMPUTED_VALUE"""),2.0)</f>
        <v>2</v>
      </c>
      <c r="K62" s="10" t="str">
        <f>IFERROR(__xludf.DUMMYFUNCTION("""COMPUTED_VALUE"""),"Олимп")</f>
        <v>Олимп</v>
      </c>
      <c r="L62" s="6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2"/>
      <c r="X62" s="12"/>
      <c r="Y62" s="12"/>
    </row>
    <row r="63" ht="30.0" customHeight="1">
      <c r="A63" s="44" t="s">
        <v>173</v>
      </c>
      <c r="B63" s="47">
        <v>58.0</v>
      </c>
      <c r="C63" s="51" t="s">
        <v>40</v>
      </c>
      <c r="D63" s="51" t="s">
        <v>50</v>
      </c>
      <c r="E63" s="51" t="s">
        <v>83</v>
      </c>
      <c r="F63" s="51"/>
      <c r="G63" s="55" t="str">
        <f t="shared" si="2"/>
        <v>Пельмени </v>
      </c>
      <c r="H63" s="57" t="s">
        <v>1</v>
      </c>
      <c r="I63" s="10" t="str">
        <f>IFERROR(__xludf.DUMMYFUNCTION("""COMPUTED_VALUE"""),"Поперечка ")</f>
        <v>Поперечка </v>
      </c>
      <c r="J63" s="10">
        <f>IFERROR(__xludf.DUMMYFUNCTION("""COMPUTED_VALUE"""),2.0)</f>
        <v>2</v>
      </c>
      <c r="K63" s="10" t="str">
        <f>IFERROR(__xludf.DUMMYFUNCTION("""COMPUTED_VALUE"""),"Олимп")</f>
        <v>Олимп</v>
      </c>
      <c r="L63" s="6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2"/>
      <c r="X63" s="12"/>
      <c r="Y63" s="12"/>
    </row>
    <row r="64" ht="30.0" customHeight="1">
      <c r="A64" s="3" t="s">
        <v>337</v>
      </c>
      <c r="B64" s="125" t="s">
        <v>338</v>
      </c>
      <c r="C64" s="62" t="s">
        <v>28</v>
      </c>
      <c r="D64" s="62" t="s">
        <v>52</v>
      </c>
      <c r="E64" s="62" t="s">
        <v>65</v>
      </c>
      <c r="F64" s="51"/>
      <c r="G64" s="55" t="str">
        <f t="shared" si="2"/>
        <v>Вар.Кар </v>
      </c>
      <c r="H64" s="57" t="s">
        <v>1</v>
      </c>
      <c r="I64" s="10" t="str">
        <f>IFERROR(__xludf.DUMMYFUNCTION("""COMPUTED_VALUE"""),"Поперечка  FF")</f>
        <v>Поперечка  FF</v>
      </c>
      <c r="J64" s="10">
        <f>IFERROR(__xludf.DUMMYFUNCTION("""COMPUTED_VALUE"""),1.0)</f>
        <v>1</v>
      </c>
      <c r="K64" s="10" t="str">
        <f>IFERROR(__xludf.DUMMYFUNCTION("""COMPUTED_VALUE"""),"Олимп")</f>
        <v>Олимп</v>
      </c>
      <c r="L64" s="6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2"/>
      <c r="X64" s="12"/>
      <c r="Y64" s="12"/>
    </row>
    <row r="65" ht="30.0" customHeight="1">
      <c r="A65" s="77" t="s">
        <v>229</v>
      </c>
      <c r="B65" s="87">
        <v>59.0</v>
      </c>
      <c r="C65" s="51" t="s">
        <v>20</v>
      </c>
      <c r="D65" s="51" t="s">
        <v>50</v>
      </c>
      <c r="E65" s="62" t="s">
        <v>67</v>
      </c>
      <c r="F65" s="51" t="s">
        <v>90</v>
      </c>
      <c r="G65" s="55" t="str">
        <f t="shared" si="2"/>
        <v>S   Туш. кап.</v>
      </c>
      <c r="H65" s="57" t="s">
        <v>1</v>
      </c>
      <c r="I65" s="10" t="str">
        <f>IFERROR(__xludf.DUMMYFUNCTION("""COMPUTED_VALUE"""),"Поперечка MP ")</f>
        <v>Поперечка MP </v>
      </c>
      <c r="J65" s="10">
        <f>IFERROR(__xludf.DUMMYFUNCTION("""COMPUTED_VALUE"""),1.0)</f>
        <v>1</v>
      </c>
      <c r="K65" s="10" t="str">
        <f>IFERROR(__xludf.DUMMYFUNCTION("""COMPUTED_VALUE"""),"Олимп")</f>
        <v>Олимп</v>
      </c>
      <c r="L65" s="6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2"/>
      <c r="X65" s="12"/>
      <c r="Y65" s="12"/>
    </row>
    <row r="66" ht="30.0" customHeight="1">
      <c r="A66" s="77" t="s">
        <v>345</v>
      </c>
      <c r="B66" s="47">
        <v>60.0</v>
      </c>
      <c r="C66" s="62" t="s">
        <v>25</v>
      </c>
      <c r="D66" s="51" t="s">
        <v>50</v>
      </c>
      <c r="E66" s="51" t="s">
        <v>80</v>
      </c>
      <c r="F66" s="51" t="s">
        <v>64</v>
      </c>
      <c r="G66" s="55" t="str">
        <f t="shared" si="2"/>
        <v>Котл. кур  FF</v>
      </c>
      <c r="H66" s="57" t="s">
        <v>1</v>
      </c>
      <c r="I66" s="10" t="str">
        <f>IFERROR(__xludf.DUMMYFUNCTION("""COMPUTED_VALUE"""),"Поперечка Гр  ")</f>
        <v>Поперечка Гр  </v>
      </c>
      <c r="J66" s="10">
        <f>IFERROR(__xludf.DUMMYFUNCTION("""COMPUTED_VALUE"""),3.0)</f>
        <v>3</v>
      </c>
      <c r="K66" s="10" t="str">
        <f>IFERROR(__xludf.DUMMYFUNCTION("""COMPUTED_VALUE"""),"Олимп")</f>
        <v>Олимп</v>
      </c>
      <c r="L66" s="6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2"/>
      <c r="X66" s="12"/>
      <c r="Y66" s="12"/>
    </row>
    <row r="67" ht="30.0" customHeight="1">
      <c r="A67" s="3" t="s">
        <v>233</v>
      </c>
      <c r="B67" s="87">
        <v>61.0</v>
      </c>
      <c r="C67" s="51" t="s">
        <v>25</v>
      </c>
      <c r="D67" s="51" t="s">
        <v>57</v>
      </c>
      <c r="E67" s="62" t="s">
        <v>82</v>
      </c>
      <c r="F67" s="62"/>
      <c r="G67" s="55" t="str">
        <f t="shared" si="2"/>
        <v>крылья </v>
      </c>
      <c r="H67" s="57" t="s">
        <v>1</v>
      </c>
      <c r="I67" s="10" t="str">
        <f>IFERROR(__xludf.DUMMYFUNCTION("""COMPUTED_VALUE"""),"Поперечка Картошка")</f>
        <v>Поперечка Картошка</v>
      </c>
      <c r="J67" s="10">
        <f>IFERROR(__xludf.DUMMYFUNCTION("""COMPUTED_VALUE"""),1.0)</f>
        <v>1</v>
      </c>
      <c r="K67" s="10" t="str">
        <f>IFERROR(__xludf.DUMMYFUNCTION("""COMPUTED_VALUE"""),"Олимп")</f>
        <v>Олимп</v>
      </c>
      <c r="L67" s="6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2"/>
      <c r="X67" s="12"/>
      <c r="Y67" s="12"/>
    </row>
    <row r="68" ht="30.0" customHeight="1">
      <c r="A68" s="77" t="s">
        <v>351</v>
      </c>
      <c r="B68" s="47">
        <v>62.0</v>
      </c>
      <c r="C68" s="51" t="s">
        <v>20</v>
      </c>
      <c r="D68" s="51" t="s">
        <v>48</v>
      </c>
      <c r="E68" s="51" t="s">
        <v>94</v>
      </c>
      <c r="F68" s="51" t="s">
        <v>111</v>
      </c>
      <c r="G68" s="55" t="str">
        <f t="shared" si="2"/>
        <v>Чалахач MP </v>
      </c>
      <c r="H68" s="57" t="s">
        <v>1</v>
      </c>
      <c r="I68" s="10" t="str">
        <f>IFERROR(__xludf.DUMMYFUNCTION("""COMPUTED_VALUE"""),"Поперечка Туш. кап.")</f>
        <v>Поперечка Туш. кап.</v>
      </c>
      <c r="J68" s="10">
        <f>IFERROR(__xludf.DUMMYFUNCTION("""COMPUTED_VALUE"""),2.0)</f>
        <v>2</v>
      </c>
      <c r="K68" s="10" t="str">
        <f>IFERROR(__xludf.DUMMYFUNCTION("""COMPUTED_VALUE"""),"Олимп")</f>
        <v>Олимп</v>
      </c>
      <c r="L68" s="6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2"/>
      <c r="X68" s="12"/>
      <c r="Y68" s="12"/>
    </row>
    <row r="69" ht="30.0" customHeight="1">
      <c r="A69" s="77" t="s">
        <v>196</v>
      </c>
      <c r="B69" s="87">
        <v>63.0</v>
      </c>
      <c r="C69" s="51" t="s">
        <v>16</v>
      </c>
      <c r="D69" s="51" t="s">
        <v>59</v>
      </c>
      <c r="E69" s="62" t="s">
        <v>78</v>
      </c>
      <c r="F69" s="101" t="s">
        <v>100</v>
      </c>
      <c r="G69" s="55" t="str">
        <f t="shared" si="2"/>
        <v>Жульен Паста  </v>
      </c>
      <c r="H69" s="57" t="s">
        <v>1</v>
      </c>
      <c r="I69" s="10" t="str">
        <f>IFERROR(__xludf.DUMMYFUNCTION("""COMPUTED_VALUE"""),"Св. отбив   Туш. кап.")</f>
        <v>Св. отбив   Туш. кап.</v>
      </c>
      <c r="J69" s="10">
        <f>IFERROR(__xludf.DUMMYFUNCTION("""COMPUTED_VALUE"""),1.0)</f>
        <v>1</v>
      </c>
      <c r="K69" s="10" t="str">
        <f>IFERROR(__xludf.DUMMYFUNCTION("""COMPUTED_VALUE"""),"Олимп")</f>
        <v>Олимп</v>
      </c>
      <c r="L69" s="6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2"/>
      <c r="X69" s="12"/>
      <c r="Y69" s="12"/>
    </row>
    <row r="70" ht="30.0" customHeight="1">
      <c r="A70" s="77" t="s">
        <v>240</v>
      </c>
      <c r="B70" s="47">
        <v>64.0</v>
      </c>
      <c r="C70" s="51" t="s">
        <v>28</v>
      </c>
      <c r="D70" s="51" t="s">
        <v>57</v>
      </c>
      <c r="E70" s="51" t="s">
        <v>80</v>
      </c>
      <c r="F70" s="101" t="s">
        <v>68</v>
      </c>
      <c r="G70" s="55" t="str">
        <f t="shared" si="2"/>
        <v>Котл. кур Картошка</v>
      </c>
      <c r="H70" s="57" t="s">
        <v>1</v>
      </c>
      <c r="I70" s="10" t="str">
        <f>IFERROR(__xludf.DUMMYFUNCTION("""COMPUTED_VALUE"""),"Терияки Гр  ")</f>
        <v>Терияки Гр  </v>
      </c>
      <c r="J70" s="10">
        <f>IFERROR(__xludf.DUMMYFUNCTION("""COMPUTED_VALUE"""),2.0)</f>
        <v>2</v>
      </c>
      <c r="K70" s="10" t="str">
        <f>IFERROR(__xludf.DUMMYFUNCTION("""COMPUTED_VALUE"""),"Олимп")</f>
        <v>Олимп</v>
      </c>
      <c r="L70" s="6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2"/>
      <c r="X70" s="12"/>
      <c r="Y70" s="12"/>
    </row>
    <row r="71" ht="30.0" customHeight="1">
      <c r="A71" s="44" t="s">
        <v>245</v>
      </c>
      <c r="B71" s="87">
        <v>65.0</v>
      </c>
      <c r="C71" s="51" t="s">
        <v>25</v>
      </c>
      <c r="D71" s="51" t="s">
        <v>61</v>
      </c>
      <c r="E71" s="51" t="s">
        <v>63</v>
      </c>
      <c r="F71" s="51"/>
      <c r="G71" s="55" t="str">
        <f t="shared" si="2"/>
        <v>Баса </v>
      </c>
      <c r="H71" s="57" t="s">
        <v>1</v>
      </c>
      <c r="I71" s="10" t="str">
        <f>IFERROR(__xludf.DUMMYFUNCTION("""COMPUTED_VALUE"""),"Чалахач ")</f>
        <v>Чалахач </v>
      </c>
      <c r="J71" s="10">
        <f>IFERROR(__xludf.DUMMYFUNCTION("""COMPUTED_VALUE"""),2.0)</f>
        <v>2</v>
      </c>
      <c r="K71" s="10" t="str">
        <f>IFERROR(__xludf.DUMMYFUNCTION("""COMPUTED_VALUE"""),"Олимп")</f>
        <v>Олимп</v>
      </c>
      <c r="L71" s="6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2"/>
      <c r="X71" s="12"/>
      <c r="Y71" s="12"/>
    </row>
    <row r="72" ht="30.0" customHeight="1">
      <c r="A72" s="77" t="s">
        <v>358</v>
      </c>
      <c r="B72" s="47">
        <v>66.0</v>
      </c>
      <c r="C72" s="62" t="s">
        <v>35</v>
      </c>
      <c r="D72" s="51" t="s">
        <v>50</v>
      </c>
      <c r="E72" s="62" t="s">
        <v>76</v>
      </c>
      <c r="F72" s="128" t="s">
        <v>111</v>
      </c>
      <c r="G72" s="55" t="str">
        <f t="shared" si="2"/>
        <v>Гуляш MP </v>
      </c>
      <c r="H72" s="57" t="s">
        <v>1</v>
      </c>
      <c r="I72" s="10" t="str">
        <f>IFERROR(__xludf.DUMMYFUNCTION("""COMPUTED_VALUE"""),"Чалахач MP ")</f>
        <v>Чалахач MP </v>
      </c>
      <c r="J72" s="10">
        <f>IFERROR(__xludf.DUMMYFUNCTION("""COMPUTED_VALUE"""),2.0)</f>
        <v>2</v>
      </c>
      <c r="K72" s="10" t="str">
        <f>IFERROR(__xludf.DUMMYFUNCTION("""COMPUTED_VALUE"""),"Олимп")</f>
        <v>Олимп</v>
      </c>
      <c r="L72" s="6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2"/>
      <c r="X72" s="12"/>
      <c r="Y72" s="12"/>
    </row>
    <row r="73" ht="30.0" customHeight="1">
      <c r="A73" s="3" t="s">
        <v>252</v>
      </c>
      <c r="B73" s="87">
        <v>67.0</v>
      </c>
      <c r="C73" s="51" t="s">
        <v>16</v>
      </c>
      <c r="D73" s="51" t="s">
        <v>52</v>
      </c>
      <c r="E73" s="51" t="s">
        <v>97</v>
      </c>
      <c r="F73" s="51" t="s">
        <v>90</v>
      </c>
      <c r="G73" s="55" t="str">
        <f t="shared" si="2"/>
        <v>Шницель Туш. кап.</v>
      </c>
      <c r="H73" s="57" t="s">
        <v>1</v>
      </c>
      <c r="I73" s="10" t="str">
        <f>IFERROR(__xludf.DUMMYFUNCTION("""COMPUTED_VALUE"""),"Чалахач Гр  ")</f>
        <v>Чалахач Гр  </v>
      </c>
      <c r="J73" s="10">
        <f>IFERROR(__xludf.DUMMYFUNCTION("""COMPUTED_VALUE"""),3.0)</f>
        <v>3</v>
      </c>
      <c r="K73" s="10" t="str">
        <f>IFERROR(__xludf.DUMMYFUNCTION("""COMPUTED_VALUE"""),"Олимп")</f>
        <v>Олимп</v>
      </c>
      <c r="L73" s="6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2"/>
      <c r="X73" s="12"/>
      <c r="Y73" s="12"/>
    </row>
    <row r="74" ht="30.0" customHeight="1">
      <c r="A74" s="77" t="s">
        <v>365</v>
      </c>
      <c r="B74" s="47">
        <v>68.0</v>
      </c>
      <c r="C74" s="51" t="s">
        <v>40</v>
      </c>
      <c r="D74" s="51" t="s">
        <v>61</v>
      </c>
      <c r="E74" s="51" t="s">
        <v>65</v>
      </c>
      <c r="F74" s="51"/>
      <c r="G74" s="55" t="str">
        <f t="shared" si="2"/>
        <v>Вар.Кар </v>
      </c>
      <c r="H74" s="57" t="s">
        <v>1</v>
      </c>
      <c r="I74" s="10" t="str">
        <f>IFERROR(__xludf.DUMMYFUNCTION("""COMPUTED_VALUE"""),"Чалахач Паста  ")</f>
        <v>Чалахач Паста  </v>
      </c>
      <c r="J74" s="10">
        <f>IFERROR(__xludf.DUMMYFUNCTION("""COMPUTED_VALUE"""),1.0)</f>
        <v>1</v>
      </c>
      <c r="K74" s="10" t="str">
        <f>IFERROR(__xludf.DUMMYFUNCTION("""COMPUTED_VALUE"""),"Олимп")</f>
        <v>Олимп</v>
      </c>
      <c r="L74" s="6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2"/>
      <c r="X74" s="12"/>
      <c r="Y74" s="12"/>
    </row>
    <row r="75" ht="30.0" customHeight="1">
      <c r="A75" s="3" t="s">
        <v>205</v>
      </c>
      <c r="B75" s="87">
        <v>69.0</v>
      </c>
      <c r="C75" s="51" t="s">
        <v>45</v>
      </c>
      <c r="D75" s="51" t="s">
        <v>50</v>
      </c>
      <c r="E75" s="51" t="s">
        <v>67</v>
      </c>
      <c r="F75" s="62" t="s">
        <v>111</v>
      </c>
      <c r="G75" s="55" t="str">
        <f t="shared" si="2"/>
        <v>S   MP </v>
      </c>
      <c r="H75" s="57" t="s">
        <v>1</v>
      </c>
      <c r="I75" s="10" t="str">
        <f>IFERROR(__xludf.DUMMYFUNCTION("""COMPUTED_VALUE"""),"Чалахач Туш. кап.")</f>
        <v>Чалахач Туш. кап.</v>
      </c>
      <c r="J75" s="10">
        <f>IFERROR(__xludf.DUMMYFUNCTION("""COMPUTED_VALUE"""),1.0)</f>
        <v>1</v>
      </c>
      <c r="K75" s="10" t="str">
        <f>IFERROR(__xludf.DUMMYFUNCTION("""COMPUTED_VALUE"""),"Олимп")</f>
        <v>Олимп</v>
      </c>
      <c r="L75" s="6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2"/>
      <c r="X75" s="12"/>
      <c r="Y75" s="12"/>
    </row>
    <row r="76" ht="30.0" customHeight="1">
      <c r="A76" s="3" t="s">
        <v>369</v>
      </c>
      <c r="B76" s="47">
        <v>70.0</v>
      </c>
      <c r="C76" s="51" t="s">
        <v>35</v>
      </c>
      <c r="D76" s="51" t="s">
        <v>55</v>
      </c>
      <c r="E76" s="51" t="s">
        <v>65</v>
      </c>
      <c r="F76" s="62"/>
      <c r="G76" s="55" t="str">
        <f t="shared" si="2"/>
        <v>Вар.Кар </v>
      </c>
      <c r="H76" s="57" t="s">
        <v>1</v>
      </c>
      <c r="I76" s="10" t="str">
        <f>IFERROR(__xludf.DUMMYFUNCTION("""COMPUTED_VALUE"""),"Шницель ")</f>
        <v>Шницель </v>
      </c>
      <c r="J76" s="10">
        <f>IFERROR(__xludf.DUMMYFUNCTION("""COMPUTED_VALUE"""),1.0)</f>
        <v>1</v>
      </c>
      <c r="K76" s="10" t="str">
        <f>IFERROR(__xludf.DUMMYFUNCTION("""COMPUTED_VALUE"""),"Олимп")</f>
        <v>Олимп</v>
      </c>
      <c r="L76" s="6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2"/>
      <c r="X76" s="12"/>
      <c r="Y76" s="12"/>
    </row>
    <row r="77" ht="30.0" customHeight="1">
      <c r="A77" s="77" t="s">
        <v>256</v>
      </c>
      <c r="B77" s="87">
        <v>71.0</v>
      </c>
      <c r="C77" s="51" t="s">
        <v>25</v>
      </c>
      <c r="D77" s="51" t="s">
        <v>57</v>
      </c>
      <c r="E77" s="51" t="s">
        <v>85</v>
      </c>
      <c r="F77" s="62" t="s">
        <v>103</v>
      </c>
      <c r="G77" s="55" t="str">
        <f t="shared" si="2"/>
        <v>Поперечка Гр  </v>
      </c>
      <c r="H77" s="57" t="s">
        <v>1</v>
      </c>
      <c r="I77" s="10" t="str">
        <f>IFERROR(__xludf.DUMMYFUNCTION("""COMPUTED_VALUE"""),"Шницель Гр  ")</f>
        <v>Шницель Гр  </v>
      </c>
      <c r="J77" s="10">
        <f>IFERROR(__xludf.DUMMYFUNCTION("""COMPUTED_VALUE"""),2.0)</f>
        <v>2</v>
      </c>
      <c r="K77" s="10" t="str">
        <f>IFERROR(__xludf.DUMMYFUNCTION("""COMPUTED_VALUE"""),"Олимп")</f>
        <v>Олимп</v>
      </c>
      <c r="L77" s="6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2"/>
      <c r="X77" s="12"/>
      <c r="Y77" s="12"/>
    </row>
    <row r="78" ht="30.0" customHeight="1">
      <c r="A78" s="77" t="s">
        <v>259</v>
      </c>
      <c r="B78" s="47">
        <v>72.0</v>
      </c>
      <c r="C78" s="51" t="s">
        <v>40</v>
      </c>
      <c r="D78" s="51" t="s">
        <v>52</v>
      </c>
      <c r="E78" s="51" t="s">
        <v>67</v>
      </c>
      <c r="F78" s="51" t="s">
        <v>103</v>
      </c>
      <c r="G78" s="55" t="str">
        <f t="shared" si="2"/>
        <v>S   Гр  </v>
      </c>
      <c r="H78" s="57" t="s">
        <v>1</v>
      </c>
      <c r="I78" s="10" t="str">
        <f>IFERROR(__xludf.DUMMYFUNCTION("""COMPUTED_VALUE"""),"Шницель Картошка")</f>
        <v>Шницель Картошка</v>
      </c>
      <c r="J78" s="10">
        <f>IFERROR(__xludf.DUMMYFUNCTION("""COMPUTED_VALUE"""),1.0)</f>
        <v>1</v>
      </c>
      <c r="K78" s="10" t="str">
        <f>IFERROR(__xludf.DUMMYFUNCTION("""COMPUTED_VALUE"""),"Олимп")</f>
        <v>Олимп</v>
      </c>
      <c r="L78" s="6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2"/>
      <c r="X78" s="12"/>
      <c r="Y78" s="12"/>
    </row>
    <row r="79" ht="30.0" customHeight="1">
      <c r="A79" s="3" t="s">
        <v>371</v>
      </c>
      <c r="B79" s="125" t="s">
        <v>338</v>
      </c>
      <c r="C79" s="62" t="s">
        <v>28</v>
      </c>
      <c r="D79" s="62" t="s">
        <v>52</v>
      </c>
      <c r="E79" s="62" t="s">
        <v>73</v>
      </c>
      <c r="F79" s="51"/>
      <c r="G79" s="55" t="str">
        <f t="shared" si="2"/>
        <v>Бл. твор </v>
      </c>
      <c r="H79" s="57" t="s">
        <v>1</v>
      </c>
      <c r="I79" s="10" t="str">
        <f>IFERROR(__xludf.DUMMYFUNCTION("""COMPUTED_VALUE"""),"Шницель Туш. кап.")</f>
        <v>Шницель Туш. кап.</v>
      </c>
      <c r="J79" s="10">
        <f>IFERROR(__xludf.DUMMYFUNCTION("""COMPUTED_VALUE"""),3.0)</f>
        <v>3</v>
      </c>
      <c r="K79" s="10" t="str">
        <f>IFERROR(__xludf.DUMMYFUNCTION("""COMPUTED_VALUE"""),"Олимп")</f>
        <v>Олимп</v>
      </c>
      <c r="L79" s="6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2"/>
      <c r="X79" s="12"/>
      <c r="Y79" s="12"/>
    </row>
    <row r="80" ht="30.0" customHeight="1">
      <c r="A80" s="77" t="s">
        <v>264</v>
      </c>
      <c r="B80" s="87">
        <v>73.0</v>
      </c>
      <c r="C80" s="51" t="s">
        <v>35</v>
      </c>
      <c r="D80" s="51" t="s">
        <v>55</v>
      </c>
      <c r="E80" s="51" t="s">
        <v>97</v>
      </c>
      <c r="F80" s="51" t="s">
        <v>90</v>
      </c>
      <c r="G80" s="55" t="str">
        <f t="shared" si="2"/>
        <v>Шницель Туш. кап.</v>
      </c>
      <c r="H80" s="57" t="s">
        <v>1</v>
      </c>
      <c r="I80" s="10" t="str">
        <f>IFERROR(__xludf.DUMMYFUNCTION("""COMPUTED_VALUE"""),"Шницель Фасоль")</f>
        <v>Шницель Фасоль</v>
      </c>
      <c r="J80" s="10">
        <f>IFERROR(__xludf.DUMMYFUNCTION("""COMPUTED_VALUE"""),1.0)</f>
        <v>1</v>
      </c>
      <c r="K80" s="10" t="str">
        <f>IFERROR(__xludf.DUMMYFUNCTION("""COMPUTED_VALUE"""),"Олимп")</f>
        <v>Олимп</v>
      </c>
      <c r="L80" s="6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2"/>
      <c r="X80" s="12"/>
      <c r="Y80" s="12"/>
    </row>
    <row r="81" ht="30.0" customHeight="1">
      <c r="A81" s="130" t="s">
        <v>373</v>
      </c>
      <c r="B81" s="47">
        <v>74.0</v>
      </c>
      <c r="C81" s="51" t="s">
        <v>33</v>
      </c>
      <c r="D81" s="51" t="s">
        <v>61</v>
      </c>
      <c r="E81" s="51" t="s">
        <v>67</v>
      </c>
      <c r="F81" s="51" t="s">
        <v>111</v>
      </c>
      <c r="G81" s="55" t="str">
        <f t="shared" si="2"/>
        <v>S   MP </v>
      </c>
      <c r="H81" s="57" t="s">
        <v>1</v>
      </c>
      <c r="I81" s="10" t="str">
        <f>IFERROR(__xludf.DUMMYFUNCTION("""COMPUTED_VALUE"""),"крылья ")</f>
        <v>крылья </v>
      </c>
      <c r="J81" s="10">
        <f>IFERROR(__xludf.DUMMYFUNCTION("""COMPUTED_VALUE"""),5.0)</f>
        <v>5</v>
      </c>
      <c r="K81" s="10" t="str">
        <f>IFERROR(__xludf.DUMMYFUNCTION("""COMPUTED_VALUE"""),"Олимп")</f>
        <v>Олимп</v>
      </c>
      <c r="L81" s="6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2"/>
      <c r="X81" s="12"/>
      <c r="Y81" s="12"/>
    </row>
    <row r="82" ht="30.0" customHeight="1">
      <c r="A82" s="3" t="s">
        <v>376</v>
      </c>
      <c r="B82" s="87">
        <v>75.0</v>
      </c>
      <c r="C82" s="51" t="s">
        <v>16</v>
      </c>
      <c r="D82" s="51" t="s">
        <v>55</v>
      </c>
      <c r="E82" s="51" t="s">
        <v>91</v>
      </c>
      <c r="F82" s="62" t="s">
        <v>103</v>
      </c>
      <c r="G82" s="55" t="str">
        <f t="shared" si="2"/>
        <v>табака  Гр  </v>
      </c>
      <c r="H82" s="57" t="s">
        <v>1</v>
      </c>
      <c r="I82" s="68" t="str">
        <f>IFERROR(__xludf.DUMMYFUNCTION("""COMPUTED_VALUE"""),"крылья Гр  ")</f>
        <v>крылья Гр  </v>
      </c>
      <c r="J82" s="68">
        <f>IFERROR(__xludf.DUMMYFUNCTION("""COMPUTED_VALUE"""),2.0)</f>
        <v>2</v>
      </c>
      <c r="K82" s="68" t="str">
        <f>IFERROR(__xludf.DUMMYFUNCTION("""COMPUTED_VALUE"""),"Олимп")</f>
        <v>Олимп</v>
      </c>
      <c r="L82" s="64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ht="30.0" customHeight="1">
      <c r="A83" s="44" t="s">
        <v>377</v>
      </c>
      <c r="B83" s="47">
        <v>76.0</v>
      </c>
      <c r="C83" s="51" t="s">
        <v>45</v>
      </c>
      <c r="D83" s="51" t="s">
        <v>57</v>
      </c>
      <c r="E83" s="51" t="s">
        <v>85</v>
      </c>
      <c r="F83" s="51" t="s">
        <v>90</v>
      </c>
      <c r="G83" s="55" t="str">
        <f t="shared" si="2"/>
        <v>Поперечка Туш. кап.</v>
      </c>
      <c r="H83" s="57" t="s">
        <v>1</v>
      </c>
      <c r="I83" s="10" t="str">
        <f>IFERROR(__xludf.DUMMYFUNCTION("""COMPUTED_VALUE"""),"табака  Гр  ")</f>
        <v>табака  Гр  </v>
      </c>
      <c r="J83" s="10">
        <f>IFERROR(__xludf.DUMMYFUNCTION("""COMPUTED_VALUE"""),1.0)</f>
        <v>1</v>
      </c>
      <c r="K83" s="10" t="str">
        <f>IFERROR(__xludf.DUMMYFUNCTION("""COMPUTED_VALUE"""),"Олимп")</f>
        <v>Олимп</v>
      </c>
      <c r="L83" s="6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2"/>
      <c r="X83" s="12"/>
      <c r="Y83" s="12"/>
    </row>
    <row r="84" ht="30.0" customHeight="1">
      <c r="A84" s="44" t="s">
        <v>282</v>
      </c>
      <c r="B84" s="87">
        <v>77.0</v>
      </c>
      <c r="C84" s="51" t="s">
        <v>33</v>
      </c>
      <c r="D84" s="51" t="s">
        <v>52</v>
      </c>
      <c r="E84" s="51" t="s">
        <v>73</v>
      </c>
      <c r="F84" s="62"/>
      <c r="G84" s="55" t="str">
        <f t="shared" si="2"/>
        <v>Бл. твор </v>
      </c>
      <c r="H84" s="57" t="s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2"/>
      <c r="X84" s="12"/>
      <c r="Y84" s="12"/>
    </row>
    <row r="85" ht="30.0" customHeight="1">
      <c r="A85" s="44" t="s">
        <v>380</v>
      </c>
      <c r="B85" s="47">
        <v>78.0</v>
      </c>
      <c r="C85" s="51" t="s">
        <v>20</v>
      </c>
      <c r="D85" s="51" t="s">
        <v>55</v>
      </c>
      <c r="E85" s="51" t="s">
        <v>67</v>
      </c>
      <c r="F85" s="62" t="s">
        <v>111</v>
      </c>
      <c r="G85" s="55" t="str">
        <f> CONCATENATE(E86," ", F85)</f>
        <v>Чалахач MP </v>
      </c>
      <c r="H85" s="57" t="s">
        <v>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2"/>
      <c r="X85" s="12"/>
      <c r="Y85" s="12"/>
    </row>
    <row r="86" ht="30.0" customHeight="1">
      <c r="A86" s="77" t="s">
        <v>295</v>
      </c>
      <c r="B86" s="87">
        <v>79.0</v>
      </c>
      <c r="C86" s="51" t="s">
        <v>35</v>
      </c>
      <c r="D86" s="51" t="s">
        <v>59</v>
      </c>
      <c r="E86" s="51" t="s">
        <v>94</v>
      </c>
      <c r="F86" s="51" t="s">
        <v>103</v>
      </c>
      <c r="G86" s="55" t="str">
        <f t="shared" ref="G86:G87" si="3"> CONCATENATE(E114," ", F86)</f>
        <v>Терияки Гр  </v>
      </c>
      <c r="H86" s="57" t="s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2"/>
      <c r="X86" s="12"/>
      <c r="Y86" s="12"/>
    </row>
    <row r="87" ht="30.0" customHeight="1">
      <c r="A87" s="44" t="s">
        <v>381</v>
      </c>
      <c r="B87" s="131" t="s">
        <v>382</v>
      </c>
      <c r="C87" s="51" t="s">
        <v>25</v>
      </c>
      <c r="D87" s="51" t="s">
        <v>52</v>
      </c>
      <c r="E87" s="51" t="s">
        <v>71</v>
      </c>
      <c r="F87" s="132"/>
      <c r="G87" s="55" t="str">
        <f t="shared" si="3"/>
        <v>Поперечка </v>
      </c>
      <c r="H87" s="57" t="s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2"/>
      <c r="X87" s="12"/>
      <c r="Y87" s="12"/>
    </row>
    <row r="88" ht="30.0" customHeight="1">
      <c r="A88" s="91" t="s">
        <v>384</v>
      </c>
      <c r="B88" s="47">
        <v>80.0</v>
      </c>
      <c r="C88" s="51" t="s">
        <v>31</v>
      </c>
      <c r="D88" s="51" t="s">
        <v>50</v>
      </c>
      <c r="E88" s="51" t="s">
        <v>85</v>
      </c>
      <c r="F88" s="51" t="s">
        <v>64</v>
      </c>
      <c r="G88" s="55" t="str">
        <f t="shared" ref="G88:G96" si="4"> CONCATENATE(E88," ", F88)</f>
        <v>Поперечка  FF</v>
      </c>
      <c r="H88" s="57" t="s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2"/>
      <c r="X88" s="12"/>
      <c r="Y88" s="12"/>
    </row>
    <row r="89" ht="30.0" customHeight="1">
      <c r="A89" s="77" t="s">
        <v>386</v>
      </c>
      <c r="B89" s="87">
        <v>81.0</v>
      </c>
      <c r="C89" s="51" t="s">
        <v>40</v>
      </c>
      <c r="D89" s="51" t="s">
        <v>52</v>
      </c>
      <c r="E89" s="51" t="s">
        <v>85</v>
      </c>
      <c r="F89" s="51" t="s">
        <v>68</v>
      </c>
      <c r="G89" s="55" t="str">
        <f t="shared" si="4"/>
        <v>Поперечка Картошка</v>
      </c>
      <c r="H89" s="57" t="s">
        <v>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2"/>
      <c r="X89" s="12"/>
      <c r="Y89" s="12"/>
    </row>
    <row r="90" ht="30.0" customHeight="1">
      <c r="A90" s="77" t="s">
        <v>387</v>
      </c>
      <c r="B90" s="47">
        <v>82.0</v>
      </c>
      <c r="C90" s="51" t="s">
        <v>25</v>
      </c>
      <c r="D90" s="51" t="s">
        <v>48</v>
      </c>
      <c r="E90" s="51" t="s">
        <v>63</v>
      </c>
      <c r="F90" s="62" t="s">
        <v>111</v>
      </c>
      <c r="G90" s="55" t="str">
        <f t="shared" si="4"/>
        <v>Баса MP </v>
      </c>
      <c r="H90" s="57" t="s">
        <v>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2"/>
      <c r="X90" s="12"/>
      <c r="Y90" s="12"/>
    </row>
    <row r="91" ht="30.0" customHeight="1">
      <c r="A91" s="77" t="s">
        <v>388</v>
      </c>
      <c r="B91" s="87">
        <v>83.0</v>
      </c>
      <c r="C91" s="51" t="s">
        <v>20</v>
      </c>
      <c r="D91" s="51" t="s">
        <v>48</v>
      </c>
      <c r="E91" s="51" t="s">
        <v>97</v>
      </c>
      <c r="F91" s="51" t="s">
        <v>90</v>
      </c>
      <c r="G91" s="55" t="str">
        <f t="shared" si="4"/>
        <v>Шницель Туш. кап.</v>
      </c>
      <c r="H91" s="57" t="s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2"/>
      <c r="X91" s="12"/>
      <c r="Y91" s="12"/>
    </row>
    <row r="92" ht="30.0" customHeight="1">
      <c r="A92" s="77" t="s">
        <v>389</v>
      </c>
      <c r="B92" s="47">
        <v>84.0</v>
      </c>
      <c r="C92" s="51" t="s">
        <v>33</v>
      </c>
      <c r="D92" s="51" t="s">
        <v>59</v>
      </c>
      <c r="E92" s="51" t="s">
        <v>67</v>
      </c>
      <c r="F92" s="62" t="s">
        <v>111</v>
      </c>
      <c r="G92" s="55" t="str">
        <f t="shared" si="4"/>
        <v>S   MP </v>
      </c>
      <c r="H92" s="57" t="s">
        <v>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2"/>
      <c r="X92" s="12"/>
      <c r="Y92" s="12"/>
    </row>
    <row r="93" ht="30.0" customHeight="1">
      <c r="A93" s="77" t="s">
        <v>390</v>
      </c>
      <c r="B93" s="87">
        <v>85.0</v>
      </c>
      <c r="C93" s="51" t="s">
        <v>28</v>
      </c>
      <c r="D93" s="51" t="s">
        <v>52</v>
      </c>
      <c r="E93" s="51" t="s">
        <v>94</v>
      </c>
      <c r="F93" s="62" t="s">
        <v>103</v>
      </c>
      <c r="G93" s="55" t="str">
        <f t="shared" si="4"/>
        <v>Чалахач Гр  </v>
      </c>
      <c r="H93" s="57" t="s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2"/>
      <c r="X93" s="12"/>
      <c r="Y93" s="12"/>
    </row>
    <row r="94" ht="30.0" customHeight="1">
      <c r="A94" s="91" t="s">
        <v>391</v>
      </c>
      <c r="B94" s="47">
        <v>86.0</v>
      </c>
      <c r="C94" s="51" t="s">
        <v>28</v>
      </c>
      <c r="D94" s="51"/>
      <c r="E94" s="51" t="s">
        <v>77</v>
      </c>
      <c r="F94" s="51" t="s">
        <v>117</v>
      </c>
      <c r="G94" s="55" t="str">
        <f t="shared" si="4"/>
        <v>Дорадо Фасоль</v>
      </c>
      <c r="H94" s="57" t="s">
        <v>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2"/>
      <c r="X94" s="12"/>
      <c r="Y94" s="12"/>
    </row>
    <row r="95" ht="30.0" customHeight="1">
      <c r="A95" s="44" t="s">
        <v>247</v>
      </c>
      <c r="B95" s="87">
        <v>87.0</v>
      </c>
      <c r="C95" s="51" t="s">
        <v>20</v>
      </c>
      <c r="D95" s="51" t="s">
        <v>50</v>
      </c>
      <c r="E95" s="51" t="s">
        <v>83</v>
      </c>
      <c r="F95" s="51"/>
      <c r="G95" s="55" t="str">
        <f t="shared" si="4"/>
        <v>Пельмени </v>
      </c>
      <c r="H95" s="57" t="s">
        <v>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2"/>
      <c r="X95" s="12"/>
      <c r="Y95" s="12"/>
    </row>
    <row r="96" ht="30.0" customHeight="1">
      <c r="A96" s="91" t="s">
        <v>393</v>
      </c>
      <c r="B96" s="47">
        <v>88.0</v>
      </c>
      <c r="C96" s="51" t="s">
        <v>25</v>
      </c>
      <c r="D96" s="51" t="s">
        <v>48</v>
      </c>
      <c r="E96" s="51" t="s">
        <v>88</v>
      </c>
      <c r="F96" s="51" t="s">
        <v>90</v>
      </c>
      <c r="G96" s="55" t="str">
        <f t="shared" si="4"/>
        <v>Св. отбив   Туш. кап.</v>
      </c>
      <c r="H96" s="57" t="s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2"/>
      <c r="X96" s="12"/>
      <c r="Y96" s="12"/>
    </row>
    <row r="97" ht="30.0" customHeight="1">
      <c r="A97" s="3" t="s">
        <v>250</v>
      </c>
      <c r="B97" s="87">
        <v>89.0</v>
      </c>
      <c r="C97" s="109" t="s">
        <v>251</v>
      </c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2"/>
      <c r="X97" s="12"/>
      <c r="Y97" s="12"/>
    </row>
    <row r="98" ht="30.0" customHeight="1">
      <c r="A98" s="64"/>
      <c r="B98" s="64"/>
      <c r="C98" s="64"/>
      <c r="D98" s="64"/>
      <c r="E98" s="64"/>
      <c r="F98" s="64"/>
      <c r="G98" s="64"/>
      <c r="H98" s="6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2"/>
      <c r="X98" s="12"/>
      <c r="Y98" s="12"/>
    </row>
    <row r="99" ht="30.0" customHeight="1">
      <c r="A99" s="64"/>
      <c r="B99" s="64"/>
      <c r="C99" s="64"/>
      <c r="D99" s="64"/>
      <c r="E99" s="64"/>
      <c r="F99" s="64"/>
      <c r="G99" s="64"/>
      <c r="H99" s="6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2"/>
      <c r="X99" s="12"/>
      <c r="Y99" s="12"/>
    </row>
    <row r="100" ht="30.0" customHeight="1">
      <c r="A100" s="64"/>
      <c r="B100" s="64"/>
      <c r="C100" s="64"/>
      <c r="D100" s="64"/>
      <c r="E100" s="64"/>
      <c r="F100" s="64"/>
      <c r="G100" s="64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2"/>
      <c r="X100" s="12"/>
      <c r="Y100" s="12"/>
    </row>
    <row r="101">
      <c r="A101" s="64"/>
      <c r="B101" s="64"/>
      <c r="C101" s="64"/>
      <c r="D101" s="64"/>
      <c r="E101" s="64"/>
      <c r="F101" s="64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64"/>
      <c r="X101" s="64"/>
      <c r="Y101" s="64"/>
    </row>
    <row r="102">
      <c r="A102" s="64"/>
      <c r="B102" s="64"/>
      <c r="C102" s="64"/>
      <c r="D102" s="64"/>
      <c r="E102" s="64"/>
      <c r="F102" s="132"/>
      <c r="G102" s="77"/>
      <c r="H102" s="57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64"/>
      <c r="X102" s="64"/>
      <c r="Y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64"/>
      <c r="X103" s="64"/>
      <c r="Y103" s="64"/>
    </row>
    <row r="104">
      <c r="A104" s="64"/>
      <c r="B104" s="64"/>
      <c r="C104" s="64"/>
      <c r="D104" s="64"/>
      <c r="E104" s="64"/>
      <c r="F104" s="132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64"/>
      <c r="X104" s="64"/>
      <c r="Y104" s="64"/>
    </row>
    <row r="105">
      <c r="A105" s="64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64"/>
      <c r="X105" s="64"/>
      <c r="Y105" s="64"/>
    </row>
    <row r="106">
      <c r="A106" s="64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64"/>
      <c r="X106" s="64"/>
      <c r="Y106" s="64"/>
    </row>
    <row r="107">
      <c r="A107" s="64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64"/>
      <c r="X107" s="64"/>
      <c r="Y107" s="64"/>
    </row>
    <row r="108">
      <c r="A108" s="72" t="s">
        <v>333</v>
      </c>
      <c r="B108" s="131" t="s">
        <v>382</v>
      </c>
      <c r="C108" s="51" t="s">
        <v>40</v>
      </c>
      <c r="D108" s="51" t="s">
        <v>61</v>
      </c>
      <c r="E108" s="51" t="s">
        <v>75</v>
      </c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64"/>
      <c r="X108" s="64"/>
      <c r="Y108" s="64"/>
    </row>
    <row r="109">
      <c r="A109" s="77" t="s">
        <v>318</v>
      </c>
      <c r="B109" s="131" t="s">
        <v>382</v>
      </c>
      <c r="C109" s="51" t="s">
        <v>25</v>
      </c>
      <c r="D109" s="51" t="s">
        <v>52</v>
      </c>
      <c r="E109" s="51" t="s">
        <v>67</v>
      </c>
      <c r="F109" s="51" t="s">
        <v>103</v>
      </c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64"/>
      <c r="X109" s="64"/>
      <c r="Y109" s="64"/>
    </row>
    <row r="110">
      <c r="A110" s="77" t="s">
        <v>321</v>
      </c>
      <c r="B110" s="131" t="s">
        <v>382</v>
      </c>
      <c r="C110" s="51" t="s">
        <v>16</v>
      </c>
      <c r="D110" s="51" t="s">
        <v>61</v>
      </c>
      <c r="E110" s="51" t="s">
        <v>67</v>
      </c>
      <c r="F110" s="51" t="s">
        <v>111</v>
      </c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64"/>
      <c r="X110" s="64"/>
      <c r="Y110" s="64"/>
    </row>
    <row r="111">
      <c r="A111" s="91" t="s">
        <v>394</v>
      </c>
      <c r="B111" s="131" t="s">
        <v>382</v>
      </c>
      <c r="C111" s="51" t="s">
        <v>33</v>
      </c>
      <c r="D111" s="51" t="s">
        <v>55</v>
      </c>
      <c r="E111" s="51" t="s">
        <v>67</v>
      </c>
      <c r="F111" s="51" t="s">
        <v>68</v>
      </c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64"/>
      <c r="X111" s="64"/>
      <c r="Y111" s="64"/>
    </row>
    <row r="112">
      <c r="A112" s="91" t="s">
        <v>395</v>
      </c>
      <c r="B112" s="131" t="s">
        <v>382</v>
      </c>
      <c r="C112" s="51" t="s">
        <v>31</v>
      </c>
      <c r="D112" s="51" t="s">
        <v>48</v>
      </c>
      <c r="E112" s="51" t="s">
        <v>76</v>
      </c>
      <c r="F112" s="93" t="s">
        <v>90</v>
      </c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64"/>
      <c r="X112" s="64"/>
      <c r="Y112" s="64"/>
    </row>
    <row r="113"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64"/>
      <c r="X113" s="64"/>
      <c r="Y113" s="64"/>
    </row>
    <row r="114">
      <c r="A114" s="77" t="s">
        <v>396</v>
      </c>
      <c r="B114" s="131" t="s">
        <v>382</v>
      </c>
      <c r="C114" s="51" t="s">
        <v>28</v>
      </c>
      <c r="D114" s="51" t="s">
        <v>61</v>
      </c>
      <c r="E114" s="51" t="s">
        <v>93</v>
      </c>
      <c r="F114" s="51" t="s">
        <v>111</v>
      </c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64"/>
      <c r="X114" s="64"/>
      <c r="Y114" s="64"/>
    </row>
    <row r="115">
      <c r="A115" s="91" t="s">
        <v>397</v>
      </c>
      <c r="B115" s="131" t="s">
        <v>382</v>
      </c>
      <c r="C115" s="51" t="s">
        <v>25</v>
      </c>
      <c r="D115" s="51" t="s">
        <v>52</v>
      </c>
      <c r="E115" s="51" t="s">
        <v>85</v>
      </c>
      <c r="F115" s="62" t="s">
        <v>103</v>
      </c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64"/>
      <c r="X115" s="64"/>
      <c r="Y115" s="64"/>
    </row>
    <row r="116">
      <c r="A116" s="91" t="s">
        <v>398</v>
      </c>
      <c r="B116" s="131" t="s">
        <v>382</v>
      </c>
      <c r="C116" s="51" t="s">
        <v>25</v>
      </c>
      <c r="D116" s="51" t="s">
        <v>57</v>
      </c>
      <c r="E116" s="51" t="s">
        <v>85</v>
      </c>
      <c r="F116" s="84" t="s">
        <v>111</v>
      </c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64"/>
      <c r="X116" s="64"/>
      <c r="Y116" s="64"/>
    </row>
    <row r="117">
      <c r="A117" s="44" t="s">
        <v>399</v>
      </c>
      <c r="B117" s="136" t="s">
        <v>400</v>
      </c>
      <c r="C117" s="51" t="s">
        <v>35</v>
      </c>
      <c r="D117" s="51" t="s">
        <v>52</v>
      </c>
      <c r="E117" s="51" t="s">
        <v>88</v>
      </c>
      <c r="F117" s="51" t="s">
        <v>68</v>
      </c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64"/>
      <c r="X117" s="64"/>
      <c r="Y117" s="64"/>
    </row>
    <row r="118">
      <c r="A118" s="44" t="s">
        <v>401</v>
      </c>
      <c r="B118" s="131" t="s">
        <v>382</v>
      </c>
      <c r="C118" s="51" t="s">
        <v>31</v>
      </c>
      <c r="D118" s="51" t="s">
        <v>50</v>
      </c>
      <c r="E118" s="51" t="s">
        <v>67</v>
      </c>
      <c r="F118" s="62" t="s">
        <v>103</v>
      </c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64"/>
      <c r="X118" s="64"/>
      <c r="Y118" s="64"/>
    </row>
    <row r="119">
      <c r="A119" s="77" t="s">
        <v>325</v>
      </c>
      <c r="B119" s="114" t="s">
        <v>326</v>
      </c>
      <c r="C119" s="51" t="s">
        <v>40</v>
      </c>
      <c r="D119" s="51" t="s">
        <v>57</v>
      </c>
      <c r="E119" s="51" t="s">
        <v>77</v>
      </c>
      <c r="F119" s="51" t="s">
        <v>64</v>
      </c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64"/>
      <c r="X119" s="64"/>
      <c r="Y119" s="64"/>
    </row>
    <row r="120">
      <c r="A120" s="64"/>
      <c r="B120" s="111"/>
      <c r="C120" s="64"/>
      <c r="D120" s="64"/>
      <c r="E120" s="132"/>
      <c r="F120" s="132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64"/>
      <c r="X120" s="64"/>
      <c r="Y120" s="64"/>
    </row>
    <row r="121">
      <c r="A121" s="64"/>
      <c r="B121" s="111"/>
      <c r="C121" s="64"/>
      <c r="D121" s="64"/>
      <c r="E121" s="132"/>
      <c r="F121" s="132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64"/>
      <c r="X121" s="64"/>
      <c r="Y121" s="64"/>
    </row>
    <row r="122">
      <c r="A122" s="64"/>
      <c r="B122" s="111"/>
      <c r="C122" s="64"/>
      <c r="D122" s="64"/>
      <c r="E122" s="132"/>
      <c r="F122" s="132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64"/>
      <c r="X122" s="64"/>
      <c r="Y122" s="64"/>
    </row>
    <row r="123">
      <c r="A123" s="64"/>
      <c r="B123" s="111"/>
      <c r="C123" s="64"/>
      <c r="D123" s="64"/>
      <c r="E123" s="132"/>
      <c r="F123" s="132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64"/>
      <c r="X123" s="64"/>
      <c r="Y123" s="64"/>
    </row>
    <row r="124">
      <c r="A124" s="64"/>
      <c r="B124" s="111"/>
      <c r="C124" s="64"/>
      <c r="D124" s="64"/>
      <c r="E124" s="132"/>
      <c r="F124" s="132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64"/>
      <c r="X124" s="64"/>
      <c r="Y124" s="64"/>
    </row>
    <row r="125">
      <c r="A125" s="64"/>
      <c r="B125" s="111"/>
      <c r="C125" s="64"/>
      <c r="D125" s="64"/>
      <c r="E125" s="132"/>
      <c r="F125" s="132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64"/>
      <c r="X125" s="64"/>
      <c r="Y125" s="64"/>
    </row>
    <row r="126">
      <c r="A126" s="64"/>
      <c r="B126" s="111"/>
      <c r="C126" s="64"/>
      <c r="D126" s="64"/>
      <c r="E126" s="132"/>
      <c r="F126" s="132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64"/>
      <c r="X126" s="64"/>
      <c r="Y126" s="64"/>
    </row>
    <row r="127">
      <c r="A127" s="64"/>
      <c r="B127" s="111"/>
      <c r="C127" s="64"/>
      <c r="D127" s="64"/>
      <c r="E127" s="132"/>
      <c r="F127" s="132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64"/>
      <c r="X127" s="64"/>
      <c r="Y127" s="64"/>
    </row>
    <row r="128">
      <c r="A128" s="64"/>
      <c r="B128" s="111"/>
      <c r="C128" s="64"/>
      <c r="D128" s="64"/>
      <c r="E128" s="132"/>
      <c r="F128" s="132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64"/>
      <c r="X128" s="64"/>
      <c r="Y128" s="64"/>
    </row>
    <row r="129">
      <c r="A129" s="64"/>
      <c r="B129" s="111"/>
      <c r="C129" s="64"/>
      <c r="D129" s="64"/>
      <c r="E129" s="132"/>
      <c r="F129" s="132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64"/>
      <c r="X129" s="64"/>
      <c r="Y129" s="64"/>
    </row>
    <row r="130">
      <c r="A130" s="64"/>
      <c r="B130" s="111"/>
      <c r="C130" s="64"/>
      <c r="D130" s="64"/>
      <c r="E130" s="132"/>
      <c r="F130" s="132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64"/>
      <c r="X130" s="64"/>
      <c r="Y130" s="64"/>
    </row>
    <row r="131">
      <c r="A131" s="64"/>
      <c r="B131" s="111"/>
      <c r="C131" s="64"/>
      <c r="D131" s="64"/>
      <c r="E131" s="132"/>
      <c r="F131" s="132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64"/>
      <c r="X131" s="64"/>
      <c r="Y131" s="64"/>
    </row>
    <row r="132">
      <c r="A132" s="64"/>
      <c r="B132" s="111"/>
      <c r="C132" s="64"/>
      <c r="D132" s="64"/>
      <c r="E132" s="132"/>
      <c r="F132" s="132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64"/>
      <c r="X132" s="64"/>
      <c r="Y132" s="64"/>
    </row>
    <row r="133">
      <c r="A133" s="64"/>
      <c r="B133" s="111"/>
      <c r="C133" s="64"/>
      <c r="D133" s="64"/>
      <c r="E133" s="132"/>
      <c r="F133" s="132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64"/>
      <c r="X133" s="64"/>
      <c r="Y133" s="64"/>
    </row>
    <row r="134">
      <c r="A134" s="64"/>
      <c r="B134" s="111"/>
      <c r="C134" s="64"/>
      <c r="D134" s="64"/>
      <c r="E134" s="132"/>
      <c r="F134" s="132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64"/>
      <c r="X134" s="64"/>
      <c r="Y134" s="64"/>
    </row>
    <row r="135">
      <c r="A135" s="64"/>
      <c r="B135" s="111"/>
      <c r="C135" s="64"/>
      <c r="D135" s="64"/>
      <c r="E135" s="132"/>
      <c r="F135" s="132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64"/>
      <c r="X135" s="64"/>
      <c r="Y135" s="64"/>
    </row>
    <row r="136">
      <c r="A136" s="64"/>
      <c r="B136" s="111"/>
      <c r="C136" s="64"/>
      <c r="D136" s="64"/>
      <c r="E136" s="132"/>
      <c r="F136" s="132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64"/>
      <c r="X136" s="64"/>
      <c r="Y136" s="64"/>
    </row>
    <row r="137">
      <c r="A137" s="64"/>
      <c r="B137" s="111"/>
      <c r="C137" s="64"/>
      <c r="D137" s="64"/>
      <c r="E137" s="132"/>
      <c r="F137" s="132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64"/>
      <c r="X137" s="64"/>
      <c r="Y137" s="64"/>
    </row>
    <row r="138">
      <c r="A138" s="64"/>
      <c r="B138" s="111"/>
      <c r="C138" s="64"/>
      <c r="D138" s="64"/>
      <c r="E138" s="132"/>
      <c r="F138" s="132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64"/>
      <c r="X138" s="64"/>
      <c r="Y138" s="64"/>
    </row>
    <row r="139">
      <c r="A139" s="64"/>
      <c r="B139" s="111"/>
      <c r="C139" s="64"/>
      <c r="D139" s="64"/>
      <c r="E139" s="132"/>
      <c r="F139" s="132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64"/>
      <c r="X139" s="64"/>
      <c r="Y139" s="64"/>
    </row>
    <row r="140">
      <c r="A140" s="64"/>
      <c r="B140" s="111"/>
      <c r="C140" s="64"/>
      <c r="D140" s="64"/>
      <c r="E140" s="132"/>
      <c r="F140" s="132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64"/>
      <c r="X140" s="64"/>
      <c r="Y140" s="64"/>
    </row>
    <row r="141">
      <c r="A141" s="64"/>
      <c r="B141" s="111"/>
      <c r="C141" s="64"/>
      <c r="D141" s="64"/>
      <c r="E141" s="132"/>
      <c r="F141" s="132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64"/>
      <c r="X141" s="64"/>
      <c r="Y141" s="64"/>
    </row>
    <row r="142">
      <c r="A142" s="64"/>
      <c r="B142" s="111"/>
      <c r="C142" s="64"/>
      <c r="D142" s="64"/>
      <c r="E142" s="132"/>
      <c r="F142" s="132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64"/>
      <c r="X142" s="64"/>
      <c r="Y142" s="64"/>
    </row>
    <row r="143">
      <c r="A143" s="64"/>
      <c r="B143" s="111"/>
      <c r="C143" s="64"/>
      <c r="D143" s="64"/>
      <c r="E143" s="132"/>
      <c r="F143" s="132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64"/>
      <c r="X143" s="64"/>
      <c r="Y143" s="64"/>
    </row>
    <row r="144">
      <c r="A144" s="64"/>
      <c r="B144" s="111"/>
      <c r="C144" s="64"/>
      <c r="D144" s="64"/>
      <c r="E144" s="132"/>
      <c r="F144" s="132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64"/>
      <c r="X144" s="64"/>
      <c r="Y144" s="64"/>
    </row>
    <row r="145">
      <c r="A145" s="64"/>
      <c r="B145" s="111"/>
      <c r="C145" s="64"/>
      <c r="D145" s="64"/>
      <c r="E145" s="132"/>
      <c r="F145" s="132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64"/>
      <c r="X145" s="64"/>
      <c r="Y145" s="64"/>
    </row>
    <row r="146">
      <c r="A146" s="64"/>
      <c r="B146" s="111"/>
      <c r="C146" s="64"/>
      <c r="D146" s="64"/>
      <c r="E146" s="132"/>
      <c r="F146" s="132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64"/>
      <c r="X146" s="64"/>
      <c r="Y146" s="64"/>
    </row>
    <row r="147">
      <c r="A147" s="64"/>
      <c r="B147" s="111"/>
      <c r="C147" s="64"/>
      <c r="D147" s="64"/>
      <c r="E147" s="132"/>
      <c r="F147" s="132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64"/>
      <c r="X147" s="64"/>
      <c r="Y147" s="64"/>
    </row>
    <row r="148">
      <c r="A148" s="64"/>
      <c r="B148" s="111"/>
      <c r="C148" s="64"/>
      <c r="D148" s="64"/>
      <c r="E148" s="132"/>
      <c r="F148" s="132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64"/>
      <c r="X148" s="64"/>
      <c r="Y148" s="64"/>
    </row>
    <row r="149">
      <c r="A149" s="64"/>
      <c r="B149" s="111"/>
      <c r="C149" s="64"/>
      <c r="D149" s="64"/>
      <c r="E149" s="132"/>
      <c r="F149" s="132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64"/>
      <c r="X149" s="64"/>
      <c r="Y149" s="64"/>
    </row>
    <row r="150">
      <c r="A150" s="64"/>
      <c r="B150" s="111"/>
      <c r="C150" s="64"/>
      <c r="D150" s="64"/>
      <c r="E150" s="132"/>
      <c r="F150" s="132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64"/>
      <c r="X150" s="64"/>
      <c r="Y150" s="64"/>
    </row>
    <row r="151">
      <c r="A151" s="64"/>
      <c r="B151" s="111"/>
      <c r="C151" s="64"/>
      <c r="D151" s="64"/>
      <c r="E151" s="132"/>
      <c r="F151" s="132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64"/>
      <c r="X151" s="64"/>
      <c r="Y151" s="64"/>
    </row>
    <row r="152">
      <c r="A152" s="64"/>
      <c r="B152" s="111"/>
      <c r="C152" s="64"/>
      <c r="D152" s="64"/>
      <c r="E152" s="132"/>
      <c r="F152" s="132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64"/>
      <c r="X152" s="64"/>
      <c r="Y152" s="64"/>
    </row>
    <row r="153">
      <c r="A153" s="64"/>
      <c r="B153" s="111"/>
      <c r="C153" s="64"/>
      <c r="D153" s="64"/>
      <c r="E153" s="132"/>
      <c r="F153" s="132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64"/>
      <c r="X153" s="64"/>
      <c r="Y153" s="64"/>
    </row>
    <row r="154">
      <c r="A154" s="64"/>
      <c r="B154" s="111"/>
      <c r="C154" s="64"/>
      <c r="D154" s="64"/>
      <c r="E154" s="132"/>
      <c r="F154" s="132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64"/>
      <c r="X154" s="64"/>
      <c r="Y154" s="64"/>
    </row>
    <row r="155">
      <c r="A155" s="64"/>
      <c r="B155" s="111"/>
      <c r="C155" s="64"/>
      <c r="D155" s="64"/>
      <c r="E155" s="132"/>
      <c r="F155" s="132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64"/>
      <c r="X155" s="64"/>
      <c r="Y155" s="64"/>
    </row>
    <row r="156">
      <c r="A156" s="64"/>
      <c r="B156" s="111"/>
      <c r="C156" s="64"/>
      <c r="D156" s="64"/>
      <c r="E156" s="132"/>
      <c r="F156" s="132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64"/>
      <c r="X156" s="64"/>
      <c r="Y156" s="64"/>
    </row>
    <row r="157">
      <c r="A157" s="64"/>
      <c r="B157" s="111"/>
      <c r="C157" s="64"/>
      <c r="D157" s="64"/>
      <c r="E157" s="132"/>
      <c r="F157" s="132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64"/>
      <c r="X157" s="64"/>
      <c r="Y157" s="64"/>
    </row>
    <row r="158">
      <c r="A158" s="64"/>
      <c r="B158" s="111"/>
      <c r="C158" s="64"/>
      <c r="D158" s="64"/>
      <c r="E158" s="132"/>
      <c r="F158" s="132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64"/>
      <c r="X158" s="64"/>
      <c r="Y158" s="64"/>
    </row>
    <row r="159">
      <c r="A159" s="64"/>
      <c r="B159" s="111"/>
      <c r="C159" s="64"/>
      <c r="D159" s="64"/>
      <c r="E159" s="132"/>
      <c r="F159" s="132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64"/>
      <c r="X159" s="64"/>
      <c r="Y159" s="64"/>
    </row>
    <row r="160">
      <c r="A160" s="64"/>
      <c r="B160" s="111"/>
      <c r="C160" s="64"/>
      <c r="D160" s="64"/>
      <c r="E160" s="132"/>
      <c r="F160" s="132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64"/>
      <c r="X160" s="64"/>
      <c r="Y160" s="64"/>
    </row>
    <row r="161">
      <c r="A161" s="64"/>
      <c r="B161" s="111"/>
      <c r="C161" s="64"/>
      <c r="D161" s="64"/>
      <c r="E161" s="132"/>
      <c r="F161" s="132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64"/>
      <c r="X161" s="64"/>
      <c r="Y161" s="64"/>
    </row>
    <row r="162">
      <c r="A162" s="64"/>
      <c r="B162" s="111"/>
      <c r="C162" s="64"/>
      <c r="D162" s="64"/>
      <c r="E162" s="132"/>
      <c r="F162" s="132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64"/>
      <c r="X162" s="64"/>
      <c r="Y162" s="64"/>
    </row>
    <row r="163">
      <c r="A163" s="64"/>
      <c r="B163" s="111"/>
      <c r="C163" s="64"/>
      <c r="D163" s="64"/>
      <c r="E163" s="132"/>
      <c r="F163" s="132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64"/>
      <c r="X163" s="64"/>
      <c r="Y163" s="64"/>
    </row>
    <row r="164">
      <c r="A164" s="64"/>
      <c r="B164" s="111"/>
      <c r="C164" s="64"/>
      <c r="D164" s="64"/>
      <c r="E164" s="132"/>
      <c r="F164" s="132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64"/>
      <c r="X164" s="64"/>
      <c r="Y164" s="64"/>
    </row>
    <row r="165">
      <c r="A165" s="64"/>
      <c r="B165" s="111"/>
      <c r="C165" s="64"/>
      <c r="D165" s="64"/>
      <c r="E165" s="132"/>
      <c r="F165" s="132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64"/>
      <c r="X165" s="64"/>
      <c r="Y165" s="64"/>
    </row>
    <row r="166">
      <c r="A166" s="64"/>
      <c r="B166" s="111"/>
      <c r="C166" s="64"/>
      <c r="D166" s="64"/>
      <c r="E166" s="132"/>
      <c r="F166" s="132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64"/>
      <c r="X166" s="64"/>
      <c r="Y166" s="64"/>
    </row>
    <row r="167">
      <c r="A167" s="64"/>
      <c r="B167" s="111"/>
      <c r="C167" s="64"/>
      <c r="D167" s="64"/>
      <c r="E167" s="132"/>
      <c r="F167" s="132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64"/>
      <c r="X167" s="64"/>
      <c r="Y167" s="64"/>
    </row>
    <row r="168">
      <c r="A168" s="64"/>
      <c r="B168" s="111"/>
      <c r="C168" s="64"/>
      <c r="D168" s="64"/>
      <c r="E168" s="132"/>
      <c r="F168" s="132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64"/>
      <c r="X168" s="64"/>
      <c r="Y168" s="64"/>
    </row>
    <row r="169">
      <c r="A169" s="64"/>
      <c r="B169" s="111"/>
      <c r="C169" s="64"/>
      <c r="D169" s="64"/>
      <c r="E169" s="132"/>
      <c r="F169" s="132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64"/>
      <c r="X169" s="64"/>
      <c r="Y169" s="64"/>
    </row>
    <row r="170">
      <c r="A170" s="64"/>
      <c r="B170" s="111"/>
      <c r="C170" s="64"/>
      <c r="D170" s="64"/>
      <c r="E170" s="132"/>
      <c r="F170" s="132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64"/>
      <c r="X170" s="64"/>
      <c r="Y170" s="64"/>
    </row>
    <row r="171">
      <c r="A171" s="64"/>
      <c r="B171" s="111"/>
      <c r="C171" s="64"/>
      <c r="D171" s="64"/>
      <c r="E171" s="132"/>
      <c r="F171" s="132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64"/>
      <c r="X171" s="64"/>
      <c r="Y171" s="64"/>
    </row>
    <row r="172">
      <c r="A172" s="64"/>
      <c r="B172" s="111"/>
      <c r="C172" s="64"/>
      <c r="D172" s="64"/>
      <c r="E172" s="132"/>
      <c r="F172" s="132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64"/>
      <c r="X172" s="64"/>
      <c r="Y172" s="64"/>
    </row>
    <row r="173">
      <c r="A173" s="64"/>
      <c r="B173" s="111"/>
      <c r="C173" s="64"/>
      <c r="D173" s="64"/>
      <c r="E173" s="132"/>
      <c r="F173" s="132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64"/>
      <c r="X173" s="64"/>
      <c r="Y173" s="64"/>
    </row>
    <row r="174">
      <c r="A174" s="64"/>
      <c r="B174" s="111"/>
      <c r="C174" s="64"/>
      <c r="D174" s="64"/>
      <c r="E174" s="132"/>
      <c r="F174" s="132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64"/>
      <c r="X174" s="64"/>
      <c r="Y174" s="64"/>
    </row>
    <row r="175">
      <c r="A175" s="64"/>
      <c r="B175" s="111"/>
      <c r="C175" s="64"/>
      <c r="D175" s="64"/>
      <c r="E175" s="132"/>
      <c r="F175" s="132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64"/>
      <c r="X175" s="64"/>
      <c r="Y175" s="64"/>
    </row>
    <row r="176">
      <c r="A176" s="64"/>
      <c r="B176" s="111"/>
      <c r="C176" s="64"/>
      <c r="D176" s="64"/>
      <c r="E176" s="132"/>
      <c r="F176" s="132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64"/>
      <c r="X176" s="64"/>
      <c r="Y176" s="64"/>
    </row>
    <row r="177">
      <c r="A177" s="64"/>
      <c r="B177" s="111"/>
      <c r="C177" s="64"/>
      <c r="D177" s="64"/>
      <c r="E177" s="132"/>
      <c r="F177" s="132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64"/>
      <c r="X177" s="64"/>
      <c r="Y177" s="64"/>
    </row>
    <row r="178">
      <c r="A178" s="64"/>
      <c r="B178" s="111"/>
      <c r="C178" s="64"/>
      <c r="D178" s="64"/>
      <c r="E178" s="132"/>
      <c r="F178" s="132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64"/>
      <c r="X178" s="64"/>
      <c r="Y178" s="64"/>
    </row>
    <row r="179">
      <c r="A179" s="64"/>
      <c r="B179" s="111"/>
      <c r="C179" s="64"/>
      <c r="D179" s="64"/>
      <c r="E179" s="132"/>
      <c r="F179" s="132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64"/>
      <c r="X179" s="64"/>
      <c r="Y179" s="64"/>
    </row>
    <row r="180">
      <c r="A180" s="64"/>
      <c r="B180" s="111"/>
      <c r="C180" s="64"/>
      <c r="D180" s="64"/>
      <c r="E180" s="132"/>
      <c r="F180" s="132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64"/>
      <c r="X180" s="64"/>
      <c r="Y180" s="64"/>
    </row>
    <row r="181">
      <c r="A181" s="64"/>
      <c r="B181" s="111"/>
      <c r="C181" s="64"/>
      <c r="D181" s="64"/>
      <c r="E181" s="132"/>
      <c r="F181" s="132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64"/>
      <c r="X181" s="64"/>
      <c r="Y181" s="64"/>
    </row>
    <row r="182">
      <c r="A182" s="64"/>
      <c r="B182" s="111"/>
      <c r="C182" s="64"/>
      <c r="D182" s="64"/>
      <c r="E182" s="132"/>
      <c r="F182" s="132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64"/>
      <c r="X182" s="64"/>
      <c r="Y182" s="64"/>
    </row>
    <row r="183">
      <c r="A183" s="64"/>
      <c r="B183" s="111"/>
      <c r="C183" s="64"/>
      <c r="D183" s="64"/>
      <c r="E183" s="132"/>
      <c r="F183" s="132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64"/>
      <c r="X183" s="64"/>
      <c r="Y183" s="64"/>
    </row>
    <row r="184">
      <c r="A184" s="64"/>
      <c r="B184" s="111"/>
      <c r="C184" s="64"/>
      <c r="D184" s="64"/>
      <c r="E184" s="132"/>
      <c r="F184" s="132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64"/>
      <c r="X184" s="64"/>
      <c r="Y184" s="64"/>
    </row>
    <row r="185">
      <c r="A185" s="64"/>
      <c r="B185" s="111"/>
      <c r="C185" s="64"/>
      <c r="D185" s="64"/>
      <c r="E185" s="132"/>
      <c r="F185" s="132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64"/>
      <c r="X185" s="64"/>
      <c r="Y185" s="64"/>
    </row>
    <row r="186">
      <c r="A186" s="64"/>
      <c r="B186" s="111"/>
      <c r="C186" s="64"/>
      <c r="D186" s="64"/>
      <c r="E186" s="132"/>
      <c r="F186" s="132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64"/>
      <c r="X186" s="64"/>
      <c r="Y186" s="64"/>
    </row>
    <row r="187">
      <c r="A187" s="64"/>
      <c r="B187" s="111"/>
      <c r="C187" s="64"/>
      <c r="D187" s="64"/>
      <c r="E187" s="132"/>
      <c r="F187" s="132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64"/>
      <c r="X187" s="64"/>
      <c r="Y187" s="64"/>
    </row>
    <row r="188">
      <c r="A188" s="64"/>
      <c r="B188" s="111"/>
      <c r="C188" s="64"/>
      <c r="D188" s="64"/>
      <c r="E188" s="132"/>
      <c r="F188" s="132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64"/>
      <c r="X188" s="64"/>
      <c r="Y188" s="64"/>
    </row>
    <row r="189">
      <c r="A189" s="64"/>
      <c r="B189" s="111"/>
      <c r="C189" s="64"/>
      <c r="D189" s="64"/>
      <c r="E189" s="132"/>
      <c r="F189" s="132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64"/>
      <c r="X189" s="64"/>
      <c r="Y189" s="64"/>
    </row>
    <row r="190">
      <c r="A190" s="64"/>
      <c r="B190" s="111"/>
      <c r="C190" s="64"/>
      <c r="D190" s="64"/>
      <c r="E190" s="132"/>
      <c r="F190" s="132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64"/>
      <c r="X190" s="64"/>
      <c r="Y190" s="64"/>
    </row>
    <row r="191">
      <c r="A191" s="64"/>
      <c r="B191" s="111"/>
      <c r="C191" s="64"/>
      <c r="D191" s="64"/>
      <c r="E191" s="132"/>
      <c r="F191" s="132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64"/>
      <c r="X191" s="64"/>
      <c r="Y191" s="64"/>
    </row>
    <row r="192">
      <c r="A192" s="64"/>
      <c r="B192" s="111"/>
      <c r="C192" s="64"/>
      <c r="D192" s="64"/>
      <c r="E192" s="132"/>
      <c r="F192" s="132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64"/>
      <c r="X192" s="64"/>
      <c r="Y192" s="64"/>
    </row>
    <row r="193">
      <c r="A193" s="64"/>
      <c r="B193" s="111"/>
      <c r="C193" s="64"/>
      <c r="D193" s="64"/>
      <c r="E193" s="132"/>
      <c r="F193" s="132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64"/>
      <c r="X193" s="64"/>
      <c r="Y193" s="64"/>
    </row>
    <row r="194">
      <c r="A194" s="64"/>
      <c r="B194" s="111"/>
      <c r="C194" s="64"/>
      <c r="D194" s="64"/>
      <c r="E194" s="132"/>
      <c r="F194" s="132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64"/>
      <c r="X194" s="64"/>
      <c r="Y194" s="64"/>
    </row>
    <row r="195">
      <c r="A195" s="64"/>
      <c r="B195" s="111"/>
      <c r="C195" s="64"/>
      <c r="D195" s="64"/>
      <c r="E195" s="132"/>
      <c r="F195" s="132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64"/>
      <c r="X195" s="64"/>
      <c r="Y195" s="64"/>
    </row>
    <row r="196">
      <c r="A196" s="64"/>
      <c r="B196" s="111"/>
      <c r="C196" s="64"/>
      <c r="D196" s="64"/>
      <c r="E196" s="132"/>
      <c r="F196" s="132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64"/>
      <c r="X196" s="64"/>
      <c r="Y196" s="64"/>
    </row>
    <row r="197">
      <c r="A197" s="64"/>
      <c r="B197" s="111"/>
      <c r="C197" s="64"/>
      <c r="D197" s="64"/>
      <c r="E197" s="132"/>
      <c r="F197" s="132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64"/>
      <c r="X197" s="64"/>
      <c r="Y197" s="64"/>
    </row>
    <row r="198">
      <c r="A198" s="64"/>
      <c r="B198" s="111"/>
      <c r="C198" s="64"/>
      <c r="D198" s="64"/>
      <c r="E198" s="132"/>
      <c r="F198" s="132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64"/>
      <c r="X198" s="64"/>
      <c r="Y198" s="64"/>
    </row>
    <row r="199">
      <c r="A199" s="64"/>
      <c r="B199" s="111"/>
      <c r="C199" s="64"/>
      <c r="D199" s="64"/>
      <c r="E199" s="132"/>
      <c r="F199" s="132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64"/>
      <c r="X199" s="64"/>
      <c r="Y199" s="64"/>
    </row>
    <row r="200">
      <c r="A200" s="64"/>
      <c r="B200" s="111"/>
      <c r="C200" s="64"/>
      <c r="D200" s="64"/>
      <c r="E200" s="132"/>
      <c r="F200" s="132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64"/>
      <c r="X200" s="64"/>
      <c r="Y200" s="64"/>
    </row>
    <row r="201">
      <c r="A201" s="64"/>
      <c r="B201" s="111"/>
      <c r="C201" s="64"/>
      <c r="D201" s="64"/>
      <c r="E201" s="132"/>
      <c r="F201" s="132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64"/>
      <c r="X201" s="64"/>
      <c r="Y201" s="64"/>
    </row>
    <row r="202">
      <c r="A202" s="64"/>
      <c r="B202" s="111"/>
      <c r="C202" s="64"/>
      <c r="D202" s="64"/>
      <c r="E202" s="132"/>
      <c r="F202" s="132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64"/>
      <c r="X202" s="64"/>
      <c r="Y202" s="64"/>
    </row>
    <row r="203">
      <c r="A203" s="64"/>
      <c r="B203" s="111"/>
      <c r="C203" s="64"/>
      <c r="D203" s="64"/>
      <c r="E203" s="132"/>
      <c r="F203" s="132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64"/>
      <c r="X203" s="64"/>
      <c r="Y203" s="64"/>
    </row>
    <row r="204">
      <c r="A204" s="64"/>
      <c r="B204" s="111"/>
      <c r="C204" s="64"/>
      <c r="D204" s="64"/>
      <c r="E204" s="132"/>
      <c r="F204" s="132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64"/>
      <c r="X204" s="64"/>
      <c r="Y204" s="64"/>
    </row>
    <row r="205">
      <c r="A205" s="64"/>
      <c r="B205" s="111"/>
      <c r="C205" s="64"/>
      <c r="D205" s="64"/>
      <c r="E205" s="132"/>
      <c r="F205" s="132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64"/>
      <c r="X205" s="64"/>
      <c r="Y205" s="64"/>
    </row>
    <row r="206">
      <c r="A206" s="64"/>
      <c r="B206" s="111"/>
      <c r="C206" s="64"/>
      <c r="D206" s="64"/>
      <c r="E206" s="132"/>
      <c r="F206" s="132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64"/>
      <c r="X206" s="64"/>
      <c r="Y206" s="64"/>
    </row>
    <row r="207">
      <c r="A207" s="64"/>
      <c r="B207" s="111"/>
      <c r="C207" s="64"/>
      <c r="D207" s="64"/>
      <c r="E207" s="132"/>
      <c r="F207" s="132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64"/>
      <c r="X207" s="64"/>
      <c r="Y207" s="64"/>
    </row>
    <row r="208">
      <c r="A208" s="64"/>
      <c r="B208" s="111"/>
      <c r="C208" s="64"/>
      <c r="D208" s="64"/>
      <c r="E208" s="132"/>
      <c r="F208" s="132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64"/>
      <c r="X208" s="64"/>
      <c r="Y208" s="64"/>
    </row>
    <row r="209">
      <c r="A209" s="64"/>
      <c r="B209" s="111"/>
      <c r="C209" s="64"/>
      <c r="D209" s="64"/>
      <c r="E209" s="132"/>
      <c r="F209" s="132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64"/>
      <c r="X209" s="64"/>
      <c r="Y209" s="64"/>
    </row>
    <row r="210">
      <c r="A210" s="64"/>
      <c r="B210" s="111"/>
      <c r="C210" s="64"/>
      <c r="D210" s="64"/>
      <c r="E210" s="132"/>
      <c r="F210" s="132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64"/>
      <c r="X210" s="64"/>
      <c r="Y210" s="64"/>
    </row>
    <row r="211">
      <c r="A211" s="64"/>
      <c r="B211" s="111"/>
      <c r="C211" s="64"/>
      <c r="D211" s="64"/>
      <c r="E211" s="132"/>
      <c r="F211" s="132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64"/>
      <c r="X211" s="64"/>
      <c r="Y211" s="64"/>
    </row>
    <row r="212">
      <c r="A212" s="64"/>
      <c r="B212" s="111"/>
      <c r="C212" s="64"/>
      <c r="D212" s="64"/>
      <c r="E212" s="132"/>
      <c r="F212" s="132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64"/>
      <c r="X212" s="64"/>
      <c r="Y212" s="64"/>
    </row>
    <row r="213">
      <c r="A213" s="64"/>
      <c r="B213" s="111"/>
      <c r="C213" s="64"/>
      <c r="D213" s="64"/>
      <c r="E213" s="132"/>
      <c r="F213" s="132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64"/>
      <c r="X213" s="64"/>
      <c r="Y213" s="64"/>
    </row>
    <row r="214">
      <c r="A214" s="64"/>
      <c r="B214" s="111"/>
      <c r="C214" s="64"/>
      <c r="D214" s="64"/>
      <c r="E214" s="132"/>
      <c r="F214" s="132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64"/>
      <c r="X214" s="64"/>
      <c r="Y214" s="64"/>
    </row>
    <row r="215">
      <c r="A215" s="64"/>
      <c r="B215" s="111"/>
      <c r="C215" s="64"/>
      <c r="D215" s="64"/>
      <c r="E215" s="132"/>
      <c r="F215" s="132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64"/>
      <c r="X215" s="64"/>
      <c r="Y215" s="64"/>
    </row>
    <row r="216">
      <c r="A216" s="64"/>
      <c r="B216" s="111"/>
      <c r="C216" s="64"/>
      <c r="D216" s="64"/>
      <c r="E216" s="132"/>
      <c r="F216" s="132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64"/>
      <c r="X216" s="64"/>
      <c r="Y216" s="64"/>
    </row>
    <row r="217">
      <c r="A217" s="64"/>
      <c r="B217" s="111"/>
      <c r="C217" s="64"/>
      <c r="D217" s="64"/>
      <c r="E217" s="132"/>
      <c r="F217" s="132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64"/>
      <c r="X217" s="64"/>
      <c r="Y217" s="64"/>
    </row>
    <row r="218">
      <c r="A218" s="64"/>
      <c r="B218" s="111"/>
      <c r="C218" s="64"/>
      <c r="D218" s="64"/>
      <c r="E218" s="132"/>
      <c r="F218" s="132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64"/>
      <c r="X218" s="64"/>
      <c r="Y218" s="64"/>
    </row>
    <row r="219">
      <c r="A219" s="64"/>
      <c r="B219" s="111"/>
      <c r="C219" s="64"/>
      <c r="D219" s="64"/>
      <c r="E219" s="132"/>
      <c r="F219" s="132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64"/>
      <c r="X219" s="64"/>
      <c r="Y219" s="64"/>
    </row>
    <row r="220">
      <c r="A220" s="64"/>
      <c r="B220" s="111"/>
      <c r="C220" s="64"/>
      <c r="D220" s="64"/>
      <c r="E220" s="132"/>
      <c r="F220" s="132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64"/>
      <c r="X220" s="64"/>
      <c r="Y220" s="64"/>
    </row>
    <row r="221">
      <c r="A221" s="64"/>
      <c r="B221" s="111"/>
      <c r="C221" s="64"/>
      <c r="D221" s="64"/>
      <c r="E221" s="132"/>
      <c r="F221" s="132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64"/>
      <c r="X221" s="64"/>
      <c r="Y221" s="64"/>
    </row>
    <row r="222">
      <c r="A222" s="64"/>
      <c r="B222" s="111"/>
      <c r="C222" s="64"/>
      <c r="D222" s="64"/>
      <c r="E222" s="132"/>
      <c r="F222" s="132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64"/>
      <c r="X222" s="64"/>
      <c r="Y222" s="64"/>
    </row>
    <row r="223">
      <c r="A223" s="64"/>
      <c r="B223" s="111"/>
      <c r="C223" s="64"/>
      <c r="D223" s="64"/>
      <c r="E223" s="132"/>
      <c r="F223" s="132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64"/>
      <c r="X223" s="64"/>
      <c r="Y223" s="64"/>
    </row>
    <row r="224">
      <c r="A224" s="64"/>
      <c r="B224" s="111"/>
      <c r="C224" s="64"/>
      <c r="D224" s="64"/>
      <c r="E224" s="132"/>
      <c r="F224" s="132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64"/>
      <c r="X224" s="64"/>
      <c r="Y224" s="64"/>
    </row>
    <row r="225">
      <c r="A225" s="64"/>
      <c r="B225" s="111"/>
      <c r="C225" s="64"/>
      <c r="D225" s="64"/>
      <c r="E225" s="132"/>
      <c r="F225" s="132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64"/>
      <c r="X225" s="64"/>
      <c r="Y225" s="64"/>
    </row>
    <row r="226">
      <c r="A226" s="64"/>
      <c r="B226" s="111"/>
      <c r="C226" s="64"/>
      <c r="D226" s="64"/>
      <c r="E226" s="132"/>
      <c r="F226" s="132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64"/>
      <c r="X226" s="64"/>
      <c r="Y226" s="64"/>
    </row>
    <row r="227">
      <c r="A227" s="64"/>
      <c r="B227" s="111"/>
      <c r="C227" s="64"/>
      <c r="D227" s="64"/>
      <c r="E227" s="132"/>
      <c r="F227" s="132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64"/>
      <c r="X227" s="64"/>
      <c r="Y227" s="64"/>
    </row>
    <row r="228">
      <c r="A228" s="64"/>
      <c r="B228" s="111"/>
      <c r="C228" s="64"/>
      <c r="D228" s="64"/>
      <c r="E228" s="132"/>
      <c r="F228" s="132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64"/>
      <c r="X228" s="64"/>
      <c r="Y228" s="64"/>
    </row>
    <row r="229">
      <c r="A229" s="64"/>
      <c r="B229" s="111"/>
      <c r="C229" s="64"/>
      <c r="D229" s="64"/>
      <c r="E229" s="132"/>
      <c r="F229" s="132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64"/>
      <c r="X229" s="64"/>
      <c r="Y229" s="64"/>
    </row>
    <row r="230">
      <c r="A230" s="64"/>
      <c r="B230" s="111"/>
      <c r="C230" s="64"/>
      <c r="D230" s="64"/>
      <c r="E230" s="132"/>
      <c r="F230" s="132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64"/>
      <c r="X230" s="64"/>
      <c r="Y230" s="64"/>
    </row>
    <row r="231">
      <c r="A231" s="64"/>
      <c r="B231" s="111"/>
      <c r="C231" s="64"/>
      <c r="D231" s="64"/>
      <c r="E231" s="132"/>
      <c r="F231" s="132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64"/>
      <c r="X231" s="64"/>
      <c r="Y231" s="64"/>
    </row>
    <row r="232">
      <c r="A232" s="64"/>
      <c r="B232" s="111"/>
      <c r="C232" s="64"/>
      <c r="D232" s="64"/>
      <c r="E232" s="132"/>
      <c r="F232" s="132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64"/>
      <c r="X232" s="64"/>
      <c r="Y232" s="64"/>
    </row>
    <row r="233">
      <c r="A233" s="64"/>
      <c r="B233" s="111"/>
      <c r="C233" s="64"/>
      <c r="D233" s="64"/>
      <c r="E233" s="132"/>
      <c r="F233" s="132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64"/>
      <c r="X233" s="64"/>
      <c r="Y233" s="64"/>
    </row>
    <row r="234">
      <c r="A234" s="64"/>
      <c r="B234" s="111"/>
      <c r="C234" s="64"/>
      <c r="D234" s="64"/>
      <c r="E234" s="132"/>
      <c r="F234" s="132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64"/>
      <c r="X234" s="64"/>
      <c r="Y234" s="64"/>
    </row>
    <row r="235">
      <c r="A235" s="64"/>
      <c r="B235" s="111"/>
      <c r="C235" s="64"/>
      <c r="D235" s="64"/>
      <c r="E235" s="132"/>
      <c r="F235" s="132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64"/>
      <c r="X235" s="64"/>
      <c r="Y235" s="64"/>
    </row>
    <row r="236">
      <c r="A236" s="64"/>
      <c r="B236" s="111"/>
      <c r="C236" s="64"/>
      <c r="D236" s="64"/>
      <c r="E236" s="132"/>
      <c r="F236" s="132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64"/>
      <c r="X236" s="64"/>
      <c r="Y236" s="64"/>
    </row>
    <row r="237">
      <c r="A237" s="64"/>
      <c r="B237" s="111"/>
      <c r="C237" s="64"/>
      <c r="D237" s="64"/>
      <c r="E237" s="132"/>
      <c r="F237" s="132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64"/>
      <c r="X237" s="64"/>
      <c r="Y237" s="64"/>
    </row>
    <row r="238">
      <c r="A238" s="64"/>
      <c r="B238" s="111"/>
      <c r="C238" s="64"/>
      <c r="D238" s="64"/>
      <c r="E238" s="132"/>
      <c r="F238" s="132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64"/>
      <c r="X238" s="64"/>
      <c r="Y238" s="64"/>
    </row>
    <row r="239">
      <c r="A239" s="64"/>
      <c r="B239" s="111"/>
      <c r="C239" s="64"/>
      <c r="D239" s="64"/>
      <c r="E239" s="132"/>
      <c r="F239" s="132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64"/>
      <c r="X239" s="64"/>
      <c r="Y239" s="64"/>
    </row>
    <row r="240">
      <c r="A240" s="64"/>
      <c r="B240" s="111"/>
      <c r="C240" s="64"/>
      <c r="D240" s="64"/>
      <c r="E240" s="132"/>
      <c r="F240" s="132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64"/>
      <c r="X240" s="64"/>
      <c r="Y240" s="64"/>
    </row>
    <row r="241">
      <c r="A241" s="64"/>
      <c r="B241" s="111"/>
      <c r="C241" s="64"/>
      <c r="D241" s="64"/>
      <c r="E241" s="132"/>
      <c r="F241" s="132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64"/>
      <c r="X241" s="64"/>
      <c r="Y241" s="64"/>
    </row>
    <row r="242">
      <c r="A242" s="64"/>
      <c r="B242" s="111"/>
      <c r="C242" s="64"/>
      <c r="D242" s="64"/>
      <c r="E242" s="132"/>
      <c r="F242" s="132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64"/>
      <c r="X242" s="64"/>
      <c r="Y242" s="64"/>
    </row>
    <row r="243">
      <c r="A243" s="64"/>
      <c r="B243" s="111"/>
      <c r="C243" s="64"/>
      <c r="D243" s="64"/>
      <c r="E243" s="132"/>
      <c r="F243" s="132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64"/>
      <c r="X243" s="64"/>
      <c r="Y243" s="64"/>
    </row>
    <row r="244">
      <c r="A244" s="64"/>
      <c r="B244" s="111"/>
      <c r="C244" s="64"/>
      <c r="D244" s="64"/>
      <c r="E244" s="132"/>
      <c r="F244" s="132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64"/>
      <c r="X244" s="64"/>
      <c r="Y244" s="64"/>
    </row>
    <row r="245">
      <c r="A245" s="64"/>
      <c r="B245" s="111"/>
      <c r="C245" s="64"/>
      <c r="D245" s="64"/>
      <c r="E245" s="132"/>
      <c r="F245" s="132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64"/>
      <c r="X245" s="64"/>
      <c r="Y245" s="64"/>
    </row>
    <row r="246">
      <c r="A246" s="64"/>
      <c r="B246" s="111"/>
      <c r="C246" s="64"/>
      <c r="D246" s="64"/>
      <c r="E246" s="132"/>
      <c r="F246" s="132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64"/>
      <c r="X246" s="64"/>
      <c r="Y246" s="64"/>
    </row>
    <row r="247">
      <c r="A247" s="64"/>
      <c r="B247" s="111"/>
      <c r="C247" s="64"/>
      <c r="D247" s="64"/>
      <c r="E247" s="132"/>
      <c r="F247" s="132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64"/>
      <c r="X247" s="64"/>
      <c r="Y247" s="64"/>
    </row>
    <row r="248">
      <c r="A248" s="64"/>
      <c r="B248" s="111"/>
      <c r="C248" s="64"/>
      <c r="D248" s="64"/>
      <c r="E248" s="132"/>
      <c r="F248" s="132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64"/>
      <c r="X248" s="64"/>
      <c r="Y248" s="64"/>
    </row>
    <row r="249">
      <c r="A249" s="64"/>
      <c r="B249" s="111"/>
      <c r="C249" s="64"/>
      <c r="D249" s="64"/>
      <c r="E249" s="132"/>
      <c r="F249" s="132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64"/>
      <c r="X249" s="64"/>
      <c r="Y249" s="64"/>
    </row>
    <row r="250">
      <c r="A250" s="64"/>
      <c r="B250" s="111"/>
      <c r="C250" s="64"/>
      <c r="D250" s="64"/>
      <c r="E250" s="132"/>
      <c r="F250" s="132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64"/>
      <c r="X250" s="64"/>
      <c r="Y250" s="64"/>
    </row>
    <row r="251">
      <c r="A251" s="64"/>
      <c r="B251" s="111"/>
      <c r="C251" s="64"/>
      <c r="D251" s="64"/>
      <c r="E251" s="132"/>
      <c r="F251" s="132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64"/>
      <c r="X251" s="64"/>
      <c r="Y251" s="64"/>
    </row>
    <row r="252">
      <c r="A252" s="64"/>
      <c r="B252" s="111"/>
      <c r="C252" s="64"/>
      <c r="D252" s="64"/>
      <c r="E252" s="132"/>
      <c r="F252" s="132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64"/>
      <c r="X252" s="64"/>
      <c r="Y252" s="64"/>
    </row>
    <row r="253">
      <c r="A253" s="64"/>
      <c r="B253" s="111"/>
      <c r="C253" s="64"/>
      <c r="D253" s="64"/>
      <c r="E253" s="132"/>
      <c r="F253" s="132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64"/>
      <c r="X253" s="64"/>
      <c r="Y253" s="64"/>
    </row>
    <row r="254">
      <c r="A254" s="64"/>
      <c r="B254" s="111"/>
      <c r="C254" s="64"/>
      <c r="D254" s="64"/>
      <c r="E254" s="132"/>
      <c r="F254" s="132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64"/>
      <c r="X254" s="64"/>
      <c r="Y254" s="64"/>
    </row>
    <row r="255">
      <c r="A255" s="64"/>
      <c r="B255" s="111"/>
      <c r="C255" s="64"/>
      <c r="D255" s="64"/>
      <c r="E255" s="132"/>
      <c r="F255" s="132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64"/>
      <c r="X255" s="64"/>
      <c r="Y255" s="64"/>
    </row>
    <row r="256">
      <c r="A256" s="64"/>
      <c r="B256" s="111"/>
      <c r="C256" s="64"/>
      <c r="D256" s="64"/>
      <c r="E256" s="132"/>
      <c r="F256" s="132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64"/>
      <c r="X256" s="64"/>
      <c r="Y256" s="64"/>
    </row>
    <row r="257">
      <c r="A257" s="64"/>
      <c r="B257" s="111"/>
      <c r="C257" s="64"/>
      <c r="D257" s="64"/>
      <c r="E257" s="132"/>
      <c r="F257" s="132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64"/>
      <c r="X257" s="64"/>
      <c r="Y257" s="64"/>
    </row>
    <row r="258">
      <c r="A258" s="64"/>
      <c r="B258" s="111"/>
      <c r="C258" s="64"/>
      <c r="D258" s="64"/>
      <c r="E258" s="132"/>
      <c r="F258" s="132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64"/>
      <c r="X258" s="64"/>
      <c r="Y258" s="64"/>
    </row>
    <row r="259">
      <c r="A259" s="64"/>
      <c r="B259" s="111"/>
      <c r="C259" s="64"/>
      <c r="D259" s="64"/>
      <c r="E259" s="132"/>
      <c r="F259" s="132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64"/>
      <c r="X259" s="64"/>
      <c r="Y259" s="64"/>
    </row>
    <row r="260">
      <c r="A260" s="64"/>
      <c r="B260" s="111"/>
      <c r="C260" s="64"/>
      <c r="D260" s="64"/>
      <c r="E260" s="132"/>
      <c r="F260" s="132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64"/>
      <c r="X260" s="64"/>
      <c r="Y260" s="64"/>
    </row>
    <row r="261">
      <c r="A261" s="64"/>
      <c r="B261" s="111"/>
      <c r="C261" s="64"/>
      <c r="D261" s="64"/>
      <c r="E261" s="132"/>
      <c r="F261" s="132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64"/>
      <c r="X261" s="64"/>
      <c r="Y261" s="64"/>
    </row>
    <row r="262">
      <c r="A262" s="64"/>
      <c r="B262" s="111"/>
      <c r="C262" s="64"/>
      <c r="D262" s="64"/>
      <c r="E262" s="132"/>
      <c r="F262" s="132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64"/>
      <c r="X262" s="64"/>
      <c r="Y262" s="64"/>
    </row>
    <row r="263">
      <c r="A263" s="64"/>
      <c r="B263" s="111"/>
      <c r="C263" s="64"/>
      <c r="D263" s="64"/>
      <c r="E263" s="132"/>
      <c r="F263" s="132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64"/>
      <c r="X263" s="64"/>
      <c r="Y263" s="64"/>
    </row>
    <row r="264">
      <c r="A264" s="64"/>
      <c r="B264" s="111"/>
      <c r="C264" s="64"/>
      <c r="D264" s="64"/>
      <c r="E264" s="132"/>
      <c r="F264" s="132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64"/>
      <c r="X264" s="64"/>
      <c r="Y264" s="64"/>
    </row>
    <row r="265">
      <c r="A265" s="64"/>
      <c r="B265" s="111"/>
      <c r="C265" s="64"/>
      <c r="D265" s="64"/>
      <c r="E265" s="132"/>
      <c r="F265" s="132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64"/>
      <c r="X265" s="64"/>
      <c r="Y265" s="64"/>
    </row>
    <row r="266">
      <c r="A266" s="64"/>
      <c r="B266" s="111"/>
      <c r="C266" s="64"/>
      <c r="D266" s="64"/>
      <c r="E266" s="132"/>
      <c r="F266" s="132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64"/>
      <c r="X266" s="64"/>
      <c r="Y266" s="64"/>
    </row>
    <row r="267">
      <c r="A267" s="64"/>
      <c r="B267" s="111"/>
      <c r="C267" s="64"/>
      <c r="D267" s="64"/>
      <c r="E267" s="132"/>
      <c r="F267" s="132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64"/>
      <c r="X267" s="64"/>
      <c r="Y267" s="64"/>
    </row>
    <row r="268">
      <c r="A268" s="64"/>
      <c r="B268" s="111"/>
      <c r="C268" s="64"/>
      <c r="D268" s="64"/>
      <c r="E268" s="132"/>
      <c r="F268" s="132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64"/>
      <c r="X268" s="64"/>
      <c r="Y268" s="64"/>
    </row>
    <row r="269">
      <c r="A269" s="64"/>
      <c r="B269" s="111"/>
      <c r="C269" s="64"/>
      <c r="D269" s="64"/>
      <c r="E269" s="132"/>
      <c r="F269" s="132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64"/>
      <c r="X269" s="64"/>
      <c r="Y269" s="64"/>
    </row>
    <row r="270">
      <c r="A270" s="64"/>
      <c r="B270" s="111"/>
      <c r="C270" s="64"/>
      <c r="D270" s="64"/>
      <c r="E270" s="132"/>
      <c r="F270" s="132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64"/>
      <c r="X270" s="64"/>
      <c r="Y270" s="64"/>
    </row>
    <row r="271">
      <c r="A271" s="64"/>
      <c r="B271" s="111"/>
      <c r="C271" s="64"/>
      <c r="D271" s="64"/>
      <c r="E271" s="132"/>
      <c r="F271" s="132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64"/>
      <c r="X271" s="64"/>
      <c r="Y271" s="64"/>
    </row>
    <row r="272">
      <c r="A272" s="64"/>
      <c r="B272" s="111"/>
      <c r="C272" s="64"/>
      <c r="D272" s="64"/>
      <c r="E272" s="132"/>
      <c r="F272" s="132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64"/>
      <c r="X272" s="64"/>
      <c r="Y272" s="64"/>
    </row>
    <row r="273">
      <c r="A273" s="64"/>
      <c r="B273" s="111"/>
      <c r="C273" s="64"/>
      <c r="D273" s="64"/>
      <c r="E273" s="132"/>
      <c r="F273" s="132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64"/>
      <c r="X273" s="64"/>
      <c r="Y273" s="64"/>
    </row>
    <row r="274">
      <c r="A274" s="64"/>
      <c r="B274" s="111"/>
      <c r="C274" s="64"/>
      <c r="D274" s="64"/>
      <c r="E274" s="132"/>
      <c r="F274" s="132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64"/>
      <c r="X274" s="64"/>
      <c r="Y274" s="64"/>
    </row>
    <row r="275">
      <c r="A275" s="64"/>
      <c r="B275" s="111"/>
      <c r="C275" s="64"/>
      <c r="D275" s="64"/>
      <c r="E275" s="132"/>
      <c r="F275" s="132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64"/>
      <c r="X275" s="64"/>
      <c r="Y275" s="64"/>
    </row>
    <row r="276">
      <c r="A276" s="64"/>
      <c r="B276" s="111"/>
      <c r="C276" s="64"/>
      <c r="D276" s="64"/>
      <c r="E276" s="132"/>
      <c r="F276" s="132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64"/>
      <c r="X276" s="64"/>
      <c r="Y276" s="64"/>
    </row>
    <row r="277">
      <c r="A277" s="64"/>
      <c r="B277" s="111"/>
      <c r="C277" s="64"/>
      <c r="D277" s="64"/>
      <c r="E277" s="132"/>
      <c r="F277" s="132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64"/>
      <c r="X277" s="64"/>
      <c r="Y277" s="64"/>
    </row>
    <row r="278">
      <c r="A278" s="64"/>
      <c r="B278" s="111"/>
      <c r="C278" s="64"/>
      <c r="D278" s="64"/>
      <c r="E278" s="132"/>
      <c r="F278" s="132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64"/>
      <c r="X278" s="64"/>
      <c r="Y278" s="64"/>
    </row>
    <row r="279">
      <c r="A279" s="64"/>
      <c r="B279" s="111"/>
      <c r="C279" s="64"/>
      <c r="D279" s="64"/>
      <c r="E279" s="132"/>
      <c r="F279" s="132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64"/>
      <c r="X279" s="64"/>
      <c r="Y279" s="64"/>
    </row>
    <row r="280">
      <c r="A280" s="64"/>
      <c r="B280" s="111"/>
      <c r="C280" s="64"/>
      <c r="D280" s="64"/>
      <c r="E280" s="132"/>
      <c r="F280" s="132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64"/>
      <c r="X280" s="64"/>
      <c r="Y280" s="64"/>
    </row>
    <row r="281">
      <c r="A281" s="64"/>
      <c r="B281" s="111"/>
      <c r="C281" s="64"/>
      <c r="D281" s="64"/>
      <c r="E281" s="132"/>
      <c r="F281" s="132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64"/>
      <c r="X281" s="64"/>
      <c r="Y281" s="64"/>
    </row>
    <row r="282">
      <c r="A282" s="64"/>
      <c r="B282" s="111"/>
      <c r="C282" s="64"/>
      <c r="D282" s="64"/>
      <c r="E282" s="132"/>
      <c r="F282" s="132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64"/>
      <c r="X282" s="64"/>
      <c r="Y282" s="64"/>
    </row>
    <row r="283">
      <c r="A283" s="64"/>
      <c r="B283" s="111"/>
      <c r="C283" s="64"/>
      <c r="D283" s="64"/>
      <c r="E283" s="132"/>
      <c r="F283" s="132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64"/>
      <c r="X283" s="64"/>
      <c r="Y283" s="64"/>
    </row>
    <row r="284">
      <c r="A284" s="64"/>
      <c r="B284" s="111"/>
      <c r="C284" s="64"/>
      <c r="D284" s="64"/>
      <c r="E284" s="132"/>
      <c r="F284" s="132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64"/>
      <c r="X284" s="64"/>
      <c r="Y284" s="64"/>
    </row>
    <row r="285">
      <c r="A285" s="64"/>
      <c r="B285" s="111"/>
      <c r="C285" s="64"/>
      <c r="D285" s="64"/>
      <c r="E285" s="132"/>
      <c r="F285" s="132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64"/>
      <c r="X285" s="64"/>
      <c r="Y285" s="64"/>
    </row>
    <row r="286">
      <c r="A286" s="64"/>
      <c r="B286" s="111"/>
      <c r="C286" s="64"/>
      <c r="D286" s="64"/>
      <c r="E286" s="132"/>
      <c r="F286" s="132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64"/>
      <c r="X286" s="64"/>
      <c r="Y286" s="64"/>
    </row>
    <row r="287">
      <c r="A287" s="64"/>
      <c r="B287" s="111"/>
      <c r="C287" s="64"/>
      <c r="D287" s="64"/>
      <c r="E287" s="132"/>
      <c r="F287" s="132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64"/>
      <c r="X287" s="64"/>
      <c r="Y287" s="64"/>
    </row>
    <row r="288">
      <c r="A288" s="64"/>
      <c r="B288" s="111"/>
      <c r="C288" s="64"/>
      <c r="D288" s="64"/>
      <c r="E288" s="132"/>
      <c r="F288" s="132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64"/>
      <c r="X288" s="64"/>
      <c r="Y288" s="64"/>
    </row>
    <row r="289">
      <c r="A289" s="64"/>
      <c r="B289" s="111"/>
      <c r="C289" s="64"/>
      <c r="D289" s="64"/>
      <c r="E289" s="132"/>
      <c r="F289" s="132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64"/>
      <c r="X289" s="64"/>
      <c r="Y289" s="64"/>
    </row>
    <row r="290">
      <c r="A290" s="64"/>
      <c r="B290" s="111"/>
      <c r="C290" s="64"/>
      <c r="D290" s="64"/>
      <c r="E290" s="132"/>
      <c r="F290" s="132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64"/>
      <c r="X290" s="64"/>
      <c r="Y290" s="64"/>
    </row>
    <row r="291">
      <c r="A291" s="64"/>
      <c r="B291" s="111"/>
      <c r="C291" s="64"/>
      <c r="D291" s="64"/>
      <c r="E291" s="132"/>
      <c r="F291" s="132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64"/>
      <c r="X291" s="64"/>
      <c r="Y291" s="64"/>
    </row>
    <row r="292">
      <c r="A292" s="64"/>
      <c r="B292" s="111"/>
      <c r="C292" s="64"/>
      <c r="D292" s="64"/>
      <c r="E292" s="132"/>
      <c r="F292" s="132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64"/>
      <c r="X292" s="64"/>
      <c r="Y292" s="64"/>
    </row>
    <row r="293">
      <c r="A293" s="64"/>
      <c r="B293" s="111"/>
      <c r="C293" s="64"/>
      <c r="D293" s="64"/>
      <c r="E293" s="132"/>
      <c r="F293" s="132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64"/>
      <c r="X293" s="64"/>
      <c r="Y293" s="64"/>
    </row>
    <row r="294">
      <c r="A294" s="64"/>
      <c r="B294" s="111"/>
      <c r="C294" s="64"/>
      <c r="D294" s="64"/>
      <c r="E294" s="132"/>
      <c r="F294" s="132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64"/>
      <c r="X294" s="64"/>
      <c r="Y294" s="64"/>
    </row>
    <row r="295">
      <c r="A295" s="64"/>
      <c r="B295" s="111"/>
      <c r="C295" s="64"/>
      <c r="D295" s="64"/>
      <c r="E295" s="132"/>
      <c r="F295" s="132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64"/>
      <c r="X295" s="64"/>
      <c r="Y295" s="64"/>
    </row>
    <row r="296">
      <c r="A296" s="64"/>
      <c r="B296" s="111"/>
      <c r="C296" s="64"/>
      <c r="D296" s="64"/>
      <c r="E296" s="132"/>
      <c r="F296" s="132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64"/>
      <c r="X296" s="64"/>
      <c r="Y296" s="64"/>
    </row>
    <row r="297">
      <c r="A297" s="64"/>
      <c r="B297" s="111"/>
      <c r="C297" s="64"/>
      <c r="D297" s="64"/>
      <c r="E297" s="132"/>
      <c r="F297" s="132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64"/>
      <c r="X297" s="64"/>
      <c r="Y297" s="64"/>
    </row>
    <row r="298">
      <c r="A298" s="64"/>
      <c r="B298" s="111"/>
      <c r="C298" s="64"/>
      <c r="D298" s="64"/>
      <c r="E298" s="132"/>
      <c r="F298" s="132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64"/>
      <c r="X298" s="64"/>
      <c r="Y298" s="64"/>
    </row>
    <row r="299">
      <c r="A299" s="64"/>
      <c r="B299" s="111"/>
      <c r="C299" s="64"/>
      <c r="D299" s="64"/>
      <c r="E299" s="132"/>
      <c r="F299" s="132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64"/>
      <c r="X299" s="64"/>
      <c r="Y299" s="64"/>
    </row>
    <row r="300">
      <c r="A300" s="64"/>
      <c r="B300" s="111"/>
      <c r="C300" s="64"/>
      <c r="D300" s="64"/>
      <c r="E300" s="132"/>
      <c r="F300" s="132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64"/>
      <c r="X300" s="64"/>
      <c r="Y300" s="64"/>
    </row>
    <row r="301">
      <c r="A301" s="64"/>
      <c r="B301" s="111"/>
      <c r="C301" s="64"/>
      <c r="D301" s="64"/>
      <c r="E301" s="132"/>
      <c r="F301" s="132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64"/>
      <c r="X301" s="64"/>
      <c r="Y301" s="64"/>
    </row>
    <row r="302">
      <c r="A302" s="64"/>
      <c r="B302" s="111"/>
      <c r="C302" s="64"/>
      <c r="D302" s="64"/>
      <c r="E302" s="132"/>
      <c r="F302" s="132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64"/>
      <c r="X302" s="64"/>
      <c r="Y302" s="64"/>
    </row>
    <row r="303">
      <c r="A303" s="64"/>
      <c r="B303" s="111"/>
      <c r="C303" s="64"/>
      <c r="D303" s="64"/>
      <c r="E303" s="132"/>
      <c r="F303" s="132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64"/>
      <c r="X303" s="64"/>
      <c r="Y303" s="64"/>
    </row>
    <row r="304">
      <c r="A304" s="64"/>
      <c r="B304" s="111"/>
      <c r="C304" s="64"/>
      <c r="D304" s="64"/>
      <c r="E304" s="132"/>
      <c r="F304" s="132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64"/>
      <c r="X304" s="64"/>
      <c r="Y304" s="64"/>
    </row>
    <row r="305">
      <c r="A305" s="64"/>
      <c r="B305" s="111"/>
      <c r="C305" s="64"/>
      <c r="D305" s="64"/>
      <c r="E305" s="132"/>
      <c r="F305" s="132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64"/>
      <c r="X305" s="64"/>
      <c r="Y305" s="64"/>
    </row>
    <row r="306">
      <c r="A306" s="64"/>
      <c r="B306" s="111"/>
      <c r="C306" s="64"/>
      <c r="D306" s="64"/>
      <c r="E306" s="132"/>
      <c r="F306" s="132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64"/>
      <c r="X306" s="64"/>
      <c r="Y306" s="64"/>
    </row>
    <row r="307">
      <c r="A307" s="64"/>
      <c r="B307" s="111"/>
      <c r="C307" s="64"/>
      <c r="D307" s="64"/>
      <c r="E307" s="132"/>
      <c r="F307" s="132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64"/>
      <c r="X307" s="64"/>
      <c r="Y307" s="64"/>
    </row>
    <row r="308">
      <c r="A308" s="64"/>
      <c r="B308" s="111"/>
      <c r="C308" s="64"/>
      <c r="D308" s="64"/>
      <c r="E308" s="132"/>
      <c r="F308" s="132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64"/>
      <c r="X308" s="64"/>
      <c r="Y308" s="64"/>
    </row>
    <row r="309">
      <c r="A309" s="64"/>
      <c r="B309" s="111"/>
      <c r="C309" s="64"/>
      <c r="D309" s="64"/>
      <c r="E309" s="132"/>
      <c r="F309" s="132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64"/>
      <c r="X309" s="64"/>
      <c r="Y309" s="64"/>
    </row>
    <row r="310">
      <c r="A310" s="64"/>
      <c r="B310" s="111"/>
      <c r="C310" s="64"/>
      <c r="D310" s="64"/>
      <c r="E310" s="132"/>
      <c r="F310" s="132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64"/>
      <c r="X310" s="64"/>
      <c r="Y310" s="64"/>
    </row>
    <row r="311">
      <c r="A311" s="64"/>
      <c r="B311" s="111"/>
      <c r="C311" s="64"/>
      <c r="D311" s="64"/>
      <c r="E311" s="132"/>
      <c r="F311" s="132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64"/>
      <c r="X311" s="64"/>
      <c r="Y311" s="64"/>
    </row>
    <row r="312">
      <c r="A312" s="64"/>
      <c r="B312" s="111"/>
      <c r="C312" s="64"/>
      <c r="D312" s="64"/>
      <c r="E312" s="132"/>
      <c r="F312" s="132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64"/>
      <c r="X312" s="64"/>
      <c r="Y312" s="64"/>
    </row>
    <row r="313">
      <c r="A313" s="64"/>
      <c r="B313" s="111"/>
      <c r="C313" s="64"/>
      <c r="D313" s="64"/>
      <c r="E313" s="132"/>
      <c r="F313" s="132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64"/>
      <c r="X313" s="64"/>
      <c r="Y313" s="64"/>
    </row>
    <row r="314">
      <c r="A314" s="64"/>
      <c r="B314" s="111"/>
      <c r="C314" s="64"/>
      <c r="D314" s="64"/>
      <c r="E314" s="132"/>
      <c r="F314" s="132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64"/>
      <c r="X314" s="64"/>
      <c r="Y314" s="64"/>
    </row>
    <row r="315">
      <c r="A315" s="64"/>
      <c r="B315" s="111"/>
      <c r="C315" s="64"/>
      <c r="D315" s="64"/>
      <c r="E315" s="132"/>
      <c r="F315" s="132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64"/>
      <c r="X315" s="64"/>
      <c r="Y315" s="64"/>
    </row>
    <row r="316">
      <c r="A316" s="64"/>
      <c r="B316" s="111"/>
      <c r="C316" s="64"/>
      <c r="D316" s="64"/>
      <c r="E316" s="132"/>
      <c r="F316" s="132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64"/>
      <c r="X316" s="64"/>
      <c r="Y316" s="64"/>
    </row>
    <row r="317">
      <c r="A317" s="64"/>
      <c r="B317" s="111"/>
      <c r="C317" s="64"/>
      <c r="D317" s="64"/>
      <c r="E317" s="132"/>
      <c r="F317" s="132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64"/>
      <c r="X317" s="64"/>
      <c r="Y317" s="64"/>
    </row>
    <row r="318">
      <c r="A318" s="64"/>
      <c r="B318" s="111"/>
      <c r="C318" s="64"/>
      <c r="D318" s="64"/>
      <c r="E318" s="132"/>
      <c r="F318" s="132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64"/>
      <c r="X318" s="64"/>
      <c r="Y318" s="64"/>
    </row>
    <row r="319">
      <c r="A319" s="64"/>
      <c r="B319" s="111"/>
      <c r="C319" s="64"/>
      <c r="D319" s="64"/>
      <c r="E319" s="132"/>
      <c r="F319" s="132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64"/>
      <c r="X319" s="64"/>
      <c r="Y319" s="64"/>
    </row>
    <row r="320">
      <c r="A320" s="64"/>
      <c r="B320" s="111"/>
      <c r="C320" s="64"/>
      <c r="D320" s="64"/>
      <c r="E320" s="132"/>
      <c r="F320" s="132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64"/>
      <c r="X320" s="64"/>
      <c r="Y320" s="64"/>
    </row>
    <row r="321">
      <c r="A321" s="64"/>
      <c r="B321" s="111"/>
      <c r="C321" s="64"/>
      <c r="D321" s="64"/>
      <c r="E321" s="132"/>
      <c r="F321" s="132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64"/>
      <c r="X321" s="64"/>
      <c r="Y321" s="64"/>
    </row>
    <row r="322">
      <c r="A322" s="64"/>
      <c r="B322" s="111"/>
      <c r="C322" s="64"/>
      <c r="D322" s="64"/>
      <c r="E322" s="132"/>
      <c r="F322" s="132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64"/>
      <c r="X322" s="64"/>
      <c r="Y322" s="64"/>
    </row>
    <row r="323">
      <c r="A323" s="64"/>
      <c r="B323" s="111"/>
      <c r="C323" s="64"/>
      <c r="D323" s="64"/>
      <c r="E323" s="132"/>
      <c r="F323" s="132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64"/>
      <c r="X323" s="64"/>
      <c r="Y323" s="64"/>
    </row>
    <row r="324">
      <c r="A324" s="64"/>
      <c r="B324" s="111"/>
      <c r="C324" s="64"/>
      <c r="D324" s="64"/>
      <c r="E324" s="132"/>
      <c r="F324" s="132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64"/>
      <c r="X324" s="64"/>
      <c r="Y324" s="64"/>
    </row>
    <row r="325">
      <c r="A325" s="64"/>
      <c r="B325" s="111"/>
      <c r="C325" s="64"/>
      <c r="D325" s="64"/>
      <c r="E325" s="132"/>
      <c r="F325" s="132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64"/>
      <c r="X325" s="64"/>
      <c r="Y325" s="64"/>
    </row>
    <row r="326">
      <c r="A326" s="64"/>
      <c r="B326" s="111"/>
      <c r="C326" s="64"/>
      <c r="D326" s="64"/>
      <c r="E326" s="132"/>
      <c r="F326" s="132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64"/>
      <c r="X326" s="64"/>
      <c r="Y326" s="64"/>
    </row>
    <row r="327">
      <c r="A327" s="64"/>
      <c r="B327" s="111"/>
      <c r="C327" s="64"/>
      <c r="D327" s="64"/>
      <c r="E327" s="132"/>
      <c r="F327" s="132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64"/>
      <c r="X327" s="64"/>
      <c r="Y327" s="64"/>
    </row>
    <row r="328">
      <c r="A328" s="64"/>
      <c r="B328" s="111"/>
      <c r="C328" s="64"/>
      <c r="D328" s="64"/>
      <c r="E328" s="132"/>
      <c r="F328" s="132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64"/>
      <c r="X328" s="64"/>
      <c r="Y328" s="64"/>
    </row>
    <row r="329">
      <c r="A329" s="64"/>
      <c r="B329" s="111"/>
      <c r="C329" s="64"/>
      <c r="D329" s="64"/>
      <c r="E329" s="132"/>
      <c r="F329" s="132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64"/>
      <c r="X329" s="64"/>
      <c r="Y329" s="64"/>
    </row>
    <row r="330">
      <c r="A330" s="64"/>
      <c r="B330" s="111"/>
      <c r="C330" s="64"/>
      <c r="D330" s="64"/>
      <c r="E330" s="132"/>
      <c r="F330" s="132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64"/>
      <c r="X330" s="64"/>
      <c r="Y330" s="64"/>
    </row>
    <row r="331">
      <c r="A331" s="64"/>
      <c r="B331" s="111"/>
      <c r="C331" s="64"/>
      <c r="D331" s="64"/>
      <c r="E331" s="132"/>
      <c r="F331" s="132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64"/>
      <c r="X331" s="64"/>
      <c r="Y331" s="64"/>
    </row>
    <row r="332">
      <c r="A332" s="64"/>
      <c r="B332" s="111"/>
      <c r="C332" s="64"/>
      <c r="D332" s="64"/>
      <c r="E332" s="132"/>
      <c r="F332" s="132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64"/>
      <c r="X332" s="64"/>
      <c r="Y332" s="64"/>
    </row>
    <row r="333">
      <c r="A333" s="64"/>
      <c r="B333" s="111"/>
      <c r="C333" s="64"/>
      <c r="D333" s="64"/>
      <c r="E333" s="132"/>
      <c r="F333" s="132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64"/>
      <c r="X333" s="64"/>
      <c r="Y333" s="64"/>
    </row>
    <row r="334">
      <c r="A334" s="64"/>
      <c r="B334" s="111"/>
      <c r="C334" s="64"/>
      <c r="D334" s="64"/>
      <c r="E334" s="132"/>
      <c r="F334" s="132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64"/>
      <c r="X334" s="64"/>
      <c r="Y334" s="64"/>
    </row>
    <row r="335">
      <c r="A335" s="64"/>
      <c r="B335" s="111"/>
      <c r="C335" s="64"/>
      <c r="D335" s="64"/>
      <c r="E335" s="132"/>
      <c r="F335" s="132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64"/>
      <c r="X335" s="64"/>
      <c r="Y335" s="64"/>
    </row>
    <row r="336">
      <c r="A336" s="64"/>
      <c r="B336" s="111"/>
      <c r="C336" s="64"/>
      <c r="D336" s="64"/>
      <c r="E336" s="132"/>
      <c r="F336" s="132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64"/>
      <c r="X336" s="64"/>
      <c r="Y336" s="64"/>
    </row>
    <row r="337">
      <c r="A337" s="64"/>
      <c r="B337" s="111"/>
      <c r="C337" s="64"/>
      <c r="D337" s="64"/>
      <c r="E337" s="132"/>
      <c r="F337" s="132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64"/>
      <c r="X337" s="64"/>
      <c r="Y337" s="64"/>
    </row>
    <row r="338">
      <c r="A338" s="64"/>
      <c r="B338" s="111"/>
      <c r="C338" s="64"/>
      <c r="D338" s="64"/>
      <c r="E338" s="132"/>
      <c r="F338" s="132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64"/>
      <c r="X338" s="64"/>
      <c r="Y338" s="64"/>
    </row>
    <row r="339">
      <c r="A339" s="64"/>
      <c r="B339" s="111"/>
      <c r="C339" s="64"/>
      <c r="D339" s="64"/>
      <c r="E339" s="132"/>
      <c r="F339" s="132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64"/>
      <c r="X339" s="64"/>
      <c r="Y339" s="64"/>
    </row>
    <row r="340">
      <c r="A340" s="64"/>
      <c r="B340" s="111"/>
      <c r="C340" s="64"/>
      <c r="D340" s="64"/>
      <c r="E340" s="132"/>
      <c r="F340" s="132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64"/>
      <c r="X340" s="64"/>
      <c r="Y340" s="64"/>
    </row>
    <row r="341">
      <c r="A341" s="64"/>
      <c r="B341" s="111"/>
      <c r="C341" s="64"/>
      <c r="D341" s="64"/>
      <c r="E341" s="132"/>
      <c r="F341" s="132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64"/>
      <c r="X341" s="64"/>
      <c r="Y341" s="64"/>
    </row>
    <row r="342">
      <c r="A342" s="64"/>
      <c r="B342" s="111"/>
      <c r="C342" s="64"/>
      <c r="D342" s="64"/>
      <c r="E342" s="132"/>
      <c r="F342" s="132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64"/>
      <c r="X342" s="64"/>
      <c r="Y342" s="64"/>
    </row>
    <row r="343">
      <c r="A343" s="64"/>
      <c r="B343" s="111"/>
      <c r="C343" s="64"/>
      <c r="D343" s="64"/>
      <c r="E343" s="132"/>
      <c r="F343" s="132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64"/>
      <c r="X343" s="64"/>
      <c r="Y343" s="64"/>
    </row>
    <row r="344">
      <c r="A344" s="64"/>
      <c r="B344" s="111"/>
      <c r="C344" s="64"/>
      <c r="D344" s="64"/>
      <c r="E344" s="132"/>
      <c r="F344" s="132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64"/>
      <c r="X344" s="64"/>
      <c r="Y344" s="64"/>
    </row>
    <row r="345">
      <c r="A345" s="64"/>
      <c r="B345" s="111"/>
      <c r="C345" s="64"/>
      <c r="D345" s="64"/>
      <c r="E345" s="132"/>
      <c r="F345" s="132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64"/>
      <c r="X345" s="64"/>
      <c r="Y345" s="64"/>
    </row>
    <row r="346">
      <c r="A346" s="64"/>
      <c r="B346" s="111"/>
      <c r="C346" s="64"/>
      <c r="D346" s="64"/>
      <c r="E346" s="132"/>
      <c r="F346" s="132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64"/>
      <c r="X346" s="64"/>
      <c r="Y346" s="64"/>
    </row>
    <row r="347">
      <c r="A347" s="64"/>
      <c r="B347" s="111"/>
      <c r="C347" s="64"/>
      <c r="D347" s="64"/>
      <c r="E347" s="132"/>
      <c r="F347" s="132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64"/>
      <c r="X347" s="64"/>
      <c r="Y347" s="64"/>
    </row>
    <row r="348">
      <c r="A348" s="64"/>
      <c r="B348" s="111"/>
      <c r="C348" s="64"/>
      <c r="D348" s="64"/>
      <c r="E348" s="132"/>
      <c r="F348" s="132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64"/>
      <c r="X348" s="64"/>
      <c r="Y348" s="64"/>
    </row>
    <row r="349">
      <c r="A349" s="64"/>
      <c r="B349" s="111"/>
      <c r="C349" s="64"/>
      <c r="D349" s="64"/>
      <c r="E349" s="132"/>
      <c r="F349" s="132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64"/>
      <c r="X349" s="64"/>
      <c r="Y349" s="64"/>
    </row>
    <row r="350">
      <c r="A350" s="64"/>
      <c r="B350" s="111"/>
      <c r="C350" s="64"/>
      <c r="D350" s="64"/>
      <c r="E350" s="132"/>
      <c r="F350" s="132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64"/>
      <c r="X350" s="64"/>
      <c r="Y350" s="64"/>
    </row>
    <row r="351">
      <c r="A351" s="64"/>
      <c r="B351" s="111"/>
      <c r="C351" s="64"/>
      <c r="D351" s="64"/>
      <c r="E351" s="132"/>
      <c r="F351" s="132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64"/>
      <c r="X351" s="64"/>
      <c r="Y351" s="64"/>
    </row>
    <row r="352">
      <c r="A352" s="64"/>
      <c r="B352" s="111"/>
      <c r="C352" s="64"/>
      <c r="D352" s="64"/>
      <c r="E352" s="132"/>
      <c r="F352" s="132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64"/>
      <c r="X352" s="64"/>
      <c r="Y352" s="64"/>
    </row>
    <row r="353">
      <c r="A353" s="64"/>
      <c r="B353" s="111"/>
      <c r="C353" s="64"/>
      <c r="D353" s="64"/>
      <c r="E353" s="132"/>
      <c r="F353" s="132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64"/>
      <c r="X353" s="64"/>
      <c r="Y353" s="64"/>
    </row>
    <row r="354">
      <c r="A354" s="64"/>
      <c r="B354" s="111"/>
      <c r="C354" s="64"/>
      <c r="D354" s="64"/>
      <c r="E354" s="132"/>
      <c r="F354" s="132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64"/>
      <c r="X354" s="64"/>
      <c r="Y354" s="64"/>
    </row>
    <row r="355">
      <c r="A355" s="64"/>
      <c r="B355" s="111"/>
      <c r="C355" s="64"/>
      <c r="D355" s="64"/>
      <c r="E355" s="132"/>
      <c r="F355" s="132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64"/>
      <c r="X355" s="64"/>
      <c r="Y355" s="64"/>
    </row>
    <row r="356">
      <c r="A356" s="64"/>
      <c r="B356" s="111"/>
      <c r="C356" s="64"/>
      <c r="D356" s="64"/>
      <c r="E356" s="132"/>
      <c r="F356" s="132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64"/>
      <c r="X356" s="64"/>
      <c r="Y356" s="64"/>
    </row>
    <row r="357">
      <c r="A357" s="64"/>
      <c r="B357" s="111"/>
      <c r="C357" s="64"/>
      <c r="D357" s="64"/>
      <c r="E357" s="132"/>
      <c r="F357" s="132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64"/>
      <c r="X357" s="64"/>
      <c r="Y357" s="64"/>
    </row>
    <row r="358">
      <c r="A358" s="64"/>
      <c r="B358" s="111"/>
      <c r="C358" s="64"/>
      <c r="D358" s="64"/>
      <c r="E358" s="132"/>
      <c r="F358" s="132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64"/>
      <c r="X358" s="64"/>
      <c r="Y358" s="64"/>
    </row>
    <row r="359">
      <c r="A359" s="64"/>
      <c r="B359" s="111"/>
      <c r="C359" s="64"/>
      <c r="D359" s="64"/>
      <c r="E359" s="132"/>
      <c r="F359" s="132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64"/>
      <c r="X359" s="64"/>
      <c r="Y359" s="64"/>
    </row>
    <row r="360">
      <c r="A360" s="64"/>
      <c r="B360" s="111"/>
      <c r="C360" s="64"/>
      <c r="D360" s="64"/>
      <c r="E360" s="132"/>
      <c r="F360" s="132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64"/>
      <c r="X360" s="64"/>
      <c r="Y360" s="64"/>
    </row>
    <row r="361">
      <c r="A361" s="64"/>
      <c r="B361" s="111"/>
      <c r="C361" s="64"/>
      <c r="D361" s="64"/>
      <c r="E361" s="132"/>
      <c r="F361" s="132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64"/>
      <c r="X361" s="64"/>
      <c r="Y361" s="64"/>
    </row>
    <row r="362">
      <c r="A362" s="64"/>
      <c r="B362" s="111"/>
      <c r="C362" s="64"/>
      <c r="D362" s="64"/>
      <c r="E362" s="132"/>
      <c r="F362" s="132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64"/>
      <c r="X362" s="64"/>
      <c r="Y362" s="64"/>
    </row>
    <row r="363">
      <c r="A363" s="64"/>
      <c r="B363" s="111"/>
      <c r="C363" s="64"/>
      <c r="D363" s="64"/>
      <c r="E363" s="132"/>
      <c r="F363" s="132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64"/>
      <c r="X363" s="64"/>
      <c r="Y363" s="64"/>
    </row>
    <row r="364">
      <c r="A364" s="64"/>
      <c r="B364" s="111"/>
      <c r="C364" s="64"/>
      <c r="D364" s="64"/>
      <c r="E364" s="132"/>
      <c r="F364" s="132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64"/>
      <c r="X364" s="64"/>
      <c r="Y364" s="64"/>
    </row>
    <row r="365">
      <c r="A365" s="64"/>
      <c r="B365" s="111"/>
      <c r="C365" s="64"/>
      <c r="D365" s="64"/>
      <c r="E365" s="132"/>
      <c r="F365" s="132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64"/>
      <c r="X365" s="64"/>
      <c r="Y365" s="64"/>
    </row>
    <row r="366">
      <c r="A366" s="64"/>
      <c r="B366" s="111"/>
      <c r="C366" s="64"/>
      <c r="D366" s="64"/>
      <c r="E366" s="132"/>
      <c r="F366" s="132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64"/>
      <c r="X366" s="64"/>
      <c r="Y366" s="64"/>
    </row>
    <row r="367">
      <c r="A367" s="64"/>
      <c r="B367" s="111"/>
      <c r="C367" s="64"/>
      <c r="D367" s="64"/>
      <c r="E367" s="132"/>
      <c r="F367" s="132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64"/>
      <c r="X367" s="64"/>
      <c r="Y367" s="64"/>
    </row>
    <row r="368">
      <c r="A368" s="64"/>
      <c r="B368" s="111"/>
      <c r="C368" s="64"/>
      <c r="D368" s="64"/>
      <c r="E368" s="132"/>
      <c r="F368" s="132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64"/>
      <c r="X368" s="64"/>
      <c r="Y368" s="64"/>
    </row>
    <row r="369">
      <c r="A369" s="64"/>
      <c r="B369" s="111"/>
      <c r="C369" s="64"/>
      <c r="D369" s="64"/>
      <c r="E369" s="132"/>
      <c r="F369" s="132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64"/>
      <c r="X369" s="64"/>
      <c r="Y369" s="64"/>
    </row>
    <row r="370">
      <c r="A370" s="64"/>
      <c r="B370" s="111"/>
      <c r="C370" s="64"/>
      <c r="D370" s="64"/>
      <c r="E370" s="132"/>
      <c r="F370" s="132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64"/>
      <c r="X370" s="64"/>
      <c r="Y370" s="64"/>
    </row>
    <row r="371">
      <c r="A371" s="64"/>
      <c r="B371" s="111"/>
      <c r="C371" s="64"/>
      <c r="D371" s="64"/>
      <c r="E371" s="132"/>
      <c r="F371" s="132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64"/>
      <c r="X371" s="64"/>
      <c r="Y371" s="64"/>
    </row>
    <row r="372">
      <c r="A372" s="64"/>
      <c r="B372" s="111"/>
      <c r="C372" s="64"/>
      <c r="D372" s="64"/>
      <c r="E372" s="132"/>
      <c r="F372" s="132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64"/>
      <c r="X372" s="64"/>
      <c r="Y372" s="64"/>
    </row>
    <row r="373">
      <c r="A373" s="64"/>
      <c r="B373" s="111"/>
      <c r="C373" s="64"/>
      <c r="D373" s="64"/>
      <c r="E373" s="132"/>
      <c r="F373" s="132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64"/>
      <c r="X373" s="64"/>
      <c r="Y373" s="64"/>
    </row>
    <row r="374">
      <c r="A374" s="64"/>
      <c r="B374" s="111"/>
      <c r="C374" s="64"/>
      <c r="D374" s="64"/>
      <c r="E374" s="132"/>
      <c r="F374" s="132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64"/>
      <c r="X374" s="64"/>
      <c r="Y374" s="64"/>
    </row>
    <row r="375">
      <c r="A375" s="64"/>
      <c r="B375" s="111"/>
      <c r="C375" s="64"/>
      <c r="D375" s="64"/>
      <c r="E375" s="132"/>
      <c r="F375" s="132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64"/>
      <c r="X375" s="64"/>
      <c r="Y375" s="64"/>
    </row>
    <row r="376">
      <c r="A376" s="64"/>
      <c r="B376" s="111"/>
      <c r="C376" s="64"/>
      <c r="D376" s="64"/>
      <c r="E376" s="132"/>
      <c r="F376" s="132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64"/>
      <c r="X376" s="64"/>
      <c r="Y376" s="64"/>
    </row>
    <row r="377">
      <c r="A377" s="64"/>
      <c r="B377" s="111"/>
      <c r="C377" s="64"/>
      <c r="D377" s="64"/>
      <c r="E377" s="132"/>
      <c r="F377" s="132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64"/>
      <c r="X377" s="64"/>
      <c r="Y377" s="64"/>
    </row>
    <row r="378">
      <c r="A378" s="64"/>
      <c r="B378" s="111"/>
      <c r="C378" s="64"/>
      <c r="D378" s="64"/>
      <c r="E378" s="132"/>
      <c r="F378" s="132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64"/>
      <c r="X378" s="64"/>
      <c r="Y378" s="64"/>
    </row>
    <row r="379">
      <c r="A379" s="64"/>
      <c r="B379" s="111"/>
      <c r="C379" s="64"/>
      <c r="D379" s="64"/>
      <c r="E379" s="132"/>
      <c r="F379" s="132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64"/>
      <c r="X379" s="64"/>
      <c r="Y379" s="64"/>
    </row>
    <row r="380">
      <c r="A380" s="64"/>
      <c r="B380" s="111"/>
      <c r="C380" s="64"/>
      <c r="D380" s="64"/>
      <c r="E380" s="132"/>
      <c r="F380" s="132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64"/>
      <c r="X380" s="64"/>
      <c r="Y380" s="64"/>
    </row>
    <row r="381">
      <c r="A381" s="64"/>
      <c r="B381" s="111"/>
      <c r="C381" s="64"/>
      <c r="D381" s="64"/>
      <c r="E381" s="132"/>
      <c r="F381" s="132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64"/>
      <c r="X381" s="64"/>
      <c r="Y381" s="64"/>
    </row>
    <row r="382">
      <c r="A382" s="64"/>
      <c r="B382" s="111"/>
      <c r="C382" s="64"/>
      <c r="D382" s="64"/>
      <c r="E382" s="132"/>
      <c r="F382" s="132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64"/>
      <c r="X382" s="64"/>
      <c r="Y382" s="64"/>
    </row>
    <row r="383">
      <c r="A383" s="64"/>
      <c r="B383" s="111"/>
      <c r="C383" s="64"/>
      <c r="D383" s="64"/>
      <c r="E383" s="132"/>
      <c r="F383" s="132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64"/>
      <c r="X383" s="64"/>
      <c r="Y383" s="64"/>
    </row>
    <row r="384">
      <c r="A384" s="64"/>
      <c r="B384" s="111"/>
      <c r="C384" s="64"/>
      <c r="D384" s="64"/>
      <c r="E384" s="132"/>
      <c r="F384" s="132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64"/>
      <c r="X384" s="64"/>
      <c r="Y384" s="64"/>
    </row>
    <row r="385">
      <c r="A385" s="64"/>
      <c r="B385" s="111"/>
      <c r="C385" s="64"/>
      <c r="D385" s="64"/>
      <c r="E385" s="132"/>
      <c r="F385" s="132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64"/>
      <c r="X385" s="64"/>
      <c r="Y385" s="64"/>
    </row>
    <row r="386">
      <c r="A386" s="64"/>
      <c r="B386" s="111"/>
      <c r="C386" s="64"/>
      <c r="D386" s="64"/>
      <c r="E386" s="132"/>
      <c r="F386" s="132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64"/>
      <c r="X386" s="64"/>
      <c r="Y386" s="64"/>
    </row>
    <row r="387">
      <c r="A387" s="64"/>
      <c r="B387" s="111"/>
      <c r="C387" s="64"/>
      <c r="D387" s="64"/>
      <c r="E387" s="132"/>
      <c r="F387" s="132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64"/>
      <c r="X387" s="64"/>
      <c r="Y387" s="64"/>
    </row>
    <row r="388">
      <c r="A388" s="64"/>
      <c r="B388" s="111"/>
      <c r="C388" s="64"/>
      <c r="D388" s="64"/>
      <c r="E388" s="132"/>
      <c r="F388" s="132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64"/>
      <c r="X388" s="64"/>
      <c r="Y388" s="64"/>
    </row>
    <row r="389">
      <c r="A389" s="64"/>
      <c r="B389" s="111"/>
      <c r="C389" s="64"/>
      <c r="D389" s="64"/>
      <c r="E389" s="132"/>
      <c r="F389" s="132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64"/>
      <c r="X389" s="64"/>
      <c r="Y389" s="64"/>
    </row>
    <row r="390">
      <c r="A390" s="64"/>
      <c r="B390" s="111"/>
      <c r="C390" s="64"/>
      <c r="D390" s="64"/>
      <c r="E390" s="132"/>
      <c r="F390" s="132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64"/>
      <c r="X390" s="64"/>
      <c r="Y390" s="64"/>
    </row>
    <row r="391">
      <c r="A391" s="64"/>
      <c r="B391" s="111"/>
      <c r="C391" s="64"/>
      <c r="D391" s="64"/>
      <c r="E391" s="132"/>
      <c r="F391" s="132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64"/>
      <c r="X391" s="64"/>
      <c r="Y391" s="64"/>
    </row>
    <row r="392">
      <c r="A392" s="64"/>
      <c r="B392" s="111"/>
      <c r="C392" s="64"/>
      <c r="D392" s="64"/>
      <c r="E392" s="132"/>
      <c r="F392" s="132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64"/>
      <c r="X392" s="64"/>
      <c r="Y392" s="64"/>
    </row>
    <row r="393">
      <c r="A393" s="64"/>
      <c r="B393" s="111"/>
      <c r="C393" s="64"/>
      <c r="D393" s="64"/>
      <c r="E393" s="132"/>
      <c r="F393" s="132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64"/>
      <c r="X393" s="64"/>
      <c r="Y393" s="64"/>
    </row>
    <row r="394">
      <c r="A394" s="64"/>
      <c r="B394" s="111"/>
      <c r="C394" s="64"/>
      <c r="D394" s="64"/>
      <c r="E394" s="132"/>
      <c r="F394" s="132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64"/>
      <c r="X394" s="64"/>
      <c r="Y394" s="64"/>
    </row>
    <row r="395">
      <c r="A395" s="64"/>
      <c r="B395" s="111"/>
      <c r="C395" s="64"/>
      <c r="D395" s="64"/>
      <c r="E395" s="132"/>
      <c r="F395" s="132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64"/>
      <c r="X395" s="64"/>
      <c r="Y395" s="64"/>
    </row>
    <row r="396">
      <c r="A396" s="64"/>
      <c r="B396" s="111"/>
      <c r="C396" s="64"/>
      <c r="D396" s="64"/>
      <c r="E396" s="132"/>
      <c r="F396" s="132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64"/>
      <c r="X396" s="64"/>
      <c r="Y396" s="64"/>
    </row>
    <row r="397">
      <c r="A397" s="64"/>
      <c r="B397" s="111"/>
      <c r="C397" s="64"/>
      <c r="D397" s="64"/>
      <c r="E397" s="132"/>
      <c r="F397" s="132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64"/>
      <c r="X397" s="64"/>
      <c r="Y397" s="64"/>
    </row>
    <row r="398">
      <c r="A398" s="64"/>
      <c r="B398" s="111"/>
      <c r="C398" s="64"/>
      <c r="D398" s="64"/>
      <c r="E398" s="132"/>
      <c r="F398" s="132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64"/>
      <c r="X398" s="64"/>
      <c r="Y398" s="64"/>
    </row>
    <row r="399">
      <c r="A399" s="64"/>
      <c r="B399" s="111"/>
      <c r="C399" s="64"/>
      <c r="D399" s="64"/>
      <c r="E399" s="132"/>
      <c r="F399" s="132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64"/>
      <c r="X399" s="64"/>
      <c r="Y399" s="64"/>
    </row>
    <row r="400">
      <c r="A400" s="64"/>
      <c r="B400" s="111"/>
      <c r="C400" s="64"/>
      <c r="D400" s="64"/>
      <c r="E400" s="132"/>
      <c r="F400" s="132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64"/>
      <c r="X400" s="64"/>
      <c r="Y400" s="64"/>
    </row>
    <row r="401">
      <c r="A401" s="64"/>
      <c r="B401" s="111"/>
      <c r="C401" s="64"/>
      <c r="D401" s="64"/>
      <c r="E401" s="132"/>
      <c r="F401" s="132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64"/>
      <c r="X401" s="64"/>
      <c r="Y401" s="64"/>
    </row>
    <row r="402">
      <c r="A402" s="64"/>
      <c r="B402" s="111"/>
      <c r="C402" s="64"/>
      <c r="D402" s="64"/>
      <c r="E402" s="132"/>
      <c r="F402" s="132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64"/>
      <c r="X402" s="64"/>
      <c r="Y402" s="64"/>
    </row>
    <row r="403">
      <c r="A403" s="64"/>
      <c r="B403" s="111"/>
      <c r="C403" s="64"/>
      <c r="D403" s="64"/>
      <c r="E403" s="132"/>
      <c r="F403" s="132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64"/>
      <c r="X403" s="64"/>
      <c r="Y403" s="64"/>
    </row>
    <row r="404">
      <c r="A404" s="64"/>
      <c r="B404" s="111"/>
      <c r="C404" s="64"/>
      <c r="D404" s="64"/>
      <c r="E404" s="132"/>
      <c r="F404" s="132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64"/>
      <c r="X404" s="64"/>
      <c r="Y404" s="64"/>
    </row>
    <row r="405">
      <c r="A405" s="64"/>
      <c r="B405" s="111"/>
      <c r="C405" s="64"/>
      <c r="D405" s="64"/>
      <c r="E405" s="132"/>
      <c r="F405" s="132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64"/>
      <c r="X405" s="64"/>
      <c r="Y405" s="64"/>
    </row>
    <row r="406">
      <c r="A406" s="64"/>
      <c r="B406" s="111"/>
      <c r="C406" s="64"/>
      <c r="D406" s="64"/>
      <c r="E406" s="132"/>
      <c r="F406" s="132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64"/>
      <c r="X406" s="64"/>
      <c r="Y406" s="64"/>
    </row>
    <row r="407">
      <c r="A407" s="64"/>
      <c r="B407" s="111"/>
      <c r="C407" s="64"/>
      <c r="D407" s="64"/>
      <c r="E407" s="132"/>
      <c r="F407" s="132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64"/>
      <c r="X407" s="64"/>
      <c r="Y407" s="64"/>
    </row>
    <row r="408">
      <c r="A408" s="64"/>
      <c r="B408" s="111"/>
      <c r="C408" s="64"/>
      <c r="D408" s="64"/>
      <c r="E408" s="132"/>
      <c r="F408" s="132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64"/>
      <c r="X408" s="64"/>
      <c r="Y408" s="64"/>
    </row>
    <row r="409">
      <c r="A409" s="64"/>
      <c r="B409" s="111"/>
      <c r="C409" s="64"/>
      <c r="D409" s="64"/>
      <c r="E409" s="132"/>
      <c r="F409" s="132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64"/>
      <c r="X409" s="64"/>
      <c r="Y409" s="64"/>
    </row>
    <row r="410">
      <c r="A410" s="64"/>
      <c r="B410" s="111"/>
      <c r="C410" s="64"/>
      <c r="D410" s="64"/>
      <c r="E410" s="132"/>
      <c r="F410" s="132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64"/>
      <c r="X410" s="64"/>
      <c r="Y410" s="64"/>
    </row>
    <row r="411">
      <c r="A411" s="64"/>
      <c r="B411" s="111"/>
      <c r="C411" s="64"/>
      <c r="D411" s="64"/>
      <c r="E411" s="132"/>
      <c r="F411" s="132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64"/>
      <c r="X411" s="64"/>
      <c r="Y411" s="64"/>
    </row>
    <row r="412">
      <c r="A412" s="64"/>
      <c r="B412" s="111"/>
      <c r="C412" s="64"/>
      <c r="D412" s="64"/>
      <c r="E412" s="132"/>
      <c r="F412" s="132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64"/>
      <c r="X412" s="64"/>
      <c r="Y412" s="64"/>
    </row>
    <row r="413">
      <c r="A413" s="64"/>
      <c r="B413" s="111"/>
      <c r="C413" s="64"/>
      <c r="D413" s="64"/>
      <c r="E413" s="132"/>
      <c r="F413" s="132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64"/>
      <c r="X413" s="64"/>
      <c r="Y413" s="64"/>
    </row>
    <row r="414">
      <c r="A414" s="64"/>
      <c r="B414" s="111"/>
      <c r="C414" s="64"/>
      <c r="D414" s="64"/>
      <c r="E414" s="132"/>
      <c r="F414" s="132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64"/>
      <c r="X414" s="64"/>
      <c r="Y414" s="64"/>
    </row>
    <row r="415">
      <c r="A415" s="64"/>
      <c r="B415" s="111"/>
      <c r="C415" s="64"/>
      <c r="D415" s="64"/>
      <c r="E415" s="132"/>
      <c r="F415" s="132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64"/>
      <c r="X415" s="64"/>
      <c r="Y415" s="64"/>
    </row>
    <row r="416">
      <c r="A416" s="64"/>
      <c r="B416" s="111"/>
      <c r="C416" s="64"/>
      <c r="D416" s="64"/>
      <c r="E416" s="132"/>
      <c r="F416" s="132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64"/>
      <c r="X416" s="64"/>
      <c r="Y416" s="64"/>
    </row>
    <row r="417">
      <c r="A417" s="64"/>
      <c r="B417" s="111"/>
      <c r="C417" s="64"/>
      <c r="D417" s="64"/>
      <c r="E417" s="132"/>
      <c r="F417" s="132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64"/>
      <c r="X417" s="64"/>
      <c r="Y417" s="64"/>
    </row>
    <row r="418">
      <c r="A418" s="64"/>
      <c r="B418" s="111"/>
      <c r="C418" s="64"/>
      <c r="D418" s="64"/>
      <c r="E418" s="132"/>
      <c r="F418" s="132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64"/>
      <c r="X418" s="64"/>
      <c r="Y418" s="64"/>
    </row>
    <row r="419">
      <c r="A419" s="64"/>
      <c r="B419" s="111"/>
      <c r="C419" s="64"/>
      <c r="D419" s="64"/>
      <c r="E419" s="132"/>
      <c r="F419" s="132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64"/>
      <c r="X419" s="64"/>
      <c r="Y419" s="64"/>
    </row>
    <row r="420">
      <c r="A420" s="64"/>
      <c r="B420" s="111"/>
      <c r="C420" s="64"/>
      <c r="D420" s="64"/>
      <c r="E420" s="132"/>
      <c r="F420" s="132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64"/>
      <c r="X420" s="64"/>
      <c r="Y420" s="64"/>
    </row>
    <row r="421">
      <c r="A421" s="64"/>
      <c r="B421" s="111"/>
      <c r="C421" s="64"/>
      <c r="D421" s="64"/>
      <c r="E421" s="132"/>
      <c r="F421" s="132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64"/>
      <c r="X421" s="64"/>
      <c r="Y421" s="64"/>
    </row>
    <row r="422">
      <c r="A422" s="64"/>
      <c r="B422" s="111"/>
      <c r="C422" s="64"/>
      <c r="D422" s="64"/>
      <c r="E422" s="132"/>
      <c r="F422" s="132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64"/>
      <c r="X422" s="64"/>
      <c r="Y422" s="64"/>
    </row>
    <row r="423">
      <c r="A423" s="64"/>
      <c r="B423" s="111"/>
      <c r="C423" s="64"/>
      <c r="D423" s="64"/>
      <c r="E423" s="132"/>
      <c r="F423" s="132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64"/>
      <c r="X423" s="64"/>
      <c r="Y423" s="64"/>
    </row>
    <row r="424">
      <c r="A424" s="64"/>
      <c r="B424" s="111"/>
      <c r="C424" s="64"/>
      <c r="D424" s="64"/>
      <c r="E424" s="132"/>
      <c r="F424" s="132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64"/>
      <c r="X424" s="64"/>
      <c r="Y424" s="64"/>
    </row>
    <row r="425">
      <c r="A425" s="64"/>
      <c r="B425" s="111"/>
      <c r="C425" s="64"/>
      <c r="D425" s="64"/>
      <c r="E425" s="132"/>
      <c r="F425" s="132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64"/>
      <c r="X425" s="64"/>
      <c r="Y425" s="64"/>
    </row>
    <row r="426">
      <c r="A426" s="64"/>
      <c r="B426" s="111"/>
      <c r="C426" s="64"/>
      <c r="D426" s="64"/>
      <c r="E426" s="132"/>
      <c r="F426" s="132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64"/>
      <c r="X426" s="64"/>
      <c r="Y426" s="64"/>
    </row>
    <row r="427">
      <c r="A427" s="64"/>
      <c r="B427" s="111"/>
      <c r="C427" s="64"/>
      <c r="D427" s="64"/>
      <c r="E427" s="132"/>
      <c r="F427" s="132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64"/>
      <c r="X427" s="64"/>
      <c r="Y427" s="64"/>
    </row>
    <row r="428">
      <c r="A428" s="64"/>
      <c r="B428" s="111"/>
      <c r="C428" s="64"/>
      <c r="D428" s="64"/>
      <c r="E428" s="132"/>
      <c r="F428" s="132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64"/>
      <c r="X428" s="64"/>
      <c r="Y428" s="64"/>
    </row>
    <row r="429">
      <c r="A429" s="64"/>
      <c r="B429" s="111"/>
      <c r="C429" s="64"/>
      <c r="D429" s="64"/>
      <c r="E429" s="132"/>
      <c r="F429" s="132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64"/>
      <c r="X429" s="64"/>
      <c r="Y429" s="64"/>
    </row>
    <row r="430">
      <c r="A430" s="64"/>
      <c r="B430" s="111"/>
      <c r="C430" s="64"/>
      <c r="D430" s="64"/>
      <c r="E430" s="132"/>
      <c r="F430" s="132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64"/>
      <c r="X430" s="64"/>
      <c r="Y430" s="64"/>
    </row>
    <row r="431">
      <c r="A431" s="64"/>
      <c r="B431" s="111"/>
      <c r="C431" s="64"/>
      <c r="D431" s="64"/>
      <c r="E431" s="132"/>
      <c r="F431" s="132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64"/>
      <c r="X431" s="64"/>
      <c r="Y431" s="64"/>
    </row>
    <row r="432">
      <c r="A432" s="64"/>
      <c r="B432" s="111"/>
      <c r="C432" s="64"/>
      <c r="D432" s="64"/>
      <c r="E432" s="132"/>
      <c r="F432" s="132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64"/>
      <c r="X432" s="64"/>
      <c r="Y432" s="64"/>
    </row>
    <row r="433">
      <c r="A433" s="64"/>
      <c r="B433" s="111"/>
      <c r="C433" s="64"/>
      <c r="D433" s="64"/>
      <c r="E433" s="132"/>
      <c r="F433" s="132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64"/>
      <c r="X433" s="64"/>
      <c r="Y433" s="64"/>
    </row>
    <row r="434">
      <c r="A434" s="64"/>
      <c r="B434" s="111"/>
      <c r="C434" s="64"/>
      <c r="D434" s="64"/>
      <c r="E434" s="132"/>
      <c r="F434" s="132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64"/>
      <c r="X434" s="64"/>
      <c r="Y434" s="64"/>
    </row>
    <row r="435">
      <c r="A435" s="64"/>
      <c r="B435" s="111"/>
      <c r="C435" s="64"/>
      <c r="D435" s="64"/>
      <c r="E435" s="132"/>
      <c r="F435" s="132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64"/>
      <c r="X435" s="64"/>
      <c r="Y435" s="64"/>
    </row>
    <row r="436">
      <c r="A436" s="64"/>
      <c r="B436" s="111"/>
      <c r="C436" s="64"/>
      <c r="D436" s="64"/>
      <c r="E436" s="132"/>
      <c r="F436" s="132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64"/>
      <c r="X436" s="64"/>
      <c r="Y436" s="64"/>
    </row>
    <row r="437">
      <c r="A437" s="64"/>
      <c r="B437" s="111"/>
      <c r="C437" s="64"/>
      <c r="D437" s="64"/>
      <c r="E437" s="132"/>
      <c r="F437" s="132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64"/>
      <c r="X437" s="64"/>
      <c r="Y437" s="64"/>
    </row>
    <row r="438">
      <c r="A438" s="64"/>
      <c r="B438" s="111"/>
      <c r="C438" s="64"/>
      <c r="D438" s="64"/>
      <c r="E438" s="132"/>
      <c r="F438" s="132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64"/>
      <c r="X438" s="64"/>
      <c r="Y438" s="64"/>
    </row>
    <row r="439">
      <c r="A439" s="64"/>
      <c r="B439" s="111"/>
      <c r="C439" s="64"/>
      <c r="D439" s="64"/>
      <c r="E439" s="132"/>
      <c r="F439" s="132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64"/>
      <c r="X439" s="64"/>
      <c r="Y439" s="64"/>
    </row>
    <row r="440">
      <c r="A440" s="64"/>
      <c r="B440" s="111"/>
      <c r="C440" s="64"/>
      <c r="D440" s="64"/>
      <c r="E440" s="132"/>
      <c r="F440" s="132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64"/>
      <c r="X440" s="64"/>
      <c r="Y440" s="64"/>
    </row>
    <row r="441">
      <c r="A441" s="64"/>
      <c r="B441" s="111"/>
      <c r="C441" s="64"/>
      <c r="D441" s="64"/>
      <c r="E441" s="132"/>
      <c r="F441" s="132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64"/>
      <c r="X441" s="64"/>
      <c r="Y441" s="64"/>
    </row>
    <row r="442">
      <c r="A442" s="64"/>
      <c r="B442" s="111"/>
      <c r="C442" s="64"/>
      <c r="D442" s="64"/>
      <c r="E442" s="132"/>
      <c r="F442" s="132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64"/>
      <c r="X442" s="64"/>
      <c r="Y442" s="64"/>
    </row>
    <row r="443">
      <c r="A443" s="64"/>
      <c r="B443" s="111"/>
      <c r="C443" s="64"/>
      <c r="D443" s="64"/>
      <c r="E443" s="132"/>
      <c r="F443" s="132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64"/>
      <c r="X443" s="64"/>
      <c r="Y443" s="64"/>
    </row>
    <row r="444">
      <c r="A444" s="64"/>
      <c r="B444" s="111"/>
      <c r="C444" s="64"/>
      <c r="D444" s="64"/>
      <c r="E444" s="132"/>
      <c r="F444" s="132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64"/>
      <c r="X444" s="64"/>
      <c r="Y444" s="64"/>
    </row>
    <row r="445">
      <c r="A445" s="64"/>
      <c r="B445" s="111"/>
      <c r="C445" s="64"/>
      <c r="D445" s="64"/>
      <c r="E445" s="132"/>
      <c r="F445" s="132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64"/>
      <c r="X445" s="64"/>
      <c r="Y445" s="64"/>
    </row>
    <row r="446">
      <c r="A446" s="64"/>
      <c r="B446" s="111"/>
      <c r="C446" s="64"/>
      <c r="D446" s="64"/>
      <c r="E446" s="132"/>
      <c r="F446" s="132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64"/>
      <c r="X446" s="64"/>
      <c r="Y446" s="64"/>
    </row>
    <row r="447">
      <c r="A447" s="64"/>
      <c r="B447" s="111"/>
      <c r="C447" s="64"/>
      <c r="D447" s="64"/>
      <c r="E447" s="132"/>
      <c r="F447" s="132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64"/>
      <c r="X447" s="64"/>
      <c r="Y447" s="64"/>
    </row>
    <row r="448">
      <c r="A448" s="64"/>
      <c r="B448" s="111"/>
      <c r="C448" s="64"/>
      <c r="D448" s="64"/>
      <c r="E448" s="132"/>
      <c r="F448" s="132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64"/>
      <c r="X448" s="64"/>
      <c r="Y448" s="64"/>
    </row>
    <row r="449">
      <c r="A449" s="64"/>
      <c r="B449" s="111"/>
      <c r="C449" s="64"/>
      <c r="D449" s="64"/>
      <c r="E449" s="132"/>
      <c r="F449" s="132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64"/>
      <c r="X449" s="64"/>
      <c r="Y449" s="64"/>
    </row>
    <row r="450">
      <c r="A450" s="64"/>
      <c r="B450" s="111"/>
      <c r="C450" s="64"/>
      <c r="D450" s="64"/>
      <c r="E450" s="132"/>
      <c r="F450" s="132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64"/>
      <c r="X450" s="64"/>
      <c r="Y450" s="64"/>
    </row>
    <row r="451">
      <c r="A451" s="64"/>
      <c r="B451" s="111"/>
      <c r="C451" s="64"/>
      <c r="D451" s="64"/>
      <c r="E451" s="132"/>
      <c r="F451" s="132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64"/>
      <c r="X451" s="64"/>
      <c r="Y451" s="64"/>
    </row>
    <row r="452">
      <c r="A452" s="64"/>
      <c r="B452" s="111"/>
      <c r="C452" s="64"/>
      <c r="D452" s="64"/>
      <c r="E452" s="132"/>
      <c r="F452" s="132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64"/>
      <c r="X452" s="64"/>
      <c r="Y452" s="64"/>
    </row>
    <row r="453">
      <c r="A453" s="64"/>
      <c r="B453" s="111"/>
      <c r="C453" s="64"/>
      <c r="D453" s="64"/>
      <c r="E453" s="132"/>
      <c r="F453" s="132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64"/>
      <c r="X453" s="64"/>
      <c r="Y453" s="64"/>
    </row>
    <row r="454">
      <c r="A454" s="64"/>
      <c r="B454" s="111"/>
      <c r="C454" s="64"/>
      <c r="D454" s="64"/>
      <c r="E454" s="132"/>
      <c r="F454" s="132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64"/>
      <c r="X454" s="64"/>
      <c r="Y454" s="64"/>
    </row>
    <row r="455">
      <c r="A455" s="64"/>
      <c r="B455" s="111"/>
      <c r="C455" s="64"/>
      <c r="D455" s="64"/>
      <c r="E455" s="132"/>
      <c r="F455" s="132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64"/>
      <c r="X455" s="64"/>
      <c r="Y455" s="64"/>
    </row>
    <row r="456">
      <c r="A456" s="64"/>
      <c r="B456" s="111"/>
      <c r="C456" s="64"/>
      <c r="D456" s="64"/>
      <c r="E456" s="132"/>
      <c r="F456" s="132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64"/>
      <c r="X456" s="64"/>
      <c r="Y456" s="64"/>
    </row>
    <row r="457">
      <c r="A457" s="64"/>
      <c r="B457" s="111"/>
      <c r="C457" s="64"/>
      <c r="D457" s="64"/>
      <c r="E457" s="132"/>
      <c r="F457" s="132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64"/>
      <c r="X457" s="64"/>
      <c r="Y457" s="64"/>
    </row>
    <row r="458">
      <c r="A458" s="64"/>
      <c r="B458" s="111"/>
      <c r="C458" s="64"/>
      <c r="D458" s="64"/>
      <c r="E458" s="132"/>
      <c r="F458" s="132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64"/>
      <c r="X458" s="64"/>
      <c r="Y458" s="64"/>
    </row>
    <row r="459">
      <c r="A459" s="64"/>
      <c r="B459" s="111"/>
      <c r="C459" s="64"/>
      <c r="D459" s="64"/>
      <c r="E459" s="132"/>
      <c r="F459" s="132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64"/>
      <c r="X459" s="64"/>
      <c r="Y459" s="64"/>
    </row>
    <row r="460">
      <c r="A460" s="64"/>
      <c r="B460" s="111"/>
      <c r="C460" s="64"/>
      <c r="D460" s="64"/>
      <c r="E460" s="132"/>
      <c r="F460" s="132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64"/>
      <c r="X460" s="64"/>
      <c r="Y460" s="64"/>
    </row>
    <row r="461">
      <c r="A461" s="64"/>
      <c r="B461" s="111"/>
      <c r="C461" s="64"/>
      <c r="D461" s="64"/>
      <c r="E461" s="132"/>
      <c r="F461" s="132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64"/>
      <c r="X461" s="64"/>
      <c r="Y461" s="64"/>
    </row>
    <row r="462">
      <c r="A462" s="64"/>
      <c r="B462" s="111"/>
      <c r="C462" s="64"/>
      <c r="D462" s="64"/>
      <c r="E462" s="132"/>
      <c r="F462" s="132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64"/>
      <c r="X462" s="64"/>
      <c r="Y462" s="64"/>
    </row>
    <row r="463">
      <c r="A463" s="64"/>
      <c r="B463" s="111"/>
      <c r="C463" s="64"/>
      <c r="D463" s="64"/>
      <c r="E463" s="132"/>
      <c r="F463" s="132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64"/>
      <c r="X463" s="64"/>
      <c r="Y463" s="64"/>
    </row>
    <row r="464">
      <c r="A464" s="64"/>
      <c r="B464" s="111"/>
      <c r="C464" s="64"/>
      <c r="D464" s="64"/>
      <c r="E464" s="132"/>
      <c r="F464" s="132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64"/>
      <c r="X464" s="64"/>
      <c r="Y464" s="64"/>
    </row>
    <row r="465">
      <c r="A465" s="64"/>
      <c r="B465" s="111"/>
      <c r="C465" s="64"/>
      <c r="D465" s="64"/>
      <c r="E465" s="132"/>
      <c r="F465" s="132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64"/>
      <c r="X465" s="64"/>
      <c r="Y465" s="64"/>
    </row>
    <row r="466">
      <c r="A466" s="64"/>
      <c r="B466" s="111"/>
      <c r="C466" s="64"/>
      <c r="D466" s="64"/>
      <c r="E466" s="132"/>
      <c r="F466" s="132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64"/>
      <c r="X466" s="64"/>
      <c r="Y466" s="64"/>
    </row>
    <row r="467">
      <c r="A467" s="64"/>
      <c r="B467" s="111"/>
      <c r="C467" s="64"/>
      <c r="D467" s="64"/>
      <c r="E467" s="132"/>
      <c r="F467" s="132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64"/>
      <c r="X467" s="64"/>
      <c r="Y467" s="64"/>
    </row>
    <row r="468">
      <c r="A468" s="64"/>
      <c r="B468" s="111"/>
      <c r="C468" s="64"/>
      <c r="D468" s="64"/>
      <c r="E468" s="132"/>
      <c r="F468" s="132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64"/>
      <c r="X468" s="64"/>
      <c r="Y468" s="64"/>
    </row>
    <row r="469">
      <c r="A469" s="64"/>
      <c r="B469" s="111"/>
      <c r="C469" s="64"/>
      <c r="D469" s="64"/>
      <c r="E469" s="132"/>
      <c r="F469" s="132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64"/>
      <c r="X469" s="64"/>
      <c r="Y469" s="64"/>
    </row>
    <row r="470">
      <c r="A470" s="64"/>
      <c r="B470" s="111"/>
      <c r="C470" s="64"/>
      <c r="D470" s="64"/>
      <c r="E470" s="132"/>
      <c r="F470" s="132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64"/>
      <c r="X470" s="64"/>
      <c r="Y470" s="64"/>
    </row>
    <row r="471">
      <c r="A471" s="64"/>
      <c r="B471" s="111"/>
      <c r="C471" s="64"/>
      <c r="D471" s="64"/>
      <c r="E471" s="132"/>
      <c r="F471" s="132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64"/>
      <c r="X471" s="64"/>
      <c r="Y471" s="64"/>
    </row>
    <row r="472">
      <c r="A472" s="64"/>
      <c r="B472" s="111"/>
      <c r="C472" s="64"/>
      <c r="D472" s="64"/>
      <c r="E472" s="132"/>
      <c r="F472" s="132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64"/>
      <c r="X472" s="64"/>
      <c r="Y472" s="64"/>
    </row>
    <row r="473">
      <c r="A473" s="64"/>
      <c r="B473" s="111"/>
      <c r="C473" s="64"/>
      <c r="D473" s="64"/>
      <c r="E473" s="132"/>
      <c r="F473" s="132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64"/>
      <c r="X473" s="64"/>
      <c r="Y473" s="64"/>
    </row>
    <row r="474">
      <c r="A474" s="64"/>
      <c r="B474" s="111"/>
      <c r="C474" s="64"/>
      <c r="D474" s="64"/>
      <c r="E474" s="132"/>
      <c r="F474" s="132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64"/>
      <c r="X474" s="64"/>
      <c r="Y474" s="64"/>
    </row>
    <row r="475">
      <c r="A475" s="64"/>
      <c r="B475" s="111"/>
      <c r="C475" s="64"/>
      <c r="D475" s="64"/>
      <c r="E475" s="132"/>
      <c r="F475" s="132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64"/>
      <c r="X475" s="64"/>
      <c r="Y475" s="64"/>
    </row>
    <row r="476">
      <c r="A476" s="64"/>
      <c r="B476" s="111"/>
      <c r="C476" s="64"/>
      <c r="D476" s="64"/>
      <c r="E476" s="132"/>
      <c r="F476" s="132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64"/>
      <c r="X476" s="64"/>
      <c r="Y476" s="64"/>
    </row>
    <row r="477">
      <c r="A477" s="64"/>
      <c r="B477" s="111"/>
      <c r="C477" s="64"/>
      <c r="D477" s="64"/>
      <c r="E477" s="132"/>
      <c r="F477" s="132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64"/>
      <c r="X477" s="64"/>
      <c r="Y477" s="64"/>
    </row>
    <row r="478">
      <c r="A478" s="64"/>
      <c r="B478" s="111"/>
      <c r="C478" s="64"/>
      <c r="D478" s="64"/>
      <c r="E478" s="132"/>
      <c r="F478" s="132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64"/>
      <c r="X478" s="64"/>
      <c r="Y478" s="64"/>
    </row>
    <row r="479">
      <c r="A479" s="64"/>
      <c r="B479" s="111"/>
      <c r="C479" s="64"/>
      <c r="D479" s="64"/>
      <c r="E479" s="132"/>
      <c r="F479" s="132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64"/>
      <c r="X479" s="64"/>
      <c r="Y479" s="64"/>
    </row>
    <row r="480">
      <c r="A480" s="64"/>
      <c r="B480" s="111"/>
      <c r="C480" s="64"/>
      <c r="D480" s="64"/>
      <c r="E480" s="132"/>
      <c r="F480" s="132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64"/>
      <c r="X480" s="64"/>
      <c r="Y480" s="64"/>
    </row>
    <row r="481">
      <c r="A481" s="64"/>
      <c r="B481" s="111"/>
      <c r="C481" s="64"/>
      <c r="D481" s="64"/>
      <c r="E481" s="132"/>
      <c r="F481" s="132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64"/>
      <c r="X481" s="64"/>
      <c r="Y481" s="64"/>
    </row>
    <row r="482">
      <c r="A482" s="64"/>
      <c r="B482" s="111"/>
      <c r="C482" s="64"/>
      <c r="D482" s="64"/>
      <c r="E482" s="132"/>
      <c r="F482" s="132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64"/>
      <c r="X482" s="64"/>
      <c r="Y482" s="64"/>
    </row>
    <row r="483">
      <c r="A483" s="64"/>
      <c r="B483" s="111"/>
      <c r="C483" s="64"/>
      <c r="D483" s="64"/>
      <c r="E483" s="132"/>
      <c r="F483" s="132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64"/>
      <c r="X483" s="64"/>
      <c r="Y483" s="64"/>
    </row>
    <row r="484">
      <c r="A484" s="64"/>
      <c r="B484" s="111"/>
      <c r="C484" s="64"/>
      <c r="D484" s="64"/>
      <c r="E484" s="132"/>
      <c r="F484" s="132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64"/>
      <c r="X484" s="64"/>
      <c r="Y484" s="64"/>
    </row>
    <row r="485">
      <c r="A485" s="64"/>
      <c r="B485" s="111"/>
      <c r="C485" s="64"/>
      <c r="D485" s="64"/>
      <c r="E485" s="132"/>
      <c r="F485" s="132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64"/>
      <c r="X485" s="64"/>
      <c r="Y485" s="64"/>
    </row>
    <row r="486">
      <c r="A486" s="64"/>
      <c r="B486" s="111"/>
      <c r="C486" s="64"/>
      <c r="D486" s="64"/>
      <c r="E486" s="132"/>
      <c r="F486" s="132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64"/>
      <c r="X486" s="64"/>
      <c r="Y486" s="64"/>
    </row>
    <row r="487">
      <c r="A487" s="64"/>
      <c r="B487" s="111"/>
      <c r="C487" s="64"/>
      <c r="D487" s="64"/>
      <c r="E487" s="132"/>
      <c r="F487" s="132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64"/>
      <c r="X487" s="64"/>
      <c r="Y487" s="64"/>
    </row>
    <row r="488">
      <c r="A488" s="64"/>
      <c r="B488" s="111"/>
      <c r="C488" s="64"/>
      <c r="D488" s="64"/>
      <c r="E488" s="132"/>
      <c r="F488" s="132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64"/>
      <c r="X488" s="64"/>
      <c r="Y488" s="64"/>
    </row>
    <row r="489">
      <c r="A489" s="64"/>
      <c r="B489" s="111"/>
      <c r="C489" s="64"/>
      <c r="D489" s="64"/>
      <c r="E489" s="132"/>
      <c r="F489" s="132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64"/>
      <c r="X489" s="64"/>
      <c r="Y489" s="64"/>
    </row>
    <row r="490">
      <c r="A490" s="64"/>
      <c r="B490" s="111"/>
      <c r="C490" s="64"/>
      <c r="D490" s="64"/>
      <c r="E490" s="132"/>
      <c r="F490" s="132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64"/>
      <c r="X490" s="64"/>
      <c r="Y490" s="64"/>
    </row>
    <row r="491">
      <c r="A491" s="64"/>
      <c r="B491" s="111"/>
      <c r="C491" s="64"/>
      <c r="D491" s="64"/>
      <c r="E491" s="132"/>
      <c r="F491" s="132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64"/>
      <c r="X491" s="64"/>
      <c r="Y491" s="64"/>
    </row>
    <row r="492">
      <c r="A492" s="64"/>
      <c r="B492" s="111"/>
      <c r="C492" s="64"/>
      <c r="D492" s="64"/>
      <c r="E492" s="132"/>
      <c r="F492" s="132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64"/>
      <c r="X492" s="64"/>
      <c r="Y492" s="64"/>
    </row>
    <row r="493">
      <c r="A493" s="64"/>
      <c r="B493" s="111"/>
      <c r="C493" s="64"/>
      <c r="D493" s="64"/>
      <c r="E493" s="132"/>
      <c r="F493" s="132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64"/>
      <c r="X493" s="64"/>
      <c r="Y493" s="64"/>
    </row>
    <row r="494">
      <c r="A494" s="64"/>
      <c r="B494" s="111"/>
      <c r="C494" s="64"/>
      <c r="D494" s="64"/>
      <c r="E494" s="132"/>
      <c r="F494" s="132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64"/>
      <c r="X494" s="64"/>
      <c r="Y494" s="64"/>
    </row>
    <row r="495">
      <c r="A495" s="64"/>
      <c r="B495" s="111"/>
      <c r="C495" s="64"/>
      <c r="D495" s="64"/>
      <c r="E495" s="132"/>
      <c r="F495" s="132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64"/>
      <c r="X495" s="64"/>
      <c r="Y495" s="64"/>
    </row>
    <row r="496">
      <c r="A496" s="64"/>
      <c r="B496" s="111"/>
      <c r="C496" s="64"/>
      <c r="D496" s="64"/>
      <c r="E496" s="132"/>
      <c r="F496" s="132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64"/>
      <c r="X496" s="64"/>
      <c r="Y496" s="64"/>
    </row>
    <row r="497">
      <c r="A497" s="64"/>
      <c r="B497" s="111"/>
      <c r="C497" s="64"/>
      <c r="D497" s="64"/>
      <c r="E497" s="132"/>
      <c r="F497" s="132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64"/>
      <c r="X497" s="64"/>
      <c r="Y497" s="64"/>
    </row>
    <row r="498">
      <c r="A498" s="64"/>
      <c r="B498" s="111"/>
      <c r="C498" s="64"/>
      <c r="D498" s="64"/>
      <c r="E498" s="132"/>
      <c r="F498" s="132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64"/>
      <c r="X498" s="64"/>
      <c r="Y498" s="64"/>
    </row>
    <row r="499">
      <c r="A499" s="64"/>
      <c r="B499" s="111"/>
      <c r="C499" s="64"/>
      <c r="D499" s="64"/>
      <c r="E499" s="132"/>
      <c r="F499" s="132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64"/>
      <c r="X499" s="64"/>
      <c r="Y499" s="64"/>
    </row>
    <row r="500">
      <c r="A500" s="64"/>
      <c r="B500" s="111"/>
      <c r="C500" s="64"/>
      <c r="D500" s="64"/>
      <c r="E500" s="132"/>
      <c r="F500" s="132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64"/>
      <c r="X500" s="64"/>
      <c r="Y500" s="64"/>
    </row>
    <row r="501">
      <c r="A501" s="64"/>
      <c r="B501" s="111"/>
      <c r="C501" s="64"/>
      <c r="D501" s="64"/>
      <c r="E501" s="132"/>
      <c r="F501" s="132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64"/>
      <c r="X501" s="64"/>
      <c r="Y501" s="64"/>
    </row>
    <row r="502">
      <c r="A502" s="64"/>
      <c r="B502" s="111"/>
      <c r="C502" s="64"/>
      <c r="D502" s="64"/>
      <c r="E502" s="132"/>
      <c r="F502" s="132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64"/>
      <c r="X502" s="64"/>
      <c r="Y502" s="64"/>
    </row>
    <row r="503">
      <c r="A503" s="64"/>
      <c r="B503" s="111"/>
      <c r="C503" s="64"/>
      <c r="D503" s="64"/>
      <c r="E503" s="132"/>
      <c r="F503" s="132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64"/>
      <c r="X503" s="64"/>
      <c r="Y503" s="64"/>
    </row>
    <row r="504">
      <c r="A504" s="64"/>
      <c r="B504" s="111"/>
      <c r="C504" s="64"/>
      <c r="D504" s="64"/>
      <c r="E504" s="132"/>
      <c r="F504" s="132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64"/>
      <c r="X504" s="64"/>
      <c r="Y504" s="64"/>
    </row>
    <row r="505">
      <c r="A505" s="64"/>
      <c r="B505" s="111"/>
      <c r="C505" s="64"/>
      <c r="D505" s="64"/>
      <c r="E505" s="132"/>
      <c r="F505" s="132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64"/>
      <c r="X505" s="64"/>
      <c r="Y505" s="64"/>
    </row>
    <row r="506">
      <c r="A506" s="64"/>
      <c r="B506" s="111"/>
      <c r="C506" s="64"/>
      <c r="D506" s="64"/>
      <c r="E506" s="132"/>
      <c r="F506" s="132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64"/>
      <c r="X506" s="64"/>
      <c r="Y506" s="64"/>
    </row>
    <row r="507">
      <c r="A507" s="64"/>
      <c r="B507" s="111"/>
      <c r="C507" s="64"/>
      <c r="D507" s="64"/>
      <c r="E507" s="132"/>
      <c r="F507" s="132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64"/>
      <c r="X507" s="64"/>
      <c r="Y507" s="64"/>
    </row>
    <row r="508">
      <c r="A508" s="64"/>
      <c r="B508" s="111"/>
      <c r="C508" s="64"/>
      <c r="D508" s="64"/>
      <c r="E508" s="132"/>
      <c r="F508" s="132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64"/>
      <c r="X508" s="64"/>
      <c r="Y508" s="64"/>
    </row>
    <row r="509">
      <c r="A509" s="64"/>
      <c r="B509" s="111"/>
      <c r="C509" s="64"/>
      <c r="D509" s="64"/>
      <c r="E509" s="132"/>
      <c r="F509" s="132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64"/>
      <c r="X509" s="64"/>
      <c r="Y509" s="64"/>
    </row>
    <row r="510">
      <c r="A510" s="64"/>
      <c r="B510" s="111"/>
      <c r="C510" s="64"/>
      <c r="D510" s="64"/>
      <c r="E510" s="132"/>
      <c r="F510" s="132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64"/>
      <c r="X510" s="64"/>
      <c r="Y510" s="64"/>
    </row>
    <row r="511">
      <c r="A511" s="64"/>
      <c r="B511" s="111"/>
      <c r="C511" s="64"/>
      <c r="D511" s="64"/>
      <c r="E511" s="132"/>
      <c r="F511" s="132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64"/>
      <c r="X511" s="64"/>
      <c r="Y511" s="64"/>
    </row>
    <row r="512">
      <c r="A512" s="64"/>
      <c r="B512" s="111"/>
      <c r="C512" s="64"/>
      <c r="D512" s="64"/>
      <c r="E512" s="132"/>
      <c r="F512" s="132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64"/>
      <c r="X512" s="64"/>
      <c r="Y512" s="64"/>
    </row>
    <row r="513">
      <c r="A513" s="64"/>
      <c r="B513" s="111"/>
      <c r="C513" s="64"/>
      <c r="D513" s="64"/>
      <c r="E513" s="132"/>
      <c r="F513" s="132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64"/>
      <c r="X513" s="64"/>
      <c r="Y513" s="64"/>
    </row>
    <row r="514">
      <c r="A514" s="64"/>
      <c r="B514" s="111"/>
      <c r="C514" s="64"/>
      <c r="D514" s="64"/>
      <c r="E514" s="132"/>
      <c r="F514" s="132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64"/>
      <c r="X514" s="64"/>
      <c r="Y514" s="64"/>
    </row>
    <row r="515">
      <c r="A515" s="64"/>
      <c r="B515" s="111"/>
      <c r="C515" s="64"/>
      <c r="D515" s="64"/>
      <c r="E515" s="132"/>
      <c r="F515" s="132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64"/>
      <c r="X515" s="64"/>
      <c r="Y515" s="64"/>
    </row>
    <row r="516">
      <c r="A516" s="64"/>
      <c r="B516" s="111"/>
      <c r="C516" s="64"/>
      <c r="D516" s="64"/>
      <c r="E516" s="132"/>
      <c r="F516" s="132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64"/>
      <c r="X516" s="64"/>
      <c r="Y516" s="64"/>
    </row>
    <row r="517">
      <c r="A517" s="64"/>
      <c r="B517" s="111"/>
      <c r="C517" s="64"/>
      <c r="D517" s="64"/>
      <c r="E517" s="132"/>
      <c r="F517" s="132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64"/>
      <c r="X517" s="64"/>
      <c r="Y517" s="64"/>
    </row>
    <row r="518">
      <c r="A518" s="64"/>
      <c r="B518" s="111"/>
      <c r="C518" s="64"/>
      <c r="D518" s="64"/>
      <c r="E518" s="132"/>
      <c r="F518" s="132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64"/>
      <c r="X518" s="64"/>
      <c r="Y518" s="64"/>
    </row>
    <row r="519">
      <c r="A519" s="64"/>
      <c r="B519" s="111"/>
      <c r="C519" s="64"/>
      <c r="D519" s="64"/>
      <c r="E519" s="132"/>
      <c r="F519" s="132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64"/>
      <c r="X519" s="64"/>
      <c r="Y519" s="64"/>
    </row>
    <row r="520">
      <c r="A520" s="64"/>
      <c r="B520" s="111"/>
      <c r="C520" s="64"/>
      <c r="D520" s="64"/>
      <c r="E520" s="132"/>
      <c r="F520" s="132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64"/>
      <c r="X520" s="64"/>
      <c r="Y520" s="64"/>
    </row>
    <row r="521">
      <c r="A521" s="64"/>
      <c r="B521" s="111"/>
      <c r="C521" s="64"/>
      <c r="D521" s="64"/>
      <c r="E521" s="132"/>
      <c r="F521" s="132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64"/>
      <c r="X521" s="64"/>
      <c r="Y521" s="64"/>
    </row>
    <row r="522">
      <c r="A522" s="64"/>
      <c r="B522" s="111"/>
      <c r="C522" s="64"/>
      <c r="D522" s="64"/>
      <c r="E522" s="132"/>
      <c r="F522" s="132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64"/>
      <c r="X522" s="64"/>
      <c r="Y522" s="64"/>
    </row>
    <row r="523">
      <c r="A523" s="64"/>
      <c r="B523" s="111"/>
      <c r="C523" s="64"/>
      <c r="D523" s="64"/>
      <c r="E523" s="132"/>
      <c r="F523" s="132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64"/>
      <c r="X523" s="64"/>
      <c r="Y523" s="64"/>
    </row>
    <row r="524">
      <c r="A524" s="64"/>
      <c r="B524" s="111"/>
      <c r="C524" s="64"/>
      <c r="D524" s="64"/>
      <c r="E524" s="132"/>
      <c r="F524" s="132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64"/>
      <c r="X524" s="64"/>
      <c r="Y524" s="64"/>
    </row>
    <row r="525">
      <c r="A525" s="64"/>
      <c r="B525" s="111"/>
      <c r="C525" s="64"/>
      <c r="D525" s="64"/>
      <c r="E525" s="132"/>
      <c r="F525" s="132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64"/>
      <c r="X525" s="64"/>
      <c r="Y525" s="64"/>
    </row>
    <row r="526">
      <c r="A526" s="64"/>
      <c r="B526" s="111"/>
      <c r="C526" s="64"/>
      <c r="D526" s="64"/>
      <c r="E526" s="132"/>
      <c r="F526" s="132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64"/>
      <c r="X526" s="64"/>
      <c r="Y526" s="64"/>
    </row>
    <row r="527">
      <c r="A527" s="64"/>
      <c r="B527" s="111"/>
      <c r="C527" s="64"/>
      <c r="D527" s="64"/>
      <c r="E527" s="132"/>
      <c r="F527" s="132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64"/>
      <c r="X527" s="64"/>
      <c r="Y527" s="64"/>
    </row>
    <row r="528">
      <c r="A528" s="64"/>
      <c r="B528" s="111"/>
      <c r="C528" s="64"/>
      <c r="D528" s="64"/>
      <c r="E528" s="132"/>
      <c r="F528" s="132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64"/>
      <c r="X528" s="64"/>
      <c r="Y528" s="64"/>
    </row>
    <row r="529">
      <c r="A529" s="64"/>
      <c r="B529" s="111"/>
      <c r="C529" s="64"/>
      <c r="D529" s="64"/>
      <c r="E529" s="132"/>
      <c r="F529" s="132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64"/>
      <c r="X529" s="64"/>
      <c r="Y529" s="64"/>
    </row>
    <row r="530">
      <c r="A530" s="64"/>
      <c r="B530" s="111"/>
      <c r="C530" s="64"/>
      <c r="D530" s="64"/>
      <c r="E530" s="132"/>
      <c r="F530" s="132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64"/>
      <c r="X530" s="64"/>
      <c r="Y530" s="64"/>
    </row>
    <row r="531">
      <c r="A531" s="64"/>
      <c r="B531" s="111"/>
      <c r="C531" s="64"/>
      <c r="D531" s="64"/>
      <c r="E531" s="132"/>
      <c r="F531" s="132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64"/>
      <c r="X531" s="64"/>
      <c r="Y531" s="64"/>
    </row>
    <row r="532">
      <c r="A532" s="64"/>
      <c r="B532" s="111"/>
      <c r="C532" s="64"/>
      <c r="D532" s="64"/>
      <c r="E532" s="132"/>
      <c r="F532" s="132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64"/>
      <c r="X532" s="64"/>
      <c r="Y532" s="64"/>
    </row>
    <row r="533">
      <c r="A533" s="64"/>
      <c r="B533" s="111"/>
      <c r="C533" s="64"/>
      <c r="D533" s="64"/>
      <c r="E533" s="132"/>
      <c r="F533" s="132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64"/>
      <c r="X533" s="64"/>
      <c r="Y533" s="64"/>
    </row>
    <row r="534">
      <c r="A534" s="64"/>
      <c r="B534" s="111"/>
      <c r="C534" s="64"/>
      <c r="D534" s="64"/>
      <c r="E534" s="132"/>
      <c r="F534" s="132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64"/>
      <c r="X534" s="64"/>
      <c r="Y534" s="64"/>
    </row>
    <row r="535">
      <c r="A535" s="64"/>
      <c r="B535" s="111"/>
      <c r="C535" s="64"/>
      <c r="D535" s="64"/>
      <c r="E535" s="132"/>
      <c r="F535" s="132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64"/>
      <c r="X535" s="64"/>
      <c r="Y535" s="64"/>
    </row>
    <row r="536">
      <c r="A536" s="64"/>
      <c r="B536" s="111"/>
      <c r="C536" s="64"/>
      <c r="D536" s="64"/>
      <c r="E536" s="132"/>
      <c r="F536" s="132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64"/>
      <c r="X536" s="64"/>
      <c r="Y536" s="64"/>
    </row>
    <row r="537">
      <c r="A537" s="64"/>
      <c r="B537" s="111"/>
      <c r="C537" s="64"/>
      <c r="D537" s="64"/>
      <c r="E537" s="132"/>
      <c r="F537" s="132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64"/>
      <c r="X537" s="64"/>
      <c r="Y537" s="64"/>
    </row>
    <row r="538">
      <c r="A538" s="64"/>
      <c r="B538" s="111"/>
      <c r="C538" s="64"/>
      <c r="D538" s="64"/>
      <c r="E538" s="132"/>
      <c r="F538" s="132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64"/>
      <c r="X538" s="64"/>
      <c r="Y538" s="64"/>
    </row>
    <row r="539">
      <c r="A539" s="64"/>
      <c r="B539" s="111"/>
      <c r="C539" s="64"/>
      <c r="D539" s="64"/>
      <c r="E539" s="132"/>
      <c r="F539" s="132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64"/>
      <c r="X539" s="64"/>
      <c r="Y539" s="64"/>
    </row>
    <row r="540">
      <c r="A540" s="64"/>
      <c r="B540" s="111"/>
      <c r="C540" s="64"/>
      <c r="D540" s="64"/>
      <c r="E540" s="132"/>
      <c r="F540" s="132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64"/>
      <c r="X540" s="64"/>
      <c r="Y540" s="64"/>
    </row>
    <row r="541">
      <c r="A541" s="64"/>
      <c r="B541" s="111"/>
      <c r="C541" s="64"/>
      <c r="D541" s="64"/>
      <c r="E541" s="132"/>
      <c r="F541" s="132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64"/>
      <c r="X541" s="64"/>
      <c r="Y541" s="64"/>
    </row>
    <row r="542">
      <c r="A542" s="64"/>
      <c r="B542" s="111"/>
      <c r="C542" s="64"/>
      <c r="D542" s="64"/>
      <c r="E542" s="132"/>
      <c r="F542" s="132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64"/>
      <c r="X542" s="64"/>
      <c r="Y542" s="64"/>
    </row>
    <row r="543">
      <c r="A543" s="64"/>
      <c r="B543" s="111"/>
      <c r="C543" s="64"/>
      <c r="D543" s="64"/>
      <c r="E543" s="132"/>
      <c r="F543" s="132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64"/>
      <c r="X543" s="64"/>
      <c r="Y543" s="64"/>
    </row>
    <row r="544">
      <c r="A544" s="64"/>
      <c r="B544" s="111"/>
      <c r="C544" s="64"/>
      <c r="D544" s="64"/>
      <c r="E544" s="132"/>
      <c r="F544" s="132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64"/>
      <c r="X544" s="64"/>
      <c r="Y544" s="64"/>
    </row>
    <row r="545">
      <c r="A545" s="64"/>
      <c r="B545" s="111"/>
      <c r="C545" s="64"/>
      <c r="D545" s="64"/>
      <c r="E545" s="132"/>
      <c r="F545" s="132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64"/>
      <c r="X545" s="64"/>
      <c r="Y545" s="64"/>
    </row>
    <row r="546">
      <c r="A546" s="64"/>
      <c r="B546" s="111"/>
      <c r="C546" s="64"/>
      <c r="D546" s="64"/>
      <c r="E546" s="132"/>
      <c r="F546" s="132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64"/>
      <c r="X546" s="64"/>
      <c r="Y546" s="64"/>
    </row>
    <row r="547">
      <c r="A547" s="64"/>
      <c r="B547" s="111"/>
      <c r="C547" s="64"/>
      <c r="D547" s="64"/>
      <c r="E547" s="132"/>
      <c r="F547" s="132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64"/>
      <c r="X547" s="64"/>
      <c r="Y547" s="64"/>
    </row>
    <row r="548">
      <c r="A548" s="64"/>
      <c r="B548" s="111"/>
      <c r="C548" s="64"/>
      <c r="D548" s="64"/>
      <c r="E548" s="132"/>
      <c r="F548" s="132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64"/>
      <c r="X548" s="64"/>
      <c r="Y548" s="64"/>
    </row>
    <row r="549">
      <c r="A549" s="64"/>
      <c r="B549" s="111"/>
      <c r="C549" s="64"/>
      <c r="D549" s="64"/>
      <c r="E549" s="132"/>
      <c r="F549" s="132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64"/>
      <c r="X549" s="64"/>
      <c r="Y549" s="64"/>
    </row>
    <row r="550">
      <c r="A550" s="64"/>
      <c r="B550" s="111"/>
      <c r="C550" s="64"/>
      <c r="D550" s="64"/>
      <c r="E550" s="132"/>
      <c r="F550" s="132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64"/>
      <c r="X550" s="64"/>
      <c r="Y550" s="64"/>
    </row>
    <row r="551">
      <c r="A551" s="64"/>
      <c r="B551" s="111"/>
      <c r="C551" s="64"/>
      <c r="D551" s="64"/>
      <c r="E551" s="132"/>
      <c r="F551" s="132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64"/>
      <c r="X551" s="64"/>
      <c r="Y551" s="64"/>
    </row>
    <row r="552">
      <c r="A552" s="64"/>
      <c r="B552" s="111"/>
      <c r="C552" s="64"/>
      <c r="D552" s="64"/>
      <c r="E552" s="132"/>
      <c r="F552" s="132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64"/>
      <c r="X552" s="64"/>
      <c r="Y552" s="64"/>
    </row>
    <row r="553">
      <c r="A553" s="64"/>
      <c r="B553" s="111"/>
      <c r="C553" s="64"/>
      <c r="D553" s="64"/>
      <c r="E553" s="132"/>
      <c r="F553" s="132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64"/>
      <c r="X553" s="64"/>
      <c r="Y553" s="64"/>
    </row>
    <row r="554">
      <c r="A554" s="64"/>
      <c r="B554" s="111"/>
      <c r="C554" s="64"/>
      <c r="D554" s="64"/>
      <c r="E554" s="132"/>
      <c r="F554" s="132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64"/>
      <c r="X554" s="64"/>
      <c r="Y554" s="64"/>
    </row>
    <row r="555">
      <c r="A555" s="64"/>
      <c r="B555" s="111"/>
      <c r="C555" s="64"/>
      <c r="D555" s="64"/>
      <c r="E555" s="132"/>
      <c r="F555" s="132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64"/>
      <c r="X555" s="64"/>
      <c r="Y555" s="64"/>
    </row>
    <row r="556">
      <c r="A556" s="64"/>
      <c r="B556" s="111"/>
      <c r="C556" s="64"/>
      <c r="D556" s="64"/>
      <c r="E556" s="132"/>
      <c r="F556" s="132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64"/>
      <c r="X556" s="64"/>
      <c r="Y556" s="64"/>
    </row>
    <row r="557">
      <c r="A557" s="64"/>
      <c r="B557" s="111"/>
      <c r="C557" s="64"/>
      <c r="D557" s="64"/>
      <c r="E557" s="132"/>
      <c r="F557" s="132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64"/>
      <c r="X557" s="64"/>
      <c r="Y557" s="64"/>
    </row>
    <row r="558">
      <c r="A558" s="64"/>
      <c r="B558" s="111"/>
      <c r="C558" s="64"/>
      <c r="D558" s="64"/>
      <c r="E558" s="132"/>
      <c r="F558" s="132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64"/>
      <c r="X558" s="64"/>
      <c r="Y558" s="64"/>
    </row>
    <row r="559">
      <c r="A559" s="64"/>
      <c r="B559" s="111"/>
      <c r="C559" s="64"/>
      <c r="D559" s="64"/>
      <c r="E559" s="132"/>
      <c r="F559" s="132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64"/>
      <c r="X559" s="64"/>
      <c r="Y559" s="64"/>
    </row>
    <row r="560">
      <c r="A560" s="64"/>
      <c r="B560" s="111"/>
      <c r="C560" s="64"/>
      <c r="D560" s="64"/>
      <c r="E560" s="132"/>
      <c r="F560" s="132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64"/>
      <c r="X560" s="64"/>
      <c r="Y560" s="64"/>
    </row>
    <row r="561">
      <c r="A561" s="64"/>
      <c r="B561" s="111"/>
      <c r="C561" s="64"/>
      <c r="D561" s="64"/>
      <c r="E561" s="132"/>
      <c r="F561" s="132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64"/>
      <c r="X561" s="64"/>
      <c r="Y561" s="64"/>
    </row>
    <row r="562">
      <c r="A562" s="64"/>
      <c r="B562" s="111"/>
      <c r="C562" s="64"/>
      <c r="D562" s="64"/>
      <c r="E562" s="132"/>
      <c r="F562" s="132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64"/>
      <c r="X562" s="64"/>
      <c r="Y562" s="64"/>
    </row>
    <row r="563">
      <c r="A563" s="64"/>
      <c r="B563" s="111"/>
      <c r="C563" s="64"/>
      <c r="D563" s="64"/>
      <c r="E563" s="132"/>
      <c r="F563" s="132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64"/>
      <c r="X563" s="64"/>
      <c r="Y563" s="64"/>
    </row>
    <row r="564">
      <c r="A564" s="64"/>
      <c r="B564" s="111"/>
      <c r="C564" s="64"/>
      <c r="D564" s="64"/>
      <c r="E564" s="132"/>
      <c r="F564" s="132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64"/>
      <c r="X564" s="64"/>
      <c r="Y564" s="64"/>
    </row>
    <row r="565">
      <c r="A565" s="64"/>
      <c r="B565" s="111"/>
      <c r="C565" s="64"/>
      <c r="D565" s="64"/>
      <c r="E565" s="132"/>
      <c r="F565" s="132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64"/>
      <c r="X565" s="64"/>
      <c r="Y565" s="64"/>
    </row>
    <row r="566">
      <c r="A566" s="64"/>
      <c r="B566" s="111"/>
      <c r="C566" s="64"/>
      <c r="D566" s="64"/>
      <c r="E566" s="132"/>
      <c r="F566" s="132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64"/>
      <c r="X566" s="64"/>
      <c r="Y566" s="64"/>
    </row>
    <row r="567">
      <c r="A567" s="64"/>
      <c r="B567" s="111"/>
      <c r="C567" s="64"/>
      <c r="D567" s="64"/>
      <c r="E567" s="132"/>
      <c r="F567" s="132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64"/>
      <c r="X567" s="64"/>
      <c r="Y567" s="64"/>
    </row>
    <row r="568">
      <c r="A568" s="64"/>
      <c r="B568" s="111"/>
      <c r="C568" s="64"/>
      <c r="D568" s="64"/>
      <c r="E568" s="132"/>
      <c r="F568" s="132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64"/>
      <c r="X568" s="64"/>
      <c r="Y568" s="64"/>
    </row>
    <row r="569">
      <c r="A569" s="64"/>
      <c r="B569" s="111"/>
      <c r="C569" s="64"/>
      <c r="D569" s="64"/>
      <c r="E569" s="132"/>
      <c r="F569" s="132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64"/>
      <c r="X569" s="64"/>
      <c r="Y569" s="64"/>
    </row>
    <row r="570">
      <c r="A570" s="64"/>
      <c r="B570" s="111"/>
      <c r="C570" s="64"/>
      <c r="D570" s="64"/>
      <c r="E570" s="132"/>
      <c r="F570" s="132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64"/>
      <c r="X570" s="64"/>
      <c r="Y570" s="64"/>
    </row>
    <row r="571">
      <c r="A571" s="64"/>
      <c r="B571" s="111"/>
      <c r="C571" s="64"/>
      <c r="D571" s="64"/>
      <c r="E571" s="132"/>
      <c r="F571" s="132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64"/>
      <c r="X571" s="64"/>
      <c r="Y571" s="64"/>
    </row>
    <row r="572">
      <c r="A572" s="64"/>
      <c r="B572" s="111"/>
      <c r="C572" s="64"/>
      <c r="D572" s="64"/>
      <c r="E572" s="132"/>
      <c r="F572" s="132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64"/>
      <c r="X572" s="64"/>
      <c r="Y572" s="64"/>
    </row>
    <row r="573">
      <c r="A573" s="64"/>
      <c r="B573" s="111"/>
      <c r="C573" s="64"/>
      <c r="D573" s="64"/>
      <c r="E573" s="132"/>
      <c r="F573" s="132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64"/>
      <c r="X573" s="64"/>
      <c r="Y573" s="64"/>
    </row>
    <row r="574">
      <c r="A574" s="64"/>
      <c r="B574" s="111"/>
      <c r="C574" s="64"/>
      <c r="D574" s="64"/>
      <c r="E574" s="132"/>
      <c r="F574" s="132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64"/>
      <c r="X574" s="64"/>
      <c r="Y574" s="64"/>
    </row>
    <row r="575">
      <c r="A575" s="64"/>
      <c r="B575" s="111"/>
      <c r="C575" s="64"/>
      <c r="D575" s="64"/>
      <c r="E575" s="132"/>
      <c r="F575" s="132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64"/>
      <c r="X575" s="64"/>
      <c r="Y575" s="64"/>
    </row>
    <row r="576">
      <c r="A576" s="64"/>
      <c r="B576" s="111"/>
      <c r="C576" s="64"/>
      <c r="D576" s="64"/>
      <c r="E576" s="132"/>
      <c r="F576" s="132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64"/>
      <c r="X576" s="64"/>
      <c r="Y576" s="64"/>
    </row>
    <row r="577">
      <c r="A577" s="64"/>
      <c r="B577" s="111"/>
      <c r="C577" s="64"/>
      <c r="D577" s="64"/>
      <c r="E577" s="132"/>
      <c r="F577" s="132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64"/>
      <c r="X577" s="64"/>
      <c r="Y577" s="64"/>
    </row>
    <row r="578">
      <c r="A578" s="64"/>
      <c r="B578" s="111"/>
      <c r="C578" s="64"/>
      <c r="D578" s="64"/>
      <c r="E578" s="132"/>
      <c r="F578" s="132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64"/>
      <c r="X578" s="64"/>
      <c r="Y578" s="64"/>
    </row>
    <row r="579">
      <c r="A579" s="64"/>
      <c r="B579" s="111"/>
      <c r="C579" s="64"/>
      <c r="D579" s="64"/>
      <c r="E579" s="132"/>
      <c r="F579" s="132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64"/>
      <c r="X579" s="64"/>
      <c r="Y579" s="64"/>
    </row>
    <row r="580">
      <c r="A580" s="64"/>
      <c r="B580" s="111"/>
      <c r="C580" s="64"/>
      <c r="D580" s="64"/>
      <c r="E580" s="132"/>
      <c r="F580" s="132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64"/>
      <c r="X580" s="64"/>
      <c r="Y580" s="64"/>
    </row>
    <row r="581">
      <c r="A581" s="64"/>
      <c r="B581" s="111"/>
      <c r="C581" s="64"/>
      <c r="D581" s="64"/>
      <c r="E581" s="132"/>
      <c r="F581" s="132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64"/>
      <c r="X581" s="64"/>
      <c r="Y581" s="64"/>
    </row>
    <row r="582">
      <c r="A582" s="64"/>
      <c r="B582" s="111"/>
      <c r="C582" s="64"/>
      <c r="D582" s="64"/>
      <c r="E582" s="132"/>
      <c r="F582" s="132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64"/>
      <c r="X582" s="64"/>
      <c r="Y582" s="64"/>
    </row>
    <row r="583">
      <c r="A583" s="64"/>
      <c r="B583" s="111"/>
      <c r="C583" s="64"/>
      <c r="D583" s="64"/>
      <c r="E583" s="132"/>
      <c r="F583" s="132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64"/>
      <c r="X583" s="64"/>
      <c r="Y583" s="64"/>
    </row>
    <row r="584">
      <c r="A584" s="64"/>
      <c r="B584" s="111"/>
      <c r="C584" s="64"/>
      <c r="D584" s="64"/>
      <c r="E584" s="132"/>
      <c r="F584" s="132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64"/>
      <c r="X584" s="64"/>
      <c r="Y584" s="64"/>
    </row>
    <row r="585">
      <c r="A585" s="64"/>
      <c r="B585" s="111"/>
      <c r="C585" s="64"/>
      <c r="D585" s="64"/>
      <c r="E585" s="132"/>
      <c r="F585" s="132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64"/>
      <c r="X585" s="64"/>
      <c r="Y585" s="64"/>
    </row>
    <row r="586">
      <c r="A586" s="64"/>
      <c r="B586" s="111"/>
      <c r="C586" s="64"/>
      <c r="D586" s="64"/>
      <c r="E586" s="132"/>
      <c r="F586" s="132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64"/>
      <c r="X586" s="64"/>
      <c r="Y586" s="64"/>
    </row>
    <row r="587">
      <c r="A587" s="64"/>
      <c r="B587" s="111"/>
      <c r="C587" s="64"/>
      <c r="D587" s="64"/>
      <c r="E587" s="132"/>
      <c r="F587" s="132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64"/>
      <c r="X587" s="64"/>
      <c r="Y587" s="64"/>
    </row>
    <row r="588">
      <c r="A588" s="64"/>
      <c r="B588" s="111"/>
      <c r="C588" s="64"/>
      <c r="D588" s="64"/>
      <c r="E588" s="132"/>
      <c r="F588" s="132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64"/>
      <c r="X588" s="64"/>
      <c r="Y588" s="64"/>
    </row>
    <row r="589">
      <c r="A589" s="64"/>
      <c r="B589" s="111"/>
      <c r="C589" s="64"/>
      <c r="D589" s="64"/>
      <c r="E589" s="132"/>
      <c r="F589" s="132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64"/>
      <c r="X589" s="64"/>
      <c r="Y589" s="64"/>
    </row>
    <row r="590">
      <c r="A590" s="64"/>
      <c r="B590" s="111"/>
      <c r="C590" s="64"/>
      <c r="D590" s="64"/>
      <c r="E590" s="132"/>
      <c r="F590" s="132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64"/>
      <c r="X590" s="64"/>
      <c r="Y590" s="64"/>
    </row>
    <row r="591">
      <c r="A591" s="64"/>
      <c r="B591" s="111"/>
      <c r="C591" s="64"/>
      <c r="D591" s="64"/>
      <c r="E591" s="132"/>
      <c r="F591" s="132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64"/>
      <c r="X591" s="64"/>
      <c r="Y591" s="64"/>
    </row>
    <row r="592">
      <c r="A592" s="64"/>
      <c r="B592" s="111"/>
      <c r="C592" s="64"/>
      <c r="D592" s="64"/>
      <c r="E592" s="132"/>
      <c r="F592" s="132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64"/>
      <c r="X592" s="64"/>
      <c r="Y592" s="64"/>
    </row>
    <row r="593">
      <c r="A593" s="64"/>
      <c r="B593" s="111"/>
      <c r="C593" s="64"/>
      <c r="D593" s="64"/>
      <c r="E593" s="132"/>
      <c r="F593" s="132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64"/>
      <c r="X593" s="64"/>
      <c r="Y593" s="64"/>
    </row>
    <row r="594">
      <c r="A594" s="64"/>
      <c r="B594" s="111"/>
      <c r="C594" s="64"/>
      <c r="D594" s="64"/>
      <c r="E594" s="132"/>
      <c r="F594" s="132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64"/>
      <c r="X594" s="64"/>
      <c r="Y594" s="64"/>
    </row>
    <row r="595">
      <c r="A595" s="64"/>
      <c r="B595" s="111"/>
      <c r="C595" s="64"/>
      <c r="D595" s="64"/>
      <c r="E595" s="132"/>
      <c r="F595" s="132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64"/>
      <c r="X595" s="64"/>
      <c r="Y595" s="64"/>
    </row>
    <row r="596">
      <c r="A596" s="64"/>
      <c r="B596" s="111"/>
      <c r="C596" s="64"/>
      <c r="D596" s="64"/>
      <c r="E596" s="132"/>
      <c r="F596" s="132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64"/>
      <c r="X596" s="64"/>
      <c r="Y596" s="64"/>
    </row>
    <row r="597">
      <c r="A597" s="64"/>
      <c r="B597" s="111"/>
      <c r="C597" s="64"/>
      <c r="D597" s="64"/>
      <c r="E597" s="132"/>
      <c r="F597" s="132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64"/>
      <c r="X597" s="64"/>
      <c r="Y597" s="64"/>
    </row>
    <row r="598">
      <c r="A598" s="64"/>
      <c r="B598" s="111"/>
      <c r="C598" s="64"/>
      <c r="D598" s="64"/>
      <c r="E598" s="132"/>
      <c r="F598" s="132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64"/>
      <c r="X598" s="64"/>
      <c r="Y598" s="64"/>
    </row>
    <row r="599">
      <c r="A599" s="64"/>
      <c r="B599" s="111"/>
      <c r="C599" s="64"/>
      <c r="D599" s="64"/>
      <c r="E599" s="132"/>
      <c r="F599" s="132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64"/>
      <c r="X599" s="64"/>
      <c r="Y599" s="64"/>
    </row>
    <row r="600">
      <c r="A600" s="64"/>
      <c r="B600" s="111"/>
      <c r="C600" s="64"/>
      <c r="D600" s="64"/>
      <c r="E600" s="132"/>
      <c r="F600" s="132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64"/>
      <c r="X600" s="64"/>
      <c r="Y600" s="64"/>
    </row>
    <row r="601">
      <c r="A601" s="64"/>
      <c r="B601" s="111"/>
      <c r="C601" s="64"/>
      <c r="D601" s="64"/>
      <c r="E601" s="132"/>
      <c r="F601" s="132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64"/>
      <c r="X601" s="64"/>
      <c r="Y601" s="64"/>
    </row>
    <row r="602">
      <c r="A602" s="64"/>
      <c r="B602" s="111"/>
      <c r="C602" s="64"/>
      <c r="D602" s="64"/>
      <c r="E602" s="132"/>
      <c r="F602" s="132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64"/>
      <c r="X602" s="64"/>
      <c r="Y602" s="64"/>
    </row>
  </sheetData>
  <dataValidations>
    <dataValidation type="list" allowBlank="1" sqref="C5:C9 C11:C15 C17:C18 C20:C24 C26:C28 C31 C33:C40 C43:C54 C56:C58 C60 C62:C72 C74:C78 C80:C93 C95:C97 C100:C101 C108:C112 C114:C119">
      <formula1>Menu!$B$2:$B$16</formula1>
    </dataValidation>
    <dataValidation type="list" allowBlank="1" sqref="F5 F7:F8 F10:F20 F24:F28 F30 F32 F38:F40 F43:F46 F49:F50 F52:F56 F58 F64:F66 F68 F72 F74:F77 F79:F81 F83:F85 F88:F94 F96 F109:F112 F114:F115 F117">
      <formula1>Menu!$B$73:$B$84</formula1>
    </dataValidation>
    <dataValidation type="list" allowBlank="1" sqref="D5:D9 D11 D17:D21 D23:D24 D26 D31 D33 D35:D37 D39 D41:D43 D51 D53 D56:D57 D59:D60 D62:D63 D65 D67 D69:D70 D74 D77:D78 D82 D84:D87 D89 D91:D93 D95:D96 D108 D110:D112 D117:D119">
      <formula1>Menu!$B$19:$B$27</formula1>
    </dataValidation>
    <dataValidation type="list" allowBlank="1" sqref="H33 H38">
      <formula1>Menu!$A$1</formula1>
    </dataValidation>
    <dataValidation type="list" allowBlank="1" sqref="C10 C16 C19 C25 C29:C30 C32 C41:C42 C55 C59 C61 C73 C79 C94">
      <formula1>Menu!$B$2:$B$15</formula1>
    </dataValidation>
    <dataValidation type="list" allowBlank="1" sqref="D10 D12:D16 D22 D25 D27:D30 D32 D34 D38 D44:D50 D52 D54:D55 D58 D61 D64 D71:D73 D75:D76 D79:D81 D83 D88 D90 D94 D109 D114:D116">
      <formula1>Menu!$B$19:$B$26</formula1>
    </dataValidation>
    <dataValidation type="list" allowBlank="1" sqref="D40 D66 D68">
      <formula1>Menu!$B$19:$B$25</formula1>
    </dataValidation>
    <dataValidation type="list" allowBlank="1" sqref="E5:E96 E108:E112 E114:E119">
      <formula1>Menu!$B$36:$B$58</formula1>
    </dataValidation>
    <dataValidation type="list" allowBlank="1" sqref="F6 F9 F21:F23 F29 F31 F33:F37 F41:F42 F47:F48 F51 F57 F59:F63 F67 F69:F71 F73 F78 F82 F86 F95 F116 F118:F119">
      <formula1>Menu!$B$73:$B$86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6.38"/>
    <col customWidth="1" min="3" max="3" width="13.38"/>
    <col customWidth="1" min="4" max="4" width="17.13"/>
    <col customWidth="1" min="5" max="5" width="17.63"/>
    <col customWidth="1" min="6" max="6" width="17.25"/>
    <col customWidth="1" min="7" max="7" width="25.5"/>
    <col customWidth="1" min="9" max="9" width="12.63"/>
    <col customWidth="1" min="10" max="10" width="5.13"/>
    <col customWidth="1" min="13" max="13" width="13.38"/>
  </cols>
  <sheetData>
    <row r="1" ht="30.0" customHeight="1">
      <c r="A1" s="1" t="s">
        <v>0</v>
      </c>
      <c r="B1" s="1"/>
      <c r="C1" s="1"/>
      <c r="D1" s="1"/>
      <c r="E1" s="1"/>
      <c r="F1" s="1"/>
      <c r="G1" s="5"/>
      <c r="H1" s="5"/>
      <c r="I1" s="10"/>
      <c r="J1" s="10"/>
      <c r="K1" s="10"/>
      <c r="L1" s="10"/>
      <c r="M1" s="10"/>
      <c r="N1" s="10"/>
      <c r="O1" s="10"/>
      <c r="P1" s="10"/>
      <c r="Q1" s="10"/>
      <c r="R1" s="12"/>
      <c r="S1" s="12"/>
      <c r="T1" s="12"/>
      <c r="U1" s="12"/>
      <c r="V1" s="12"/>
      <c r="W1" s="12"/>
      <c r="X1" s="12"/>
      <c r="Y1" s="12"/>
    </row>
    <row r="2" ht="30.0" customHeight="1">
      <c r="A2" s="15" t="s">
        <v>24</v>
      </c>
      <c r="B2" s="18"/>
      <c r="C2" s="18"/>
      <c r="D2" s="18"/>
      <c r="E2" s="1"/>
      <c r="F2" s="1"/>
      <c r="G2" s="5"/>
      <c r="H2" s="5"/>
      <c r="I2" s="10"/>
      <c r="J2" s="10"/>
      <c r="K2" s="10"/>
      <c r="L2" s="10"/>
      <c r="M2" s="10"/>
      <c r="N2" s="10"/>
      <c r="O2" s="10"/>
      <c r="P2" s="10"/>
      <c r="Q2" s="10"/>
      <c r="R2" s="12"/>
      <c r="S2" s="12"/>
      <c r="T2" s="12"/>
      <c r="U2" s="12"/>
      <c r="V2" s="12"/>
      <c r="W2" s="12"/>
      <c r="X2" s="12"/>
      <c r="Y2" s="12"/>
    </row>
    <row r="3" ht="30.0" customHeight="1">
      <c r="A3" s="137" t="s">
        <v>26</v>
      </c>
      <c r="B3" s="3"/>
      <c r="C3" s="3"/>
      <c r="D3" s="3"/>
      <c r="E3" s="3"/>
      <c r="F3" s="3"/>
      <c r="G3" s="5"/>
      <c r="H3" s="5"/>
      <c r="I3" s="10"/>
      <c r="J3" s="10"/>
      <c r="K3" s="10"/>
      <c r="L3" s="10"/>
      <c r="M3" s="10"/>
      <c r="N3" s="10"/>
      <c r="O3" s="10"/>
      <c r="P3" s="10"/>
      <c r="Q3" s="10"/>
      <c r="R3" s="12"/>
      <c r="S3" s="12"/>
      <c r="T3" s="12"/>
      <c r="U3" s="12"/>
      <c r="V3" s="12"/>
      <c r="W3" s="12"/>
      <c r="X3" s="12"/>
      <c r="Y3" s="12"/>
    </row>
    <row r="4" ht="30.0" customHeight="1">
      <c r="A4" s="85" t="s">
        <v>34</v>
      </c>
      <c r="B4" s="3"/>
      <c r="C4" s="27" t="s">
        <v>38</v>
      </c>
      <c r="D4" s="29" t="s">
        <v>41</v>
      </c>
      <c r="E4" s="29" t="s">
        <v>44</v>
      </c>
      <c r="F4" s="29" t="s">
        <v>46</v>
      </c>
      <c r="G4" s="30"/>
      <c r="H4" s="30"/>
      <c r="I4" s="36" t="str">
        <f>IFERROR(__xludf.DUMMYFUNCTION("QUERY(A5:H79, ""Select C, count(A), H group by C, H order by H"")"),"")</f>
        <v/>
      </c>
      <c r="J4" s="39" t="str">
        <f>IFERROR(__xludf.DUMMYFUNCTION("""COMPUTED_VALUE"""),"count ")</f>
        <v>count </v>
      </c>
      <c r="K4" s="36" t="str">
        <f>IFERROR(__xludf.DUMMYFUNCTION("""COMPUTED_VALUE"""),"")</f>
        <v/>
      </c>
      <c r="L4" s="36" t="str">
        <f>IFERROR(__xludf.DUMMYFUNCTION("QUERY(A5:H79, ""Select D, count(A), H group by D, H order by H"")"),"")</f>
        <v/>
      </c>
      <c r="M4" s="36" t="str">
        <f>IFERROR(__xludf.DUMMYFUNCTION("""COMPUTED_VALUE"""),"count ")</f>
        <v>count </v>
      </c>
      <c r="N4" s="5" t="str">
        <f>IFERROR(__xludf.DUMMYFUNCTION("""COMPUTED_VALUE"""),"")</f>
        <v/>
      </c>
      <c r="O4" s="86"/>
      <c r="P4" s="5"/>
      <c r="Q4" s="10"/>
      <c r="R4" s="12"/>
      <c r="S4" s="12"/>
      <c r="T4" s="12"/>
      <c r="U4" s="12"/>
      <c r="V4" s="12"/>
      <c r="W4" s="12"/>
      <c r="X4" s="12"/>
      <c r="Y4" s="12"/>
    </row>
    <row r="5" ht="30.0" customHeight="1">
      <c r="A5" s="44" t="s">
        <v>53</v>
      </c>
      <c r="B5" s="47">
        <v>1.0</v>
      </c>
      <c r="C5" s="51" t="s">
        <v>25</v>
      </c>
      <c r="D5" s="51" t="s">
        <v>57</v>
      </c>
      <c r="E5" s="51" t="s">
        <v>63</v>
      </c>
      <c r="F5" s="62" t="s">
        <v>103</v>
      </c>
      <c r="G5" s="55" t="str">
        <f t="shared" ref="G5:G15" si="1"> CONCATENATE(E5," ", F5)</f>
        <v>Баса Гр  </v>
      </c>
      <c r="H5" s="57" t="s">
        <v>1</v>
      </c>
      <c r="I5" s="10"/>
      <c r="J5" s="10">
        <f>IFERROR(__xludf.DUMMYFUNCTION("""COMPUTED_VALUE"""),0.0)</f>
        <v>0</v>
      </c>
      <c r="K5" s="10"/>
      <c r="L5" s="10"/>
      <c r="M5" s="10">
        <f>IFERROR(__xludf.DUMMYFUNCTION("""COMPUTED_VALUE"""),1.0)</f>
        <v>1</v>
      </c>
      <c r="N5" s="10"/>
      <c r="O5" s="10"/>
      <c r="P5" s="10"/>
      <c r="Q5" s="10"/>
      <c r="R5" s="12"/>
      <c r="S5" s="12"/>
      <c r="T5" s="12"/>
      <c r="U5" s="12"/>
      <c r="V5" s="12"/>
      <c r="W5" s="12"/>
      <c r="X5" s="12"/>
      <c r="Y5" s="12"/>
    </row>
    <row r="6" ht="30.0" customHeight="1">
      <c r="A6" s="44" t="s">
        <v>87</v>
      </c>
      <c r="B6" s="47">
        <v>2.0</v>
      </c>
      <c r="C6" s="51" t="s">
        <v>33</v>
      </c>
      <c r="D6" s="51" t="s">
        <v>50</v>
      </c>
      <c r="E6" s="51" t="s">
        <v>91</v>
      </c>
      <c r="F6" s="51" t="s">
        <v>111</v>
      </c>
      <c r="G6" s="55" t="str">
        <f t="shared" si="1"/>
        <v>табака  MP </v>
      </c>
      <c r="H6" s="57" t="s">
        <v>1</v>
      </c>
      <c r="I6" s="10" t="str">
        <f>IFERROR(__xludf.DUMMYFUNCTION("""COMPUTED_VALUE"""),"cosher")</f>
        <v>cosher</v>
      </c>
      <c r="J6" s="10">
        <f>IFERROR(__xludf.DUMMYFUNCTION("""COMPUTED_VALUE"""),1.0)</f>
        <v>1</v>
      </c>
      <c r="K6" s="10"/>
      <c r="L6" s="10"/>
      <c r="M6" s="10">
        <f>IFERROR(__xludf.DUMMYFUNCTION("""COMPUTED_VALUE"""),0.0)</f>
        <v>0</v>
      </c>
      <c r="N6" s="10" t="str">
        <f>IFERROR(__xludf.DUMMYFUNCTION("""COMPUTED_VALUE"""),"Олимп")</f>
        <v>Олимп</v>
      </c>
      <c r="O6" s="10"/>
      <c r="P6" s="10"/>
      <c r="Q6" s="10"/>
      <c r="R6" s="12"/>
      <c r="S6" s="12"/>
      <c r="T6" s="12"/>
      <c r="U6" s="12"/>
      <c r="V6" s="12"/>
      <c r="W6" s="12"/>
      <c r="X6" s="12"/>
      <c r="Y6" s="12"/>
    </row>
    <row r="7" ht="30.0" customHeight="1">
      <c r="A7" s="44" t="s">
        <v>84</v>
      </c>
      <c r="B7" s="47">
        <v>3.0</v>
      </c>
      <c r="C7" s="51" t="s">
        <v>25</v>
      </c>
      <c r="D7" s="51" t="s">
        <v>52</v>
      </c>
      <c r="E7" s="62" t="s">
        <v>67</v>
      </c>
      <c r="F7" s="51" t="s">
        <v>68</v>
      </c>
      <c r="G7" s="88" t="str">
        <f t="shared" si="1"/>
        <v>S   Картошка</v>
      </c>
      <c r="H7" s="57" t="s">
        <v>1</v>
      </c>
      <c r="I7" s="10"/>
      <c r="J7" s="10">
        <f>IFERROR(__xludf.DUMMYFUNCTION("""COMPUTED_VALUE"""),3.0)</f>
        <v>3</v>
      </c>
      <c r="K7" s="10" t="str">
        <f>IFERROR(__xludf.DUMMYFUNCTION("""COMPUTED_VALUE"""),"Олимп")</f>
        <v>Олимп</v>
      </c>
      <c r="L7" s="10" t="str">
        <f>IFERROR(__xludf.DUMMYFUNCTION("""COMPUTED_VALUE"""),"3.Б")</f>
        <v>3.Б</v>
      </c>
      <c r="M7" s="10">
        <f>IFERROR(__xludf.DUMMYFUNCTION("""COMPUTED_VALUE"""),8.0)</f>
        <v>8</v>
      </c>
      <c r="N7" s="10" t="str">
        <f>IFERROR(__xludf.DUMMYFUNCTION("""COMPUTED_VALUE"""),"Олимп")</f>
        <v>Олимп</v>
      </c>
      <c r="O7" s="10"/>
      <c r="P7" s="10"/>
      <c r="Q7" s="10"/>
      <c r="R7" s="12"/>
      <c r="S7" s="12"/>
      <c r="T7" s="12"/>
      <c r="U7" s="12"/>
      <c r="V7" s="12"/>
      <c r="W7" s="12"/>
      <c r="X7" s="12"/>
      <c r="Y7" s="12"/>
    </row>
    <row r="8" ht="30.0" customHeight="1">
      <c r="A8" s="44" t="s">
        <v>169</v>
      </c>
      <c r="B8" s="47">
        <v>4.0</v>
      </c>
      <c r="C8" s="51" t="s">
        <v>20</v>
      </c>
      <c r="D8" s="51" t="s">
        <v>57</v>
      </c>
      <c r="E8" s="51" t="s">
        <v>76</v>
      </c>
      <c r="F8" s="51" t="s">
        <v>64</v>
      </c>
      <c r="G8" s="88" t="str">
        <f t="shared" si="1"/>
        <v>Гуляш  FF</v>
      </c>
      <c r="H8" s="57" t="s">
        <v>1</v>
      </c>
      <c r="I8" s="10" t="str">
        <f>IFERROR(__xludf.DUMMYFUNCTION("""COMPUTED_VALUE"""),"Весна")</f>
        <v>Весна</v>
      </c>
      <c r="J8" s="10">
        <f>IFERROR(__xludf.DUMMYFUNCTION("""COMPUTED_VALUE"""),2.0)</f>
        <v>2</v>
      </c>
      <c r="K8" s="10" t="str">
        <f>IFERROR(__xludf.DUMMYFUNCTION("""COMPUTED_VALUE"""),"Олимп")</f>
        <v>Олимп</v>
      </c>
      <c r="L8" s="10" t="str">
        <f>IFERROR(__xludf.DUMMYFUNCTION("""COMPUTED_VALUE"""),"Б ")</f>
        <v>Б </v>
      </c>
      <c r="M8" s="10">
        <f>IFERROR(__xludf.DUMMYFUNCTION("""COMPUTED_VALUE"""),12.0)</f>
        <v>12</v>
      </c>
      <c r="N8" s="10" t="str">
        <f>IFERROR(__xludf.DUMMYFUNCTION("""COMPUTED_VALUE"""),"Олимп")</f>
        <v>Олимп</v>
      </c>
      <c r="O8" s="10"/>
      <c r="P8" s="10"/>
      <c r="Q8" s="10"/>
      <c r="R8" s="12"/>
      <c r="S8" s="12"/>
      <c r="T8" s="12"/>
      <c r="U8" s="12"/>
      <c r="V8" s="12"/>
      <c r="W8" s="12"/>
      <c r="X8" s="12"/>
      <c r="Y8" s="12"/>
    </row>
    <row r="9" ht="30.0" customHeight="1">
      <c r="A9" s="44" t="s">
        <v>110</v>
      </c>
      <c r="B9" s="47">
        <v>5.0</v>
      </c>
      <c r="C9" s="51"/>
      <c r="D9" s="51" t="s">
        <v>50</v>
      </c>
      <c r="E9" s="51" t="s">
        <v>94</v>
      </c>
      <c r="F9" s="51"/>
      <c r="G9" s="88" t="str">
        <f t="shared" si="1"/>
        <v>Чалахач </v>
      </c>
      <c r="H9" s="57" t="s">
        <v>1</v>
      </c>
      <c r="I9" s="10" t="str">
        <f>IFERROR(__xludf.DUMMYFUNCTION("""COMPUTED_VALUE"""),"Вин")</f>
        <v>Вин</v>
      </c>
      <c r="J9" s="10">
        <f>IFERROR(__xludf.DUMMYFUNCTION("""COMPUTED_VALUE"""),18.0)</f>
        <v>18</v>
      </c>
      <c r="K9" s="10" t="str">
        <f>IFERROR(__xludf.DUMMYFUNCTION("""COMPUTED_VALUE"""),"Олимп")</f>
        <v>Олимп</v>
      </c>
      <c r="L9" s="10" t="str">
        <f>IFERROR(__xludf.DUMMYFUNCTION("""COMPUTED_VALUE"""),"Горох")</f>
        <v>Горох</v>
      </c>
      <c r="M9" s="10">
        <f>IFERROR(__xludf.DUMMYFUNCTION("""COMPUTED_VALUE"""),7.0)</f>
        <v>7</v>
      </c>
      <c r="N9" s="10" t="str">
        <f>IFERROR(__xludf.DUMMYFUNCTION("""COMPUTED_VALUE"""),"Олимп")</f>
        <v>Олимп</v>
      </c>
      <c r="O9" s="10"/>
      <c r="P9" s="10"/>
      <c r="Q9" s="10"/>
      <c r="R9" s="12"/>
      <c r="S9" s="12"/>
      <c r="T9" s="12"/>
      <c r="U9" s="12"/>
      <c r="V9" s="12"/>
      <c r="W9" s="12"/>
      <c r="X9" s="12"/>
      <c r="Y9" s="12"/>
    </row>
    <row r="10" ht="30.0" customHeight="1">
      <c r="A10" s="44" t="s">
        <v>96</v>
      </c>
      <c r="B10" s="47">
        <v>6.0</v>
      </c>
      <c r="C10" s="51" t="s">
        <v>16</v>
      </c>
      <c r="D10" s="51" t="s">
        <v>57</v>
      </c>
      <c r="E10" s="51" t="s">
        <v>80</v>
      </c>
      <c r="F10" s="51"/>
      <c r="G10" s="88" t="str">
        <f t="shared" si="1"/>
        <v>Котл. кур </v>
      </c>
      <c r="H10" s="57" t="s">
        <v>1</v>
      </c>
      <c r="I10" s="10" t="str">
        <f>IFERROR(__xludf.DUMMYFUNCTION("""COMPUTED_VALUE"""),"Днестр")</f>
        <v>Днестр</v>
      </c>
      <c r="J10" s="10">
        <f>IFERROR(__xludf.DUMMYFUNCTION("""COMPUTED_VALUE"""),7.0)</f>
        <v>7</v>
      </c>
      <c r="K10" s="10" t="str">
        <f>IFERROR(__xludf.DUMMYFUNCTION("""COMPUTED_VALUE"""),"Олимп")</f>
        <v>Олимп</v>
      </c>
      <c r="L10" s="10" t="str">
        <f>IFERROR(__xludf.DUMMYFUNCTION("""COMPUTED_VALUE"""),"Гриб")</f>
        <v>Гриб</v>
      </c>
      <c r="M10" s="10">
        <f>IFERROR(__xludf.DUMMYFUNCTION("""COMPUTED_VALUE"""),13.0)</f>
        <v>13</v>
      </c>
      <c r="N10" s="10" t="str">
        <f>IFERROR(__xludf.DUMMYFUNCTION("""COMPUTED_VALUE"""),"Олимп")</f>
        <v>Олимп</v>
      </c>
      <c r="O10" s="10"/>
      <c r="P10" s="10"/>
      <c r="Q10" s="10"/>
      <c r="R10" s="12"/>
      <c r="S10" s="12"/>
      <c r="T10" s="12"/>
      <c r="U10" s="12"/>
      <c r="V10" s="12"/>
      <c r="W10" s="12"/>
      <c r="X10" s="12"/>
      <c r="Y10" s="12"/>
    </row>
    <row r="11" ht="30.0" customHeight="1">
      <c r="A11" s="44" t="s">
        <v>402</v>
      </c>
      <c r="B11" s="47">
        <v>7.0</v>
      </c>
      <c r="C11" s="51" t="s">
        <v>16</v>
      </c>
      <c r="D11" s="51" t="s">
        <v>52</v>
      </c>
      <c r="E11" s="51" t="s">
        <v>71</v>
      </c>
      <c r="F11" s="51"/>
      <c r="G11" s="88" t="str">
        <f t="shared" si="1"/>
        <v>Бл. мясо </v>
      </c>
      <c r="H11" s="57" t="s">
        <v>1</v>
      </c>
      <c r="I11" s="10" t="str">
        <f>IFERROR(__xludf.DUMMYFUNCTION("""COMPUTED_VALUE"""),"Ол ")</f>
        <v>Ол </v>
      </c>
      <c r="J11" s="10">
        <f>IFERROR(__xludf.DUMMYFUNCTION("""COMPUTED_VALUE"""),5.0)</f>
        <v>5</v>
      </c>
      <c r="K11" s="10" t="str">
        <f>IFERROR(__xludf.DUMMYFUNCTION("""COMPUTED_VALUE"""),"Олимп")</f>
        <v>Олимп</v>
      </c>
      <c r="L11" s="10" t="str">
        <f>IFERROR(__xludf.DUMMYFUNCTION("""COMPUTED_VALUE"""),"Кур ")</f>
        <v>Кур </v>
      </c>
      <c r="M11" s="10">
        <f>IFERROR(__xludf.DUMMYFUNCTION("""COMPUTED_VALUE"""),16.0)</f>
        <v>16</v>
      </c>
      <c r="N11" s="10" t="str">
        <f>IFERROR(__xludf.DUMMYFUNCTION("""COMPUTED_VALUE"""),"Олимп")</f>
        <v>Олимп</v>
      </c>
      <c r="O11" s="10"/>
      <c r="P11" s="10"/>
      <c r="Q11" s="10"/>
      <c r="R11" s="12"/>
      <c r="S11" s="12"/>
      <c r="T11" s="12"/>
      <c r="U11" s="12"/>
      <c r="V11" s="12"/>
      <c r="W11" s="12"/>
      <c r="X11" s="12"/>
      <c r="Y11" s="12"/>
    </row>
    <row r="12" ht="30.0" customHeight="1">
      <c r="A12" s="3" t="s">
        <v>99</v>
      </c>
      <c r="B12" s="47">
        <v>8.0</v>
      </c>
      <c r="C12" s="51"/>
      <c r="D12" s="51" t="s">
        <v>52</v>
      </c>
      <c r="E12" s="51" t="s">
        <v>71</v>
      </c>
      <c r="F12" s="51"/>
      <c r="G12" s="55" t="str">
        <f t="shared" si="1"/>
        <v>Бл. мясо </v>
      </c>
      <c r="H12" s="57" t="s">
        <v>1</v>
      </c>
      <c r="I12" s="10" t="str">
        <f>IFERROR(__xludf.DUMMYFUNCTION("""COMPUTED_VALUE"""),"Сало")</f>
        <v>Сало</v>
      </c>
      <c r="J12" s="10">
        <f>IFERROR(__xludf.DUMMYFUNCTION("""COMPUTED_VALUE"""),3.0)</f>
        <v>3</v>
      </c>
      <c r="K12" s="10" t="str">
        <f>IFERROR(__xludf.DUMMYFUNCTION("""COMPUTED_VALUE"""),"Олимп")</f>
        <v>Олимп</v>
      </c>
      <c r="L12" s="10" t="str">
        <f>IFERROR(__xludf.DUMMYFUNCTION("""COMPUTED_VALUE"""),"Овощ")</f>
        <v>Овощ</v>
      </c>
      <c r="M12" s="10">
        <f>IFERROR(__xludf.DUMMYFUNCTION("""COMPUTED_VALUE"""),2.0)</f>
        <v>2</v>
      </c>
      <c r="N12" s="10" t="str">
        <f>IFERROR(__xludf.DUMMYFUNCTION("""COMPUTED_VALUE"""),"Олимп")</f>
        <v>Олимп</v>
      </c>
      <c r="O12" s="10"/>
      <c r="P12" s="10"/>
      <c r="Q12" s="10"/>
      <c r="R12" s="12"/>
      <c r="S12" s="12"/>
      <c r="T12" s="12"/>
      <c r="U12" s="12"/>
      <c r="V12" s="12"/>
      <c r="W12" s="12"/>
      <c r="X12" s="12"/>
      <c r="Y12" s="12"/>
    </row>
    <row r="13" ht="30.0" customHeight="1">
      <c r="A13" s="44" t="s">
        <v>102</v>
      </c>
      <c r="B13" s="47">
        <v>9.0</v>
      </c>
      <c r="C13" s="51" t="s">
        <v>33</v>
      </c>
      <c r="D13" s="51" t="s">
        <v>50</v>
      </c>
      <c r="E13" s="62" t="s">
        <v>91</v>
      </c>
      <c r="F13" s="62" t="s">
        <v>100</v>
      </c>
      <c r="G13" s="88" t="str">
        <f t="shared" si="1"/>
        <v>табака  Паста  </v>
      </c>
      <c r="H13" s="57" t="s">
        <v>1</v>
      </c>
      <c r="I13" s="10" t="str">
        <f>IFERROR(__xludf.DUMMYFUNCTION("""COMPUTED_VALUE"""),"Свкл")</f>
        <v>Свкл</v>
      </c>
      <c r="J13" s="10">
        <f>IFERROR(__xludf.DUMMYFUNCTION("""COMPUTED_VALUE"""),8.0)</f>
        <v>8</v>
      </c>
      <c r="K13" s="10" t="str">
        <f>IFERROR(__xludf.DUMMYFUNCTION("""COMPUTED_VALUE"""),"Олимп")</f>
        <v>Олимп</v>
      </c>
      <c r="L13" s="10" t="str">
        <f>IFERROR(__xludf.DUMMYFUNCTION("""COMPUTED_VALUE"""),"Харчо ")</f>
        <v>Харчо </v>
      </c>
      <c r="M13" s="10">
        <f>IFERROR(__xludf.DUMMYFUNCTION("""COMPUTED_VALUE"""),3.0)</f>
        <v>3</v>
      </c>
      <c r="N13" s="10" t="str">
        <f>IFERROR(__xludf.DUMMYFUNCTION("""COMPUTED_VALUE"""),"Олимп")</f>
        <v>Олимп</v>
      </c>
      <c r="O13" s="10"/>
      <c r="P13" s="10"/>
      <c r="Q13" s="10"/>
      <c r="R13" s="12"/>
      <c r="S13" s="12"/>
      <c r="T13" s="12"/>
      <c r="U13" s="12"/>
      <c r="V13" s="12"/>
      <c r="W13" s="12"/>
      <c r="X13" s="12"/>
      <c r="Y13" s="12"/>
    </row>
    <row r="14" ht="30.0" customHeight="1">
      <c r="A14" s="44" t="s">
        <v>104</v>
      </c>
      <c r="B14" s="47">
        <v>10.0</v>
      </c>
      <c r="C14" s="51" t="s">
        <v>20</v>
      </c>
      <c r="D14" s="51" t="s">
        <v>48</v>
      </c>
      <c r="E14" s="51" t="s">
        <v>73</v>
      </c>
      <c r="F14" s="62"/>
      <c r="G14" s="88" t="str">
        <f t="shared" si="1"/>
        <v>Бл. твор </v>
      </c>
      <c r="H14" s="57" t="s">
        <v>1</v>
      </c>
      <c r="I14" s="10" t="str">
        <f>IFERROR(__xludf.DUMMYFUNCTION("""COMPUTED_VALUE"""),"Селедка")</f>
        <v>Селедка</v>
      </c>
      <c r="J14" s="10">
        <f>IFERROR(__xludf.DUMMYFUNCTION("""COMPUTED_VALUE"""),4.0)</f>
        <v>4</v>
      </c>
      <c r="K14" s="10" t="str">
        <f>IFERROR(__xludf.DUMMYFUNCTION("""COMPUTED_VALUE"""),"Олимп")</f>
        <v>Олимп</v>
      </c>
      <c r="L14" s="10"/>
      <c r="M14" s="10"/>
      <c r="N14" s="10"/>
      <c r="O14" s="10"/>
      <c r="P14" s="10"/>
      <c r="Q14" s="10"/>
      <c r="R14" s="12"/>
      <c r="S14" s="12"/>
      <c r="T14" s="12"/>
      <c r="U14" s="12"/>
      <c r="V14" s="12"/>
      <c r="W14" s="12"/>
      <c r="X14" s="12"/>
      <c r="Y14" s="12"/>
    </row>
    <row r="15" ht="30.0" customHeight="1">
      <c r="A15" s="44" t="s">
        <v>134</v>
      </c>
      <c r="B15" s="47">
        <v>11.0</v>
      </c>
      <c r="C15" s="51" t="s">
        <v>28</v>
      </c>
      <c r="D15" s="51" t="s">
        <v>55</v>
      </c>
      <c r="E15" s="51" t="s">
        <v>85</v>
      </c>
      <c r="F15" s="62" t="s">
        <v>103</v>
      </c>
      <c r="G15" s="88" t="str">
        <f t="shared" si="1"/>
        <v>Поперечка Гр  </v>
      </c>
      <c r="H15" s="57" t="s">
        <v>1</v>
      </c>
      <c r="I15" s="10" t="str">
        <f>IFERROR(__xludf.DUMMYFUNCTION("""COMPUTED_VALUE"""),"баклаж")</f>
        <v>баклаж</v>
      </c>
      <c r="J15" s="10">
        <f>IFERROR(__xludf.DUMMYFUNCTION("""COMPUTED_VALUE"""),4.0)</f>
        <v>4</v>
      </c>
      <c r="K15" s="10" t="str">
        <f>IFERROR(__xludf.DUMMYFUNCTION("""COMPUTED_VALUE"""),"Олимп")</f>
        <v>Олимп</v>
      </c>
      <c r="L15" s="10"/>
      <c r="M15" s="10"/>
      <c r="N15" s="10"/>
      <c r="O15" s="10"/>
      <c r="P15" s="10"/>
      <c r="Q15" s="10"/>
      <c r="R15" s="12"/>
      <c r="S15" s="12"/>
      <c r="T15" s="12"/>
      <c r="U15" s="12"/>
      <c r="V15" s="12"/>
      <c r="W15" s="12"/>
      <c r="X15" s="12"/>
      <c r="Y15" s="12"/>
    </row>
    <row r="16" ht="30.0" customHeight="1">
      <c r="G16" s="55" t="str">
        <f t="shared" ref="G16:G17" si="2"> CONCATENATE(E90," ", F90)</f>
        <v>S   Гр  </v>
      </c>
      <c r="H16" s="57" t="s">
        <v>1</v>
      </c>
      <c r="I16" s="10" t="str">
        <f>IFERROR(__xludf.DUMMYFUNCTION("""COMPUTED_VALUE"""),"капуста")</f>
        <v>капуста</v>
      </c>
      <c r="J16" s="10">
        <f>IFERROR(__xludf.DUMMYFUNCTION("""COMPUTED_VALUE"""),7.0)</f>
        <v>7</v>
      </c>
      <c r="K16" s="10" t="str">
        <f>IFERROR(__xludf.DUMMYFUNCTION("""COMPUTED_VALUE"""),"Олимп")</f>
        <v>Олимп</v>
      </c>
      <c r="L16" s="10"/>
      <c r="M16" s="10"/>
      <c r="N16" s="10"/>
      <c r="O16" s="10"/>
      <c r="P16" s="10"/>
      <c r="Q16" s="10"/>
      <c r="R16" s="12"/>
      <c r="S16" s="12"/>
      <c r="T16" s="12"/>
      <c r="U16" s="12"/>
      <c r="V16" s="12"/>
      <c r="W16" s="12"/>
      <c r="X16" s="12"/>
      <c r="Y16" s="12"/>
    </row>
    <row r="17" ht="30.0" customHeight="1">
      <c r="G17" s="55" t="str">
        <f t="shared" si="2"/>
        <v>Жульен </v>
      </c>
      <c r="H17" s="57" t="s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2"/>
      <c r="S17" s="12"/>
      <c r="T17" s="12"/>
      <c r="U17" s="12"/>
      <c r="V17" s="12"/>
      <c r="W17" s="12"/>
      <c r="X17" s="12"/>
      <c r="Y17" s="12"/>
    </row>
    <row r="18" ht="30.0" customHeight="1">
      <c r="A18" s="72" t="s">
        <v>119</v>
      </c>
      <c r="B18" s="47">
        <v>14.0</v>
      </c>
      <c r="C18" s="51" t="s">
        <v>40</v>
      </c>
      <c r="D18" s="51" t="s">
        <v>59</v>
      </c>
      <c r="E18" s="51" t="s">
        <v>75</v>
      </c>
      <c r="F18" s="51"/>
      <c r="G18" s="88" t="str">
        <f t="shared" ref="G18:G55" si="3"> CONCATENATE(E18," ", F18)</f>
        <v>Голубцы </v>
      </c>
      <c r="H18" s="57" t="s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2"/>
      <c r="S18" s="12"/>
      <c r="T18" s="12"/>
      <c r="U18" s="12"/>
      <c r="V18" s="12"/>
      <c r="W18" s="12"/>
      <c r="X18" s="12"/>
      <c r="Y18" s="12"/>
    </row>
    <row r="19" ht="30.0" customHeight="1">
      <c r="A19" s="72" t="s">
        <v>121</v>
      </c>
      <c r="B19" s="47">
        <v>15.0</v>
      </c>
      <c r="C19" s="51" t="s">
        <v>40</v>
      </c>
      <c r="D19" s="51" t="s">
        <v>57</v>
      </c>
      <c r="E19" s="51" t="s">
        <v>65</v>
      </c>
      <c r="F19" s="51"/>
      <c r="G19" s="88" t="str">
        <f t="shared" si="3"/>
        <v>Вар.Кар </v>
      </c>
      <c r="H19" s="57" t="s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2"/>
      <c r="S19" s="12"/>
      <c r="T19" s="12"/>
      <c r="U19" s="12"/>
      <c r="V19" s="12"/>
      <c r="W19" s="12"/>
      <c r="X19" s="12"/>
      <c r="Y19" s="12"/>
    </row>
    <row r="20" ht="30.0" customHeight="1">
      <c r="A20" s="77" t="s">
        <v>122</v>
      </c>
      <c r="B20" s="47">
        <v>16.0</v>
      </c>
      <c r="C20" s="51" t="s">
        <v>31</v>
      </c>
      <c r="D20" s="51" t="s">
        <v>55</v>
      </c>
      <c r="E20" s="51" t="s">
        <v>67</v>
      </c>
      <c r="F20" s="62" t="s">
        <v>64</v>
      </c>
      <c r="G20" s="88" t="str">
        <f t="shared" si="3"/>
        <v>S    FF</v>
      </c>
      <c r="H20" s="57" t="s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2"/>
      <c r="S20" s="12"/>
      <c r="T20" s="12"/>
      <c r="U20" s="12"/>
      <c r="V20" s="12"/>
      <c r="W20" s="12"/>
      <c r="X20" s="12"/>
      <c r="Y20" s="12"/>
    </row>
    <row r="21" ht="30.0" customHeight="1">
      <c r="A21" s="44" t="s">
        <v>147</v>
      </c>
      <c r="B21" s="47">
        <v>17.0</v>
      </c>
      <c r="C21" s="100" t="s">
        <v>28</v>
      </c>
      <c r="D21" s="51" t="s">
        <v>55</v>
      </c>
      <c r="E21" s="100" t="s">
        <v>91</v>
      </c>
      <c r="F21" s="51"/>
      <c r="G21" s="88" t="str">
        <f t="shared" si="3"/>
        <v>табака  </v>
      </c>
      <c r="H21" s="57" t="s">
        <v>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30.0" customHeight="1">
      <c r="A22" s="91" t="s">
        <v>155</v>
      </c>
      <c r="B22" s="47">
        <v>18.0</v>
      </c>
      <c r="C22" s="51"/>
      <c r="D22" s="62" t="s">
        <v>55</v>
      </c>
      <c r="E22" s="62" t="s">
        <v>65</v>
      </c>
      <c r="F22" s="62"/>
      <c r="G22" s="88" t="str">
        <f t="shared" si="3"/>
        <v>Вар.Кар </v>
      </c>
      <c r="H22" s="57" t="s">
        <v>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30.0" customHeight="1">
      <c r="A23" s="3" t="s">
        <v>128</v>
      </c>
      <c r="B23" s="47">
        <v>19.0</v>
      </c>
      <c r="C23" s="51" t="s">
        <v>16</v>
      </c>
      <c r="D23" s="51" t="s">
        <v>57</v>
      </c>
      <c r="E23" s="51" t="s">
        <v>97</v>
      </c>
      <c r="F23" s="51" t="s">
        <v>90</v>
      </c>
      <c r="G23" s="104" t="str">
        <f t="shared" si="3"/>
        <v>Шницель Туш. кап.</v>
      </c>
      <c r="H23" s="104" t="s">
        <v>1</v>
      </c>
      <c r="I23" s="36"/>
      <c r="J23" s="10"/>
      <c r="K23" s="10"/>
      <c r="L23" s="10"/>
      <c r="M23" s="10"/>
      <c r="N23" s="10"/>
      <c r="O23" s="10"/>
      <c r="P23" s="10"/>
      <c r="Q23" s="10"/>
      <c r="R23" s="12"/>
      <c r="S23" s="12"/>
      <c r="T23" s="12"/>
      <c r="U23" s="12"/>
      <c r="V23" s="12"/>
      <c r="W23" s="12"/>
      <c r="X23" s="12"/>
      <c r="Y23" s="12"/>
    </row>
    <row r="24" ht="30.0" customHeight="1">
      <c r="A24" s="3" t="s">
        <v>130</v>
      </c>
      <c r="B24" s="47">
        <v>20.0</v>
      </c>
      <c r="C24" s="51" t="s">
        <v>25</v>
      </c>
      <c r="D24" s="51" t="s">
        <v>50</v>
      </c>
      <c r="E24" s="51" t="s">
        <v>80</v>
      </c>
      <c r="F24" s="51"/>
      <c r="G24" s="104" t="str">
        <f t="shared" si="3"/>
        <v>Котл. кур </v>
      </c>
      <c r="H24" s="104" t="s">
        <v>1</v>
      </c>
      <c r="I24" s="36"/>
      <c r="J24" s="10"/>
      <c r="K24" s="10"/>
      <c r="L24" s="10"/>
      <c r="M24" s="10"/>
      <c r="N24" s="10"/>
      <c r="O24" s="10"/>
      <c r="P24" s="10"/>
      <c r="Q24" s="10"/>
      <c r="R24" s="12"/>
      <c r="S24" s="12"/>
      <c r="T24" s="12"/>
      <c r="U24" s="12"/>
      <c r="V24" s="12"/>
      <c r="W24" s="12"/>
      <c r="X24" s="12"/>
      <c r="Y24" s="12"/>
    </row>
    <row r="25" ht="30.0" customHeight="1">
      <c r="A25" s="81" t="s">
        <v>164</v>
      </c>
      <c r="B25" s="47">
        <v>21.0</v>
      </c>
      <c r="C25" s="51" t="s">
        <v>31</v>
      </c>
      <c r="D25" s="62" t="s">
        <v>52</v>
      </c>
      <c r="E25" s="51" t="s">
        <v>75</v>
      </c>
      <c r="F25" s="62"/>
      <c r="G25" s="88" t="str">
        <f t="shared" si="3"/>
        <v>Голубцы </v>
      </c>
      <c r="H25" s="57" t="s">
        <v>1</v>
      </c>
      <c r="I25" s="36"/>
      <c r="J25" s="10"/>
      <c r="K25" s="10"/>
      <c r="L25" s="10"/>
      <c r="M25" s="10"/>
      <c r="N25" s="10"/>
      <c r="O25" s="10"/>
      <c r="P25" s="10"/>
      <c r="Q25" s="10"/>
      <c r="R25" s="12"/>
      <c r="S25" s="12"/>
      <c r="T25" s="12"/>
      <c r="U25" s="12"/>
      <c r="V25" s="12"/>
      <c r="W25" s="12"/>
      <c r="X25" s="12"/>
      <c r="Y25" s="12"/>
    </row>
    <row r="26" ht="30.0" customHeight="1">
      <c r="A26" s="3" t="s">
        <v>403</v>
      </c>
      <c r="B26" s="47">
        <v>22.0</v>
      </c>
      <c r="C26" s="51" t="s">
        <v>25</v>
      </c>
      <c r="D26" s="51" t="s">
        <v>50</v>
      </c>
      <c r="E26" s="51" t="s">
        <v>85</v>
      </c>
      <c r="F26" s="51"/>
      <c r="G26" s="88" t="str">
        <f t="shared" si="3"/>
        <v>Поперечка </v>
      </c>
      <c r="H26" s="57" t="s">
        <v>1</v>
      </c>
      <c r="I26" s="36"/>
      <c r="J26" s="10"/>
      <c r="K26" s="10"/>
      <c r="L26" s="10"/>
      <c r="M26" s="10"/>
      <c r="N26" s="10"/>
      <c r="O26" s="10"/>
      <c r="P26" s="10"/>
      <c r="Q26" s="10"/>
      <c r="R26" s="12"/>
      <c r="S26" s="12"/>
      <c r="T26" s="12"/>
      <c r="U26" s="12"/>
      <c r="V26" s="12"/>
      <c r="W26" s="12"/>
      <c r="X26" s="12"/>
      <c r="Y26" s="12"/>
    </row>
    <row r="27" ht="30.0" customHeight="1">
      <c r="A27" s="3" t="s">
        <v>133</v>
      </c>
      <c r="B27" s="47">
        <v>23.0</v>
      </c>
      <c r="C27" s="51" t="s">
        <v>40</v>
      </c>
      <c r="D27" s="51" t="s">
        <v>48</v>
      </c>
      <c r="E27" s="51" t="s">
        <v>65</v>
      </c>
      <c r="F27" s="51"/>
      <c r="G27" s="88" t="str">
        <f t="shared" si="3"/>
        <v>Вар.Кар </v>
      </c>
      <c r="H27" s="57" t="s">
        <v>1</v>
      </c>
      <c r="I27" s="36"/>
      <c r="J27" s="10"/>
      <c r="K27" s="10"/>
      <c r="L27" s="10"/>
      <c r="M27" s="10"/>
      <c r="N27" s="10"/>
      <c r="O27" s="10"/>
      <c r="P27" s="10"/>
      <c r="Q27" s="10"/>
      <c r="R27" s="12"/>
      <c r="S27" s="12"/>
      <c r="T27" s="12"/>
      <c r="U27" s="12"/>
      <c r="V27" s="12"/>
      <c r="W27" s="12"/>
      <c r="X27" s="12"/>
      <c r="Y27" s="12"/>
    </row>
    <row r="28" ht="30.0" customHeight="1">
      <c r="A28" s="77" t="s">
        <v>135</v>
      </c>
      <c r="B28" s="47">
        <v>24.0</v>
      </c>
      <c r="C28" s="51" t="s">
        <v>25</v>
      </c>
      <c r="D28" s="51" t="s">
        <v>55</v>
      </c>
      <c r="E28" s="51" t="s">
        <v>63</v>
      </c>
      <c r="F28" s="51" t="s">
        <v>103</v>
      </c>
      <c r="G28" s="88" t="str">
        <f t="shared" si="3"/>
        <v>Баса Гр  </v>
      </c>
      <c r="H28" s="57" t="s">
        <v>1</v>
      </c>
      <c r="I28" s="36" t="str">
        <f>IFERROR(__xludf.DUMMYFUNCTION("QUERY(A5:H79, ""Select G, count(A), H group by G, H order by H"")"),"")</f>
        <v/>
      </c>
      <c r="J28" s="10" t="str">
        <f>IFERROR(__xludf.DUMMYFUNCTION("""COMPUTED_VALUE"""),"count ")</f>
        <v>count </v>
      </c>
      <c r="K28" s="10" t="str">
        <f>IFERROR(__xludf.DUMMYFUNCTION("""COMPUTED_VALUE"""),"")</f>
        <v/>
      </c>
      <c r="L28" s="10"/>
      <c r="M28" s="10"/>
      <c r="N28" s="10"/>
      <c r="O28" s="10"/>
      <c r="P28" s="10"/>
      <c r="Q28" s="10"/>
      <c r="R28" s="12"/>
      <c r="S28" s="12"/>
      <c r="T28" s="12"/>
      <c r="U28" s="12"/>
      <c r="V28" s="12"/>
      <c r="W28" s="12"/>
      <c r="X28" s="12"/>
      <c r="Y28" s="12"/>
    </row>
    <row r="29" ht="30.0" customHeight="1">
      <c r="A29" s="77" t="s">
        <v>171</v>
      </c>
      <c r="B29" s="47">
        <v>25.0</v>
      </c>
      <c r="C29" s="51" t="s">
        <v>40</v>
      </c>
      <c r="D29" s="51" t="s">
        <v>61</v>
      </c>
      <c r="E29" s="51" t="s">
        <v>75</v>
      </c>
      <c r="F29" s="51"/>
      <c r="G29" s="88" t="str">
        <f t="shared" si="3"/>
        <v>Голубцы </v>
      </c>
      <c r="H29" s="57" t="s">
        <v>1</v>
      </c>
      <c r="I29" s="10"/>
      <c r="J29" s="10">
        <f>IFERROR(__xludf.DUMMYFUNCTION("""COMPUTED_VALUE"""),1.0)</f>
        <v>1</v>
      </c>
      <c r="K29" s="10"/>
      <c r="L29" s="10"/>
      <c r="M29" s="10"/>
      <c r="N29" s="10"/>
      <c r="O29" s="10"/>
      <c r="P29" s="10"/>
      <c r="Q29" s="10"/>
      <c r="R29" s="12"/>
      <c r="S29" s="12"/>
      <c r="T29" s="12"/>
      <c r="U29" s="12"/>
      <c r="V29" s="12"/>
      <c r="W29" s="12"/>
      <c r="X29" s="12"/>
      <c r="Y29" s="12"/>
    </row>
    <row r="30" ht="30.0" customHeight="1">
      <c r="A30" s="3" t="s">
        <v>404</v>
      </c>
      <c r="B30" s="47">
        <v>26.0</v>
      </c>
      <c r="C30" s="138" t="s">
        <v>31</v>
      </c>
      <c r="D30" s="138" t="s">
        <v>55</v>
      </c>
      <c r="E30" s="51" t="s">
        <v>85</v>
      </c>
      <c r="F30" s="51"/>
      <c r="G30" s="88" t="str">
        <f t="shared" si="3"/>
        <v>Поперечка </v>
      </c>
      <c r="H30" s="57" t="s">
        <v>1</v>
      </c>
      <c r="I30" s="68" t="str">
        <f>IFERROR(__xludf.DUMMYFUNCTION("""COMPUTED_VALUE"""),"S    FF")</f>
        <v>S    FF</v>
      </c>
      <c r="J30" s="68">
        <f>IFERROR(__xludf.DUMMYFUNCTION("""COMPUTED_VALUE"""),1.0)</f>
        <v>1</v>
      </c>
      <c r="K30" s="68" t="str">
        <f>IFERROR(__xludf.DUMMYFUNCTION("""COMPUTED_VALUE"""),"Олимп")</f>
        <v>Олимп</v>
      </c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ht="30.0" customHeight="1">
      <c r="A31" s="44" t="s">
        <v>405</v>
      </c>
      <c r="B31" s="47">
        <v>27.0</v>
      </c>
      <c r="C31" s="51" t="s">
        <v>25</v>
      </c>
      <c r="D31" s="62" t="s">
        <v>52</v>
      </c>
      <c r="E31" s="51" t="s">
        <v>67</v>
      </c>
      <c r="F31" s="51" t="s">
        <v>103</v>
      </c>
      <c r="G31" s="88" t="str">
        <f t="shared" si="3"/>
        <v>S   Гр  </v>
      </c>
      <c r="H31" s="57" t="s">
        <v>1</v>
      </c>
      <c r="I31" s="10" t="str">
        <f>IFERROR(__xludf.DUMMYFUNCTION("""COMPUTED_VALUE"""),"S   MP ")</f>
        <v>S   MP </v>
      </c>
      <c r="J31" s="10">
        <f>IFERROR(__xludf.DUMMYFUNCTION("""COMPUTED_VALUE"""),2.0)</f>
        <v>2</v>
      </c>
      <c r="K31" s="10" t="str">
        <f>IFERROR(__xludf.DUMMYFUNCTION("""COMPUTED_VALUE"""),"Олимп")</f>
        <v>Олимп</v>
      </c>
      <c r="L31" s="10"/>
      <c r="M31" s="10"/>
      <c r="N31" s="10"/>
      <c r="O31" s="10"/>
      <c r="P31" s="10"/>
      <c r="Q31" s="10"/>
      <c r="R31" s="12"/>
      <c r="S31" s="12"/>
      <c r="T31" s="12"/>
      <c r="U31" s="12"/>
      <c r="V31" s="12"/>
      <c r="W31" s="12"/>
      <c r="X31" s="12"/>
      <c r="Y31" s="12"/>
    </row>
    <row r="32" ht="30.0" customHeight="1">
      <c r="A32" s="77" t="s">
        <v>406</v>
      </c>
      <c r="B32" s="87">
        <v>50.0</v>
      </c>
      <c r="C32" s="51" t="s">
        <v>25</v>
      </c>
      <c r="D32" s="51" t="s">
        <v>55</v>
      </c>
      <c r="E32" s="51" t="s">
        <v>97</v>
      </c>
      <c r="F32" s="62" t="s">
        <v>103</v>
      </c>
      <c r="G32" s="88" t="str">
        <f t="shared" si="3"/>
        <v>Шницель Гр  </v>
      </c>
      <c r="H32" s="57" t="s">
        <v>1</v>
      </c>
      <c r="I32" s="10" t="str">
        <f>IFERROR(__xludf.DUMMYFUNCTION("""COMPUTED_VALUE"""),"S   Гр  ")</f>
        <v>S   Гр  </v>
      </c>
      <c r="J32" s="10">
        <f>IFERROR(__xludf.DUMMYFUNCTION("""COMPUTED_VALUE"""),3.0)</f>
        <v>3</v>
      </c>
      <c r="K32" s="10" t="str">
        <f>IFERROR(__xludf.DUMMYFUNCTION("""COMPUTED_VALUE"""),"Олимп")</f>
        <v>Олимп</v>
      </c>
      <c r="L32" s="10"/>
      <c r="M32" s="10"/>
      <c r="N32" s="10"/>
      <c r="O32" s="10"/>
      <c r="P32" s="10"/>
      <c r="Q32" s="10"/>
      <c r="R32" s="12"/>
      <c r="S32" s="12"/>
      <c r="T32" s="12"/>
      <c r="U32" s="12"/>
      <c r="V32" s="12"/>
      <c r="W32" s="12"/>
      <c r="X32" s="12"/>
      <c r="Y32" s="12"/>
    </row>
    <row r="33" ht="30.0" customHeight="1">
      <c r="A33" s="77" t="s">
        <v>407</v>
      </c>
      <c r="B33" s="47">
        <v>28.0</v>
      </c>
      <c r="C33" s="51" t="s">
        <v>25</v>
      </c>
      <c r="D33" s="51" t="s">
        <v>57</v>
      </c>
      <c r="E33" s="62" t="s">
        <v>80</v>
      </c>
      <c r="F33" s="51"/>
      <c r="G33" s="88" t="str">
        <f t="shared" si="3"/>
        <v>Котл. кур </v>
      </c>
      <c r="H33" s="57" t="s">
        <v>1</v>
      </c>
      <c r="I33" s="10" t="str">
        <f>IFERROR(__xludf.DUMMYFUNCTION("""COMPUTED_VALUE"""),"S   Картошка")</f>
        <v>S   Картошка</v>
      </c>
      <c r="J33" s="10">
        <f>IFERROR(__xludf.DUMMYFUNCTION("""COMPUTED_VALUE"""),1.0)</f>
        <v>1</v>
      </c>
      <c r="K33" s="10" t="str">
        <f>IFERROR(__xludf.DUMMYFUNCTION("""COMPUTED_VALUE"""),"Олимп")</f>
        <v>Олимп</v>
      </c>
      <c r="L33" s="10"/>
      <c r="M33" s="10"/>
      <c r="N33" s="10"/>
      <c r="O33" s="10"/>
      <c r="P33" s="10"/>
      <c r="Q33" s="10"/>
      <c r="R33" s="12"/>
      <c r="S33" s="12"/>
      <c r="T33" s="12"/>
      <c r="U33" s="12"/>
      <c r="V33" s="12"/>
      <c r="W33" s="12"/>
      <c r="X33" s="12"/>
      <c r="Y33" s="12"/>
    </row>
    <row r="34" ht="30.0" customHeight="1">
      <c r="A34" s="77" t="s">
        <v>152</v>
      </c>
      <c r="B34" s="47">
        <v>29.0</v>
      </c>
      <c r="C34" s="51" t="s">
        <v>25</v>
      </c>
      <c r="D34" s="51" t="s">
        <v>55</v>
      </c>
      <c r="E34" s="51" t="s">
        <v>67</v>
      </c>
      <c r="F34" s="51" t="s">
        <v>103</v>
      </c>
      <c r="G34" s="88" t="str">
        <f t="shared" si="3"/>
        <v>S   Гр  </v>
      </c>
      <c r="H34" s="57" t="s">
        <v>1</v>
      </c>
      <c r="I34" s="10" t="str">
        <f>IFERROR(__xludf.DUMMYFUNCTION("""COMPUTED_VALUE"""),"S   Туш. кап.")</f>
        <v>S   Туш. кап.</v>
      </c>
      <c r="J34" s="10">
        <f>IFERROR(__xludf.DUMMYFUNCTION("""COMPUTED_VALUE"""),2.0)</f>
        <v>2</v>
      </c>
      <c r="K34" s="10" t="str">
        <f>IFERROR(__xludf.DUMMYFUNCTION("""COMPUTED_VALUE"""),"Олимп")</f>
        <v>Олимп</v>
      </c>
      <c r="L34" s="10"/>
      <c r="M34" s="10"/>
      <c r="N34" s="10"/>
      <c r="O34" s="10"/>
      <c r="P34" s="10"/>
      <c r="Q34" s="10"/>
      <c r="R34" s="12"/>
      <c r="S34" s="12"/>
      <c r="T34" s="12"/>
      <c r="U34" s="12"/>
      <c r="V34" s="12"/>
      <c r="W34" s="12"/>
      <c r="X34" s="12"/>
      <c r="Y34" s="12"/>
    </row>
    <row r="35" ht="30.0" customHeight="1">
      <c r="A35" s="44" t="s">
        <v>154</v>
      </c>
      <c r="B35" s="47">
        <v>30.0</v>
      </c>
      <c r="C35" s="51" t="s">
        <v>33</v>
      </c>
      <c r="D35" s="51" t="s">
        <v>48</v>
      </c>
      <c r="E35" s="51" t="s">
        <v>80</v>
      </c>
      <c r="F35" s="51" t="s">
        <v>68</v>
      </c>
      <c r="G35" s="88" t="str">
        <f t="shared" si="3"/>
        <v>Котл. кур Картошка</v>
      </c>
      <c r="H35" s="57" t="s">
        <v>1</v>
      </c>
      <c r="I35" s="10" t="str">
        <f>IFERROR(__xludf.DUMMYFUNCTION("""COMPUTED_VALUE"""),"Баса Гр  ")</f>
        <v>Баса Гр  </v>
      </c>
      <c r="J35" s="10">
        <f>IFERROR(__xludf.DUMMYFUNCTION("""COMPUTED_VALUE"""),3.0)</f>
        <v>3</v>
      </c>
      <c r="K35" s="10" t="str">
        <f>IFERROR(__xludf.DUMMYFUNCTION("""COMPUTED_VALUE"""),"Олимп")</f>
        <v>Олимп</v>
      </c>
      <c r="L35" s="10"/>
      <c r="M35" s="10"/>
      <c r="N35" s="10"/>
      <c r="O35" s="10"/>
      <c r="P35" s="10"/>
      <c r="Q35" s="10"/>
      <c r="R35" s="12"/>
      <c r="S35" s="12"/>
      <c r="T35" s="12"/>
      <c r="U35" s="12"/>
      <c r="V35" s="12"/>
      <c r="W35" s="12"/>
      <c r="X35" s="12"/>
      <c r="Y35" s="12"/>
    </row>
    <row r="36" ht="30.0" customHeight="1">
      <c r="A36" s="44" t="s">
        <v>159</v>
      </c>
      <c r="B36" s="47">
        <v>31.0</v>
      </c>
      <c r="C36" s="51" t="s">
        <v>40</v>
      </c>
      <c r="D36" s="51" t="s">
        <v>48</v>
      </c>
      <c r="E36" s="51" t="s">
        <v>94</v>
      </c>
      <c r="F36" s="62" t="s">
        <v>68</v>
      </c>
      <c r="G36" s="88" t="str">
        <f t="shared" si="3"/>
        <v>Чалахач Картошка</v>
      </c>
      <c r="H36" s="57" t="s">
        <v>1</v>
      </c>
      <c r="I36" s="10" t="str">
        <f>IFERROR(__xludf.DUMMYFUNCTION("""COMPUTED_VALUE"""),"Бл. мясо ")</f>
        <v>Бл. мясо </v>
      </c>
      <c r="J36" s="10">
        <f>IFERROR(__xludf.DUMMYFUNCTION("""COMPUTED_VALUE"""),5.0)</f>
        <v>5</v>
      </c>
      <c r="K36" s="10" t="str">
        <f>IFERROR(__xludf.DUMMYFUNCTION("""COMPUTED_VALUE"""),"Олимп")</f>
        <v>Олимп</v>
      </c>
      <c r="L36" s="10"/>
      <c r="M36" s="10"/>
      <c r="N36" s="10"/>
      <c r="O36" s="10"/>
      <c r="P36" s="10"/>
      <c r="Q36" s="10"/>
      <c r="R36" s="12"/>
      <c r="S36" s="12"/>
      <c r="T36" s="12"/>
      <c r="U36" s="12"/>
      <c r="V36" s="12"/>
      <c r="W36" s="12"/>
      <c r="X36" s="12"/>
      <c r="Y36" s="12"/>
    </row>
    <row r="37" ht="30.0" customHeight="1">
      <c r="A37" s="112" t="s">
        <v>198</v>
      </c>
      <c r="B37" s="47">
        <v>32.0</v>
      </c>
      <c r="C37" s="51" t="s">
        <v>40</v>
      </c>
      <c r="D37" s="51" t="s">
        <v>50</v>
      </c>
      <c r="E37" s="51" t="s">
        <v>80</v>
      </c>
      <c r="F37" s="51" t="s">
        <v>68</v>
      </c>
      <c r="G37" s="88" t="str">
        <f t="shared" si="3"/>
        <v>Котл. кур Картошка</v>
      </c>
      <c r="H37" s="57" t="s">
        <v>1</v>
      </c>
      <c r="I37" s="10" t="str">
        <f>IFERROR(__xludf.DUMMYFUNCTION("""COMPUTED_VALUE"""),"Бл. твор ")</f>
        <v>Бл. твор </v>
      </c>
      <c r="J37" s="10">
        <f>IFERROR(__xludf.DUMMYFUNCTION("""COMPUTED_VALUE"""),4.0)</f>
        <v>4</v>
      </c>
      <c r="K37" s="10" t="str">
        <f>IFERROR(__xludf.DUMMYFUNCTION("""COMPUTED_VALUE"""),"Олимп")</f>
        <v>Олимп</v>
      </c>
      <c r="L37" s="10"/>
      <c r="M37" s="10"/>
      <c r="N37" s="10"/>
      <c r="O37" s="10"/>
      <c r="P37" s="10"/>
      <c r="Q37" s="10"/>
      <c r="R37" s="12"/>
      <c r="S37" s="12"/>
      <c r="T37" s="12"/>
      <c r="U37" s="12"/>
      <c r="V37" s="12"/>
      <c r="W37" s="12"/>
      <c r="X37" s="12"/>
      <c r="Y37" s="12"/>
    </row>
    <row r="38" ht="30.0" customHeight="1">
      <c r="A38" s="72" t="s">
        <v>200</v>
      </c>
      <c r="B38" s="47">
        <v>33.0</v>
      </c>
      <c r="C38" s="51" t="s">
        <v>31</v>
      </c>
      <c r="D38" s="51" t="s">
        <v>50</v>
      </c>
      <c r="E38" s="51" t="s">
        <v>91</v>
      </c>
      <c r="F38" s="62" t="s">
        <v>90</v>
      </c>
      <c r="G38" s="88" t="str">
        <f t="shared" si="3"/>
        <v>табака  Туш. кап.</v>
      </c>
      <c r="H38" s="57" t="s">
        <v>1</v>
      </c>
      <c r="I38" s="10" t="str">
        <f>IFERROR(__xludf.DUMMYFUNCTION("""COMPUTED_VALUE"""),"Вар.Кар ")</f>
        <v>Вар.Кар </v>
      </c>
      <c r="J38" s="10">
        <f>IFERROR(__xludf.DUMMYFUNCTION("""COMPUTED_VALUE"""),7.0)</f>
        <v>7</v>
      </c>
      <c r="K38" s="10" t="str">
        <f>IFERROR(__xludf.DUMMYFUNCTION("""COMPUTED_VALUE"""),"Олимп")</f>
        <v>Олимп</v>
      </c>
      <c r="L38" s="10"/>
      <c r="M38" s="10"/>
      <c r="N38" s="10"/>
      <c r="O38" s="10"/>
      <c r="P38" s="10"/>
      <c r="Q38" s="10"/>
      <c r="R38" s="12"/>
      <c r="S38" s="12"/>
      <c r="T38" s="12"/>
      <c r="U38" s="12"/>
      <c r="V38" s="12"/>
      <c r="W38" s="12"/>
      <c r="X38" s="12"/>
      <c r="Y38" s="12"/>
    </row>
    <row r="39" ht="30.0" customHeight="1">
      <c r="A39" s="77" t="s">
        <v>162</v>
      </c>
      <c r="B39" s="47">
        <v>34.0</v>
      </c>
      <c r="C39" s="62" t="s">
        <v>25</v>
      </c>
      <c r="D39" s="62" t="s">
        <v>50</v>
      </c>
      <c r="E39" s="62" t="s">
        <v>80</v>
      </c>
      <c r="F39" s="93" t="s">
        <v>68</v>
      </c>
      <c r="G39" s="88" t="str">
        <f t="shared" si="3"/>
        <v>Котл. кур Картошка</v>
      </c>
      <c r="H39" s="57" t="s">
        <v>1</v>
      </c>
      <c r="I39" s="68" t="str">
        <f>IFERROR(__xludf.DUMMYFUNCTION("""COMPUTED_VALUE"""),"Голубцы ")</f>
        <v>Голубцы </v>
      </c>
      <c r="J39" s="68">
        <f>IFERROR(__xludf.DUMMYFUNCTION("""COMPUTED_VALUE"""),3.0)</f>
        <v>3</v>
      </c>
      <c r="K39" s="68" t="str">
        <f>IFERROR(__xludf.DUMMYFUNCTION("""COMPUTED_VALUE"""),"Олимп")</f>
        <v>Олимп</v>
      </c>
      <c r="L39" s="68"/>
      <c r="M39" s="68"/>
      <c r="N39" s="68"/>
      <c r="O39" s="68"/>
      <c r="P39" s="68"/>
      <c r="Q39" s="68"/>
      <c r="R39" s="106"/>
      <c r="S39" s="68"/>
      <c r="T39" s="68"/>
      <c r="U39" s="68"/>
      <c r="V39" s="68"/>
      <c r="W39" s="68"/>
      <c r="X39" s="68"/>
      <c r="Y39" s="68"/>
    </row>
    <row r="40" ht="30.0" customHeight="1">
      <c r="A40" s="44" t="s">
        <v>408</v>
      </c>
      <c r="B40" s="47">
        <v>35.0</v>
      </c>
      <c r="C40" s="51" t="s">
        <v>35</v>
      </c>
      <c r="D40" s="51" t="s">
        <v>50</v>
      </c>
      <c r="E40" s="51" t="s">
        <v>80</v>
      </c>
      <c r="F40" s="51" t="s">
        <v>68</v>
      </c>
      <c r="G40" s="88" t="str">
        <f t="shared" si="3"/>
        <v>Котл. кур Картошка</v>
      </c>
      <c r="H40" s="57" t="s">
        <v>1</v>
      </c>
      <c r="I40" s="68" t="str">
        <f>IFERROR(__xludf.DUMMYFUNCTION("""COMPUTED_VALUE"""),"Гуляш  FF")</f>
        <v>Гуляш  FF</v>
      </c>
      <c r="J40" s="68">
        <f>IFERROR(__xludf.DUMMYFUNCTION("""COMPUTED_VALUE"""),2.0)</f>
        <v>2</v>
      </c>
      <c r="K40" s="68" t="str">
        <f>IFERROR(__xludf.DUMMYFUNCTION("""COMPUTED_VALUE"""),"Олимп")</f>
        <v>Олимп</v>
      </c>
      <c r="L40" s="68"/>
      <c r="M40" s="68"/>
      <c r="N40" s="68"/>
      <c r="O40" s="68"/>
      <c r="P40" s="68"/>
      <c r="Q40" s="68"/>
      <c r="R40" s="106"/>
      <c r="S40" s="68"/>
      <c r="T40" s="68"/>
      <c r="U40" s="68"/>
      <c r="V40" s="68"/>
      <c r="W40" s="68"/>
      <c r="X40" s="68"/>
      <c r="Y40" s="68"/>
    </row>
    <row r="41" ht="30.0" customHeight="1">
      <c r="A41" s="77" t="s">
        <v>165</v>
      </c>
      <c r="B41" s="47">
        <v>36.0</v>
      </c>
      <c r="C41" s="51" t="s">
        <v>25</v>
      </c>
      <c r="D41" s="51" t="s">
        <v>55</v>
      </c>
      <c r="E41" s="62" t="s">
        <v>65</v>
      </c>
      <c r="F41" s="62"/>
      <c r="G41" s="88" t="str">
        <f t="shared" si="3"/>
        <v>Вар.Кар </v>
      </c>
      <c r="H41" s="57" t="s">
        <v>1</v>
      </c>
      <c r="I41" s="68" t="str">
        <f>IFERROR(__xludf.DUMMYFUNCTION("""COMPUTED_VALUE"""),"Гуляш MP ")</f>
        <v>Гуляш MP </v>
      </c>
      <c r="J41" s="68">
        <f>IFERROR(__xludf.DUMMYFUNCTION("""COMPUTED_VALUE"""),2.0)</f>
        <v>2</v>
      </c>
      <c r="K41" s="68" t="str">
        <f>IFERROR(__xludf.DUMMYFUNCTION("""COMPUTED_VALUE"""),"Олимп")</f>
        <v>Олимп</v>
      </c>
      <c r="L41" s="68"/>
      <c r="M41" s="68"/>
      <c r="N41" s="68"/>
      <c r="O41" s="68"/>
      <c r="P41" s="68"/>
      <c r="Q41" s="68"/>
      <c r="R41" s="106"/>
      <c r="S41" s="68"/>
      <c r="T41" s="68"/>
      <c r="U41" s="68"/>
      <c r="V41" s="68"/>
      <c r="W41" s="68"/>
      <c r="X41" s="68"/>
      <c r="Y41" s="68"/>
    </row>
    <row r="42" ht="30.0" customHeight="1">
      <c r="A42" s="77" t="s">
        <v>206</v>
      </c>
      <c r="B42" s="47">
        <v>37.0</v>
      </c>
      <c r="C42" s="51" t="s">
        <v>35</v>
      </c>
      <c r="D42" s="51" t="s">
        <v>50</v>
      </c>
      <c r="E42" s="62" t="s">
        <v>76</v>
      </c>
      <c r="F42" s="51" t="s">
        <v>111</v>
      </c>
      <c r="G42" s="88" t="str">
        <f t="shared" si="3"/>
        <v>Гуляш MP </v>
      </c>
      <c r="H42" s="57" t="s">
        <v>1</v>
      </c>
      <c r="I42" s="68" t="str">
        <f>IFERROR(__xludf.DUMMYFUNCTION("""COMPUTED_VALUE"""),"Жульен ")</f>
        <v>Жульен </v>
      </c>
      <c r="J42" s="68">
        <f>IFERROR(__xludf.DUMMYFUNCTION("""COMPUTED_VALUE"""),0.0)</f>
        <v>0</v>
      </c>
      <c r="K42" s="68" t="str">
        <f>IFERROR(__xludf.DUMMYFUNCTION("""COMPUTED_VALUE"""),"Олимп")</f>
        <v>Олимп</v>
      </c>
      <c r="L42" s="68"/>
      <c r="M42" s="68"/>
      <c r="N42" s="68"/>
      <c r="O42" s="68"/>
      <c r="P42" s="68"/>
      <c r="Q42" s="68"/>
      <c r="R42" s="106"/>
      <c r="S42" s="68"/>
      <c r="T42" s="68"/>
      <c r="U42" s="68"/>
      <c r="V42" s="68"/>
      <c r="W42" s="68"/>
      <c r="X42" s="68"/>
      <c r="Y42" s="68"/>
    </row>
    <row r="43" ht="30.0" customHeight="1">
      <c r="A43" s="44" t="s">
        <v>167</v>
      </c>
      <c r="B43" s="47">
        <v>38.0</v>
      </c>
      <c r="C43" s="51" t="s">
        <v>31</v>
      </c>
      <c r="D43" s="51" t="s">
        <v>55</v>
      </c>
      <c r="E43" s="51" t="s">
        <v>71</v>
      </c>
      <c r="F43" s="51"/>
      <c r="G43" s="88" t="str">
        <f t="shared" si="3"/>
        <v>Бл. мясо </v>
      </c>
      <c r="H43" s="57" t="s">
        <v>1</v>
      </c>
      <c r="I43" s="10" t="str">
        <f>IFERROR(__xludf.DUMMYFUNCTION("""COMPUTED_VALUE"""),"Котл. кур ")</f>
        <v>Котл. кур </v>
      </c>
      <c r="J43" s="10">
        <f>IFERROR(__xludf.DUMMYFUNCTION("""COMPUTED_VALUE"""),3.0)</f>
        <v>3</v>
      </c>
      <c r="K43" s="10" t="str">
        <f>IFERROR(__xludf.DUMMYFUNCTION("""COMPUTED_VALUE"""),"Олимп")</f>
        <v>Олимп</v>
      </c>
      <c r="L43" s="10"/>
      <c r="M43" s="10"/>
      <c r="N43" s="10"/>
      <c r="O43" s="10"/>
      <c r="P43" s="10"/>
      <c r="Q43" s="10"/>
      <c r="R43" s="12"/>
      <c r="S43" s="12"/>
      <c r="T43" s="12"/>
      <c r="U43" s="12"/>
      <c r="V43" s="12"/>
      <c r="W43" s="12"/>
      <c r="X43" s="12"/>
      <c r="Y43" s="12"/>
    </row>
    <row r="44" ht="30.0" customHeight="1">
      <c r="A44" s="44" t="s">
        <v>170</v>
      </c>
      <c r="B44" s="47">
        <v>39.0</v>
      </c>
      <c r="C44" s="51" t="s">
        <v>45</v>
      </c>
      <c r="D44" s="51" t="s">
        <v>57</v>
      </c>
      <c r="E44" s="51" t="s">
        <v>71</v>
      </c>
      <c r="F44" s="51"/>
      <c r="G44" s="88" t="str">
        <f t="shared" si="3"/>
        <v>Бл. мясо </v>
      </c>
      <c r="H44" s="57" t="s">
        <v>1</v>
      </c>
      <c r="I44" s="10" t="str">
        <f>IFERROR(__xludf.DUMMYFUNCTION("""COMPUTED_VALUE"""),"Котл. кур  FF")</f>
        <v>Котл. кур  FF</v>
      </c>
      <c r="J44" s="10">
        <f>IFERROR(__xludf.DUMMYFUNCTION("""COMPUTED_VALUE"""),1.0)</f>
        <v>1</v>
      </c>
      <c r="K44" s="10" t="str">
        <f>IFERROR(__xludf.DUMMYFUNCTION("""COMPUTED_VALUE"""),"Олимп")</f>
        <v>Олимп</v>
      </c>
      <c r="L44" s="10"/>
      <c r="M44" s="10"/>
      <c r="N44" s="10"/>
      <c r="O44" s="10"/>
      <c r="P44" s="10"/>
      <c r="Q44" s="10"/>
      <c r="R44" s="12"/>
      <c r="S44" s="12"/>
      <c r="T44" s="12"/>
      <c r="U44" s="12"/>
      <c r="V44" s="12"/>
      <c r="W44" s="12"/>
      <c r="X44" s="12"/>
      <c r="Y44" s="12"/>
    </row>
    <row r="45" ht="30.0" customHeight="1">
      <c r="A45" s="77" t="s">
        <v>213</v>
      </c>
      <c r="B45" s="47">
        <v>40.0</v>
      </c>
      <c r="C45" s="51" t="s">
        <v>25</v>
      </c>
      <c r="D45" s="51" t="s">
        <v>48</v>
      </c>
      <c r="E45" s="62" t="s">
        <v>73</v>
      </c>
      <c r="F45" s="51"/>
      <c r="G45" s="88" t="str">
        <f t="shared" si="3"/>
        <v>Бл. твор </v>
      </c>
      <c r="H45" s="57" t="s">
        <v>1</v>
      </c>
      <c r="I45" s="10" t="str">
        <f>IFERROR(__xludf.DUMMYFUNCTION("""COMPUTED_VALUE"""),"Котл. кур Гр  ")</f>
        <v>Котл. кур Гр  </v>
      </c>
      <c r="J45" s="10">
        <f>IFERROR(__xludf.DUMMYFUNCTION("""COMPUTED_VALUE"""),1.0)</f>
        <v>1</v>
      </c>
      <c r="K45" s="10" t="str">
        <f>IFERROR(__xludf.DUMMYFUNCTION("""COMPUTED_VALUE"""),"Олимп")</f>
        <v>Олимп</v>
      </c>
      <c r="L45" s="10"/>
      <c r="M45" s="10"/>
      <c r="N45" s="10"/>
      <c r="O45" s="10"/>
      <c r="P45" s="10"/>
      <c r="Q45" s="10"/>
      <c r="R45" s="12"/>
      <c r="S45" s="12"/>
      <c r="T45" s="12"/>
      <c r="U45" s="12"/>
      <c r="V45" s="12"/>
      <c r="W45" s="12"/>
      <c r="X45" s="12"/>
      <c r="Y45" s="12"/>
    </row>
    <row r="46" ht="30.0" customHeight="1">
      <c r="A46" s="3" t="s">
        <v>337</v>
      </c>
      <c r="B46" s="47">
        <v>41.0</v>
      </c>
      <c r="C46" s="62" t="s">
        <v>28</v>
      </c>
      <c r="D46" s="62" t="s">
        <v>52</v>
      </c>
      <c r="E46" s="62" t="s">
        <v>65</v>
      </c>
      <c r="F46" s="93"/>
      <c r="G46" s="55" t="str">
        <f t="shared" si="3"/>
        <v>Вар.Кар </v>
      </c>
      <c r="H46" s="57" t="s">
        <v>1</v>
      </c>
      <c r="I46" s="10" t="str">
        <f>IFERROR(__xludf.DUMMYFUNCTION("""COMPUTED_VALUE"""),"Котл. кур Картошка")</f>
        <v>Котл. кур Картошка</v>
      </c>
      <c r="J46" s="10">
        <f>IFERROR(__xludf.DUMMYFUNCTION("""COMPUTED_VALUE"""),4.0)</f>
        <v>4</v>
      </c>
      <c r="K46" s="10" t="str">
        <f>IFERROR(__xludf.DUMMYFUNCTION("""COMPUTED_VALUE"""),"Олимп")</f>
        <v>Олимп</v>
      </c>
      <c r="L46" s="10"/>
      <c r="M46" s="10"/>
      <c r="N46" s="10"/>
      <c r="O46" s="10"/>
      <c r="P46" s="10"/>
      <c r="Q46" s="10"/>
      <c r="R46" s="12"/>
      <c r="S46" s="12"/>
      <c r="T46" s="12"/>
      <c r="U46" s="12"/>
      <c r="V46" s="12"/>
      <c r="W46" s="12"/>
      <c r="X46" s="12"/>
      <c r="Y46" s="12"/>
    </row>
    <row r="47" ht="30.0" customHeight="1">
      <c r="A47" s="77" t="s">
        <v>181</v>
      </c>
      <c r="B47" s="47">
        <v>42.0</v>
      </c>
      <c r="C47" s="51" t="s">
        <v>40</v>
      </c>
      <c r="D47" s="51" t="s">
        <v>57</v>
      </c>
      <c r="E47" s="51" t="s">
        <v>73</v>
      </c>
      <c r="F47" s="51"/>
      <c r="G47" s="88" t="str">
        <f t="shared" si="3"/>
        <v>Бл. твор </v>
      </c>
      <c r="H47" s="57" t="s">
        <v>1</v>
      </c>
      <c r="I47" s="10" t="str">
        <f>IFERROR(__xludf.DUMMYFUNCTION("""COMPUTED_VALUE"""),"Поперечка ")</f>
        <v>Поперечка </v>
      </c>
      <c r="J47" s="10">
        <f>IFERROR(__xludf.DUMMYFUNCTION("""COMPUTED_VALUE"""),3.0)</f>
        <v>3</v>
      </c>
      <c r="K47" s="10" t="str">
        <f>IFERROR(__xludf.DUMMYFUNCTION("""COMPUTED_VALUE"""),"Олимп")</f>
        <v>Олимп</v>
      </c>
      <c r="L47" s="10"/>
      <c r="M47" s="10"/>
      <c r="N47" s="10"/>
      <c r="O47" s="10"/>
      <c r="P47" s="10"/>
      <c r="Q47" s="10"/>
      <c r="R47" s="12"/>
      <c r="S47" s="12"/>
      <c r="T47" s="12"/>
      <c r="U47" s="12"/>
      <c r="V47" s="12"/>
      <c r="W47" s="12"/>
      <c r="X47" s="12"/>
      <c r="Y47" s="12"/>
    </row>
    <row r="48" ht="30.0" customHeight="1">
      <c r="A48" s="91" t="s">
        <v>184</v>
      </c>
      <c r="B48" s="47">
        <v>43.0</v>
      </c>
      <c r="C48" s="51" t="s">
        <v>28</v>
      </c>
      <c r="D48" s="51" t="s">
        <v>48</v>
      </c>
      <c r="E48" s="51" t="s">
        <v>67</v>
      </c>
      <c r="F48" s="62" t="s">
        <v>103</v>
      </c>
      <c r="G48" s="55" t="str">
        <f t="shared" si="3"/>
        <v>S   Гр  </v>
      </c>
      <c r="H48" s="57" t="s">
        <v>1</v>
      </c>
      <c r="I48" s="10" t="str">
        <f>IFERROR(__xludf.DUMMYFUNCTION("""COMPUTED_VALUE"""),"Поперечка Гр  ")</f>
        <v>Поперечка Гр  </v>
      </c>
      <c r="J48" s="10">
        <f>IFERROR(__xludf.DUMMYFUNCTION("""COMPUTED_VALUE"""),1.0)</f>
        <v>1</v>
      </c>
      <c r="K48" s="10" t="str">
        <f>IFERROR(__xludf.DUMMYFUNCTION("""COMPUTED_VALUE"""),"Олимп")</f>
        <v>Олимп</v>
      </c>
      <c r="L48" s="10"/>
      <c r="M48" s="10"/>
      <c r="N48" s="10"/>
      <c r="O48" s="10"/>
      <c r="P48" s="10"/>
      <c r="Q48" s="10"/>
      <c r="R48" s="12"/>
      <c r="S48" s="12"/>
      <c r="T48" s="12"/>
      <c r="U48" s="12"/>
      <c r="V48" s="12"/>
      <c r="W48" s="12"/>
      <c r="X48" s="12"/>
      <c r="Y48" s="12"/>
    </row>
    <row r="49" ht="30.0" customHeight="1">
      <c r="A49" s="3" t="s">
        <v>409</v>
      </c>
      <c r="B49" s="47">
        <v>44.0</v>
      </c>
      <c r="C49" s="51" t="s">
        <v>28</v>
      </c>
      <c r="D49" s="51" t="s">
        <v>57</v>
      </c>
      <c r="E49" s="51" t="s">
        <v>94</v>
      </c>
      <c r="F49" s="51"/>
      <c r="G49" s="55" t="str">
        <f t="shared" si="3"/>
        <v>Чалахач </v>
      </c>
      <c r="H49" s="57" t="s">
        <v>1</v>
      </c>
      <c r="I49" s="10" t="str">
        <f>IFERROR(__xludf.DUMMYFUNCTION("""COMPUTED_VALUE"""),"Чалахач ")</f>
        <v>Чалахач </v>
      </c>
      <c r="J49" s="10">
        <f>IFERROR(__xludf.DUMMYFUNCTION("""COMPUTED_VALUE"""),3.0)</f>
        <v>3</v>
      </c>
      <c r="K49" s="10" t="str">
        <f>IFERROR(__xludf.DUMMYFUNCTION("""COMPUTED_VALUE"""),"Олимп")</f>
        <v>Олимп</v>
      </c>
      <c r="L49" s="10"/>
      <c r="M49" s="10"/>
      <c r="N49" s="10"/>
      <c r="O49" s="10"/>
      <c r="P49" s="10"/>
      <c r="Q49" s="10"/>
      <c r="R49" s="12"/>
      <c r="S49" s="12"/>
      <c r="T49" s="12"/>
      <c r="U49" s="12"/>
      <c r="V49" s="12"/>
      <c r="W49" s="12"/>
      <c r="X49" s="12"/>
      <c r="Y49" s="12"/>
    </row>
    <row r="50" ht="30.0" customHeight="1">
      <c r="A50" s="77" t="s">
        <v>187</v>
      </c>
      <c r="B50" s="47">
        <v>45.0</v>
      </c>
      <c r="C50" s="51" t="s">
        <v>33</v>
      </c>
      <c r="D50" s="51" t="s">
        <v>55</v>
      </c>
      <c r="E50" s="51" t="s">
        <v>76</v>
      </c>
      <c r="F50" s="62" t="s">
        <v>64</v>
      </c>
      <c r="G50" s="55" t="str">
        <f t="shared" si="3"/>
        <v>Гуляш  FF</v>
      </c>
      <c r="H50" s="57" t="s">
        <v>1</v>
      </c>
      <c r="I50" s="10" t="str">
        <f>IFERROR(__xludf.DUMMYFUNCTION("""COMPUTED_VALUE"""),"Чалахач Гр  ")</f>
        <v>Чалахач Гр  </v>
      </c>
      <c r="J50" s="10">
        <f>IFERROR(__xludf.DUMMYFUNCTION("""COMPUTED_VALUE"""),1.0)</f>
        <v>1</v>
      </c>
      <c r="K50" s="10" t="str">
        <f>IFERROR(__xludf.DUMMYFUNCTION("""COMPUTED_VALUE"""),"Олимп")</f>
        <v>Олимп</v>
      </c>
      <c r="L50" s="10"/>
      <c r="M50" s="10"/>
      <c r="N50" s="10"/>
      <c r="O50" s="10"/>
      <c r="P50" s="10"/>
      <c r="Q50" s="10"/>
      <c r="R50" s="12"/>
      <c r="S50" s="12"/>
      <c r="T50" s="12"/>
      <c r="U50" s="12"/>
      <c r="V50" s="12"/>
      <c r="W50" s="12"/>
      <c r="X50" s="12"/>
      <c r="Y50" s="12"/>
    </row>
    <row r="51" ht="30.0" customHeight="1">
      <c r="A51" s="3" t="s">
        <v>189</v>
      </c>
      <c r="B51" s="47">
        <v>46.0</v>
      </c>
      <c r="C51" s="51" t="s">
        <v>25</v>
      </c>
      <c r="D51" s="51" t="s">
        <v>57</v>
      </c>
      <c r="E51" s="51" t="s">
        <v>80</v>
      </c>
      <c r="F51" s="51" t="s">
        <v>64</v>
      </c>
      <c r="G51" s="55" t="str">
        <f t="shared" si="3"/>
        <v>Котл. кур  FF</v>
      </c>
      <c r="H51" s="57" t="s">
        <v>1</v>
      </c>
      <c r="I51" s="10" t="str">
        <f>IFERROR(__xludf.DUMMYFUNCTION("""COMPUTED_VALUE"""),"Чалахач Картошка")</f>
        <v>Чалахач Картошка</v>
      </c>
      <c r="J51" s="10">
        <f>IFERROR(__xludf.DUMMYFUNCTION("""COMPUTED_VALUE"""),1.0)</f>
        <v>1</v>
      </c>
      <c r="K51" s="10" t="str">
        <f>IFERROR(__xludf.DUMMYFUNCTION("""COMPUTED_VALUE"""),"Олимп")</f>
        <v>Олимп</v>
      </c>
      <c r="L51" s="10"/>
      <c r="M51" s="10"/>
      <c r="N51" s="10"/>
      <c r="O51" s="10"/>
      <c r="P51" s="10"/>
      <c r="Q51" s="10"/>
      <c r="R51" s="12"/>
      <c r="S51" s="12"/>
      <c r="T51" s="12"/>
      <c r="U51" s="12"/>
      <c r="V51" s="12"/>
      <c r="W51" s="12"/>
      <c r="X51" s="12"/>
      <c r="Y51" s="12"/>
    </row>
    <row r="52" ht="30.0" customHeight="1">
      <c r="A52" s="77" t="s">
        <v>193</v>
      </c>
      <c r="B52" s="47">
        <v>47.0</v>
      </c>
      <c r="C52" s="51" t="s">
        <v>16</v>
      </c>
      <c r="D52" s="51" t="s">
        <v>61</v>
      </c>
      <c r="E52" s="51" t="s">
        <v>67</v>
      </c>
      <c r="F52" s="51" t="s">
        <v>111</v>
      </c>
      <c r="G52" s="55" t="str">
        <f t="shared" si="3"/>
        <v>S   MP </v>
      </c>
      <c r="H52" s="57" t="s">
        <v>1</v>
      </c>
      <c r="I52" s="10" t="str">
        <f>IFERROR(__xludf.DUMMYFUNCTION("""COMPUTED_VALUE"""),"Шницель ")</f>
        <v>Шницель </v>
      </c>
      <c r="J52" s="10">
        <f>IFERROR(__xludf.DUMMYFUNCTION("""COMPUTED_VALUE"""),1.0)</f>
        <v>1</v>
      </c>
      <c r="K52" s="10" t="str">
        <f>IFERROR(__xludf.DUMMYFUNCTION("""COMPUTED_VALUE"""),"Олимп")</f>
        <v>Олимп</v>
      </c>
      <c r="L52" s="10"/>
      <c r="M52" s="10"/>
      <c r="N52" s="10"/>
      <c r="O52" s="10"/>
      <c r="P52" s="10"/>
      <c r="Q52" s="10"/>
      <c r="R52" s="12"/>
      <c r="S52" s="12"/>
      <c r="T52" s="12"/>
      <c r="U52" s="12"/>
      <c r="V52" s="12"/>
      <c r="W52" s="12"/>
      <c r="X52" s="12"/>
      <c r="Y52" s="12"/>
    </row>
    <row r="53" ht="30.0" customHeight="1">
      <c r="A53" s="77" t="s">
        <v>358</v>
      </c>
      <c r="B53" s="47">
        <v>48.0</v>
      </c>
      <c r="C53" s="62" t="s">
        <v>35</v>
      </c>
      <c r="D53" s="51" t="s">
        <v>50</v>
      </c>
      <c r="E53" s="62" t="s">
        <v>76</v>
      </c>
      <c r="F53" s="128" t="s">
        <v>111</v>
      </c>
      <c r="G53" s="88" t="str">
        <f t="shared" si="3"/>
        <v>Гуляш MP </v>
      </c>
      <c r="H53" s="57" t="s">
        <v>1</v>
      </c>
      <c r="I53" s="10" t="str">
        <f>IFERROR(__xludf.DUMMYFUNCTION("""COMPUTED_VALUE"""),"Шницель Гр  ")</f>
        <v>Шницель Гр  </v>
      </c>
      <c r="J53" s="10">
        <f>IFERROR(__xludf.DUMMYFUNCTION("""COMPUTED_VALUE"""),1.0)</f>
        <v>1</v>
      </c>
      <c r="K53" s="10" t="str">
        <f>IFERROR(__xludf.DUMMYFUNCTION("""COMPUTED_VALUE"""),"Олимп")</f>
        <v>Олимп</v>
      </c>
      <c r="L53" s="10"/>
      <c r="M53" s="10"/>
      <c r="N53" s="10"/>
      <c r="O53" s="10"/>
      <c r="P53" s="10"/>
      <c r="Q53" s="10"/>
      <c r="R53" s="12"/>
      <c r="S53" s="12"/>
      <c r="T53" s="12"/>
      <c r="U53" s="12"/>
      <c r="V53" s="12"/>
      <c r="W53" s="12"/>
      <c r="X53" s="12"/>
      <c r="Y53" s="12"/>
    </row>
    <row r="54" ht="30.0" customHeight="1">
      <c r="A54" s="44" t="s">
        <v>199</v>
      </c>
      <c r="B54" s="47">
        <v>49.0</v>
      </c>
      <c r="C54" s="51" t="s">
        <v>45</v>
      </c>
      <c r="D54" s="51" t="s">
        <v>57</v>
      </c>
      <c r="E54" s="51" t="s">
        <v>71</v>
      </c>
      <c r="F54" s="51"/>
      <c r="G54" s="88" t="str">
        <f t="shared" si="3"/>
        <v>Бл. мясо </v>
      </c>
      <c r="H54" s="57" t="s">
        <v>1</v>
      </c>
      <c r="I54" s="10" t="str">
        <f>IFERROR(__xludf.DUMMYFUNCTION("""COMPUTED_VALUE"""),"Шницель Картошка")</f>
        <v>Шницель Картошка</v>
      </c>
      <c r="J54" s="10">
        <f>IFERROR(__xludf.DUMMYFUNCTION("""COMPUTED_VALUE"""),1.0)</f>
        <v>1</v>
      </c>
      <c r="K54" s="10" t="str">
        <f>IFERROR(__xludf.DUMMYFUNCTION("""COMPUTED_VALUE"""),"Олимп")</f>
        <v>Олимп</v>
      </c>
      <c r="L54" s="10"/>
      <c r="M54" s="10"/>
      <c r="N54" s="10"/>
      <c r="O54" s="10"/>
      <c r="P54" s="10"/>
      <c r="Q54" s="10"/>
      <c r="R54" s="12"/>
      <c r="S54" s="12"/>
      <c r="T54" s="12"/>
      <c r="U54" s="12"/>
      <c r="V54" s="12"/>
      <c r="W54" s="12"/>
      <c r="X54" s="12"/>
      <c r="Y54" s="12"/>
    </row>
    <row r="55" ht="30.0" customHeight="1">
      <c r="A55" s="77" t="s">
        <v>201</v>
      </c>
      <c r="B55" s="47">
        <v>50.0</v>
      </c>
      <c r="C55" s="51" t="s">
        <v>25</v>
      </c>
      <c r="D55" s="51" t="s">
        <v>50</v>
      </c>
      <c r="E55" s="51" t="s">
        <v>65</v>
      </c>
      <c r="F55" s="62"/>
      <c r="G55" s="88" t="str">
        <f t="shared" si="3"/>
        <v>Вар.Кар </v>
      </c>
      <c r="H55" s="57" t="s">
        <v>1</v>
      </c>
      <c r="I55" s="10" t="str">
        <f>IFERROR(__xludf.DUMMYFUNCTION("""COMPUTED_VALUE"""),"Шницель Туш. кап.")</f>
        <v>Шницель Туш. кап.</v>
      </c>
      <c r="J55" s="10">
        <f>IFERROR(__xludf.DUMMYFUNCTION("""COMPUTED_VALUE"""),1.0)</f>
        <v>1</v>
      </c>
      <c r="K55" s="10" t="str">
        <f>IFERROR(__xludf.DUMMYFUNCTION("""COMPUTED_VALUE"""),"Олимп")</f>
        <v>Олимп</v>
      </c>
      <c r="L55" s="10"/>
      <c r="M55" s="10"/>
      <c r="N55" s="10"/>
      <c r="O55" s="10"/>
      <c r="P55" s="10"/>
      <c r="Q55" s="10"/>
      <c r="R55" s="12"/>
      <c r="S55" s="12"/>
      <c r="T55" s="12"/>
      <c r="U55" s="12"/>
      <c r="V55" s="12"/>
      <c r="W55" s="12"/>
      <c r="X55" s="12"/>
      <c r="Y55" s="12"/>
    </row>
    <row r="56" ht="30.0" customHeight="1">
      <c r="F56" s="62"/>
      <c r="G56" s="88" t="str">
        <f> CONCATENATE(E92," ", F56)</f>
        <v>Бл. твор </v>
      </c>
      <c r="H56" s="57" t="s">
        <v>1</v>
      </c>
      <c r="I56" s="10" t="str">
        <f>IFERROR(__xludf.DUMMYFUNCTION("""COMPUTED_VALUE"""),"табака  ")</f>
        <v>табака  </v>
      </c>
      <c r="J56" s="10">
        <f>IFERROR(__xludf.DUMMYFUNCTION("""COMPUTED_VALUE"""),1.0)</f>
        <v>1</v>
      </c>
      <c r="K56" s="10" t="str">
        <f>IFERROR(__xludf.DUMMYFUNCTION("""COMPUTED_VALUE"""),"Олимп")</f>
        <v>Олимп</v>
      </c>
      <c r="L56" s="10"/>
      <c r="M56" s="10"/>
      <c r="N56" s="10"/>
      <c r="O56" s="10"/>
      <c r="P56" s="10"/>
      <c r="Q56" s="10"/>
      <c r="R56" s="12"/>
      <c r="S56" s="12"/>
      <c r="T56" s="12"/>
      <c r="U56" s="12"/>
      <c r="V56" s="12"/>
      <c r="W56" s="12"/>
      <c r="X56" s="12"/>
      <c r="Y56" s="12"/>
    </row>
    <row r="57" ht="30.0" customHeight="1">
      <c r="A57" s="3" t="s">
        <v>214</v>
      </c>
      <c r="B57" s="47">
        <v>52.0</v>
      </c>
      <c r="C57" s="51" t="s">
        <v>25</v>
      </c>
      <c r="D57" s="51" t="s">
        <v>52</v>
      </c>
      <c r="E57" s="51" t="s">
        <v>94</v>
      </c>
      <c r="F57" s="62"/>
      <c r="G57" s="88" t="str">
        <f t="shared" ref="G57:G67" si="4"> CONCATENATE(E57," ", F57)</f>
        <v>Чалахач </v>
      </c>
      <c r="H57" s="57" t="s">
        <v>1</v>
      </c>
      <c r="I57" s="10" t="str">
        <f>IFERROR(__xludf.DUMMYFUNCTION("""COMPUTED_VALUE"""),"табака  MP ")</f>
        <v>табака  MP </v>
      </c>
      <c r="J57" s="10">
        <f>IFERROR(__xludf.DUMMYFUNCTION("""COMPUTED_VALUE"""),1.0)</f>
        <v>1</v>
      </c>
      <c r="K57" s="10" t="str">
        <f>IFERROR(__xludf.DUMMYFUNCTION("""COMPUTED_VALUE"""),"Олимп")</f>
        <v>Олимп</v>
      </c>
      <c r="L57" s="10"/>
      <c r="M57" s="10"/>
      <c r="N57" s="10"/>
      <c r="O57" s="10"/>
      <c r="P57" s="10"/>
      <c r="Q57" s="10"/>
      <c r="R57" s="12"/>
      <c r="S57" s="12"/>
      <c r="T57" s="12"/>
      <c r="U57" s="12"/>
      <c r="V57" s="12"/>
      <c r="W57" s="12"/>
      <c r="X57" s="12"/>
      <c r="Y57" s="12"/>
    </row>
    <row r="58" ht="30.0" customHeight="1">
      <c r="A58" s="77" t="s">
        <v>296</v>
      </c>
      <c r="B58" s="47">
        <v>53.0</v>
      </c>
      <c r="C58" s="62" t="s">
        <v>33</v>
      </c>
      <c r="D58" s="51" t="s">
        <v>48</v>
      </c>
      <c r="E58" s="62" t="s">
        <v>65</v>
      </c>
      <c r="F58" s="62"/>
      <c r="G58" s="88" t="str">
        <f t="shared" si="4"/>
        <v>Вар.Кар </v>
      </c>
      <c r="H58" s="57" t="s">
        <v>1</v>
      </c>
      <c r="I58" s="10" t="str">
        <f>IFERROR(__xludf.DUMMYFUNCTION("""COMPUTED_VALUE"""),"табака  Паста  ")</f>
        <v>табака  Паста  </v>
      </c>
      <c r="J58" s="10">
        <f>IFERROR(__xludf.DUMMYFUNCTION("""COMPUTED_VALUE"""),1.0)</f>
        <v>1</v>
      </c>
      <c r="K58" s="10" t="str">
        <f>IFERROR(__xludf.DUMMYFUNCTION("""COMPUTED_VALUE"""),"Олимп")</f>
        <v>Олимп</v>
      </c>
      <c r="L58" s="10"/>
      <c r="M58" s="10"/>
      <c r="N58" s="10"/>
      <c r="O58" s="10"/>
      <c r="P58" s="10"/>
      <c r="Q58" s="10"/>
      <c r="R58" s="12"/>
      <c r="S58" s="12"/>
      <c r="T58" s="12"/>
      <c r="U58" s="12"/>
      <c r="V58" s="12"/>
      <c r="W58" s="12"/>
      <c r="X58" s="12"/>
      <c r="Y58" s="12"/>
    </row>
    <row r="59" ht="30.0" customHeight="1">
      <c r="A59" s="77" t="s">
        <v>410</v>
      </c>
      <c r="B59" s="47">
        <v>54.0</v>
      </c>
      <c r="C59" s="51" t="s">
        <v>45</v>
      </c>
      <c r="D59" s="51" t="s">
        <v>61</v>
      </c>
      <c r="E59" s="51" t="s">
        <v>97</v>
      </c>
      <c r="F59" s="51"/>
      <c r="G59" s="88" t="str">
        <f t="shared" si="4"/>
        <v>Шницель </v>
      </c>
      <c r="H59" s="57" t="s">
        <v>1</v>
      </c>
      <c r="I59" s="10" t="str">
        <f>IFERROR(__xludf.DUMMYFUNCTION("""COMPUTED_VALUE"""),"табака  Туш. кап.")</f>
        <v>табака  Туш. кап.</v>
      </c>
      <c r="J59" s="10">
        <f>IFERROR(__xludf.DUMMYFUNCTION("""COMPUTED_VALUE"""),1.0)</f>
        <v>1</v>
      </c>
      <c r="K59" s="10" t="str">
        <f>IFERROR(__xludf.DUMMYFUNCTION("""COMPUTED_VALUE"""),"Олимп")</f>
        <v>Олимп</v>
      </c>
      <c r="L59" s="10"/>
      <c r="M59" s="10"/>
      <c r="N59" s="10"/>
      <c r="O59" s="10"/>
      <c r="P59" s="10"/>
      <c r="Q59" s="10"/>
      <c r="R59" s="12"/>
      <c r="S59" s="12"/>
      <c r="T59" s="12"/>
      <c r="U59" s="12"/>
      <c r="V59" s="12"/>
      <c r="W59" s="12"/>
      <c r="X59" s="12"/>
      <c r="Y59" s="12"/>
    </row>
    <row r="60" ht="30.0" customHeight="1">
      <c r="A60" s="44" t="s">
        <v>226</v>
      </c>
      <c r="B60" s="47">
        <v>55.0</v>
      </c>
      <c r="C60" s="51" t="s">
        <v>31</v>
      </c>
      <c r="D60" s="51" t="s">
        <v>57</v>
      </c>
      <c r="E60" s="51" t="s">
        <v>67</v>
      </c>
      <c r="F60" s="51" t="s">
        <v>111</v>
      </c>
      <c r="G60" s="88" t="str">
        <f t="shared" si="4"/>
        <v>S   MP </v>
      </c>
      <c r="H60" s="57" t="s">
        <v>1</v>
      </c>
      <c r="I60" s="10"/>
      <c r="J60" s="10"/>
      <c r="K60" s="10"/>
      <c r="L60" s="10"/>
      <c r="M60" s="10"/>
      <c r="N60" s="10"/>
      <c r="O60" s="10"/>
      <c r="P60" s="10"/>
      <c r="Q60" s="10"/>
      <c r="R60" s="12"/>
      <c r="S60" s="12"/>
      <c r="T60" s="12"/>
      <c r="U60" s="12"/>
      <c r="V60" s="12"/>
      <c r="W60" s="12"/>
      <c r="X60" s="12"/>
      <c r="Y60" s="12"/>
    </row>
    <row r="61" ht="30.0" customHeight="1">
      <c r="A61" s="91" t="s">
        <v>228</v>
      </c>
      <c r="B61" s="47">
        <v>56.0</v>
      </c>
      <c r="C61" s="51" t="s">
        <v>25</v>
      </c>
      <c r="D61" s="51" t="s">
        <v>57</v>
      </c>
      <c r="E61" s="51" t="s">
        <v>67</v>
      </c>
      <c r="F61" s="51" t="s">
        <v>90</v>
      </c>
      <c r="G61" s="88" t="str">
        <f t="shared" si="4"/>
        <v>S   Туш. кап.</v>
      </c>
      <c r="H61" s="57" t="s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2"/>
      <c r="S61" s="12"/>
      <c r="T61" s="12"/>
      <c r="U61" s="12"/>
      <c r="V61" s="12"/>
      <c r="W61" s="12"/>
      <c r="X61" s="12"/>
      <c r="Y61" s="12"/>
    </row>
    <row r="62" ht="30.0" customHeight="1">
      <c r="A62" s="77" t="s">
        <v>232</v>
      </c>
      <c r="B62" s="47">
        <v>57.0</v>
      </c>
      <c r="C62" s="51" t="s">
        <v>28</v>
      </c>
      <c r="D62" s="51" t="s">
        <v>59</v>
      </c>
      <c r="E62" s="62" t="s">
        <v>73</v>
      </c>
      <c r="F62" s="62"/>
      <c r="G62" s="88" t="str">
        <f t="shared" si="4"/>
        <v>Бл. твор </v>
      </c>
      <c r="H62" s="57" t="s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2"/>
      <c r="S62" s="12"/>
      <c r="T62" s="12"/>
      <c r="U62" s="12"/>
      <c r="V62" s="12"/>
      <c r="W62" s="12"/>
      <c r="X62" s="12"/>
      <c r="Y62" s="12"/>
    </row>
    <row r="63" ht="30.0" customHeight="1">
      <c r="A63" s="77" t="s">
        <v>298</v>
      </c>
      <c r="B63" s="47">
        <v>58.0</v>
      </c>
      <c r="C63" s="62" t="s">
        <v>28</v>
      </c>
      <c r="D63" s="62" t="s">
        <v>55</v>
      </c>
      <c r="E63" s="62" t="s">
        <v>85</v>
      </c>
      <c r="F63" s="51"/>
      <c r="G63" s="88" t="str">
        <f t="shared" si="4"/>
        <v>Поперечка </v>
      </c>
      <c r="H63" s="57" t="s">
        <v>1</v>
      </c>
      <c r="I63" s="10"/>
      <c r="J63" s="10"/>
      <c r="K63" s="10"/>
      <c r="L63" s="10"/>
      <c r="M63" s="10"/>
      <c r="N63" s="10"/>
      <c r="O63" s="10"/>
      <c r="P63" s="10"/>
      <c r="Q63" s="10"/>
      <c r="R63" s="12"/>
      <c r="S63" s="12"/>
      <c r="T63" s="12"/>
      <c r="U63" s="12"/>
      <c r="V63" s="12"/>
      <c r="W63" s="12"/>
      <c r="X63" s="12"/>
      <c r="Y63" s="12"/>
    </row>
    <row r="64" ht="30.0" customHeight="1">
      <c r="A64" s="77" t="s">
        <v>411</v>
      </c>
      <c r="B64" s="47">
        <v>59.0</v>
      </c>
      <c r="C64" s="51" t="s">
        <v>25</v>
      </c>
      <c r="D64" s="51" t="s">
        <v>55</v>
      </c>
      <c r="E64" s="62" t="s">
        <v>63</v>
      </c>
      <c r="F64" s="62" t="s">
        <v>103</v>
      </c>
      <c r="G64" s="55" t="str">
        <f t="shared" si="4"/>
        <v>Баса Гр  </v>
      </c>
      <c r="H64" s="57" t="s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2"/>
      <c r="S64" s="12"/>
      <c r="T64" s="12"/>
      <c r="U64" s="12"/>
      <c r="V64" s="12"/>
      <c r="W64" s="12"/>
      <c r="X64" s="12"/>
      <c r="Y64" s="12"/>
    </row>
    <row r="65" ht="30.0" customHeight="1">
      <c r="A65" s="77" t="s">
        <v>412</v>
      </c>
      <c r="B65" s="47">
        <v>60.0</v>
      </c>
      <c r="C65" s="51" t="s">
        <v>31</v>
      </c>
      <c r="D65" s="51" t="s">
        <v>48</v>
      </c>
      <c r="E65" s="51" t="s">
        <v>67</v>
      </c>
      <c r="F65" s="51" t="s">
        <v>90</v>
      </c>
      <c r="G65" s="55" t="str">
        <f t="shared" si="4"/>
        <v>S   Туш. кап.</v>
      </c>
      <c r="H65" s="57" t="s">
        <v>1</v>
      </c>
      <c r="I65" s="10"/>
      <c r="J65" s="10"/>
      <c r="K65" s="10"/>
      <c r="L65" s="10"/>
      <c r="M65" s="10"/>
      <c r="N65" s="10"/>
      <c r="O65" s="10"/>
      <c r="P65" s="10"/>
      <c r="Q65" s="10"/>
      <c r="R65" s="12"/>
      <c r="S65" s="12"/>
      <c r="T65" s="12"/>
      <c r="U65" s="12"/>
      <c r="V65" s="12"/>
      <c r="W65" s="12"/>
      <c r="X65" s="12"/>
      <c r="Y65" s="12"/>
    </row>
    <row r="66" ht="30.0" customHeight="1">
      <c r="A66" s="77" t="s">
        <v>238</v>
      </c>
      <c r="B66" s="47">
        <v>61.0</v>
      </c>
      <c r="C66" s="51" t="s">
        <v>45</v>
      </c>
      <c r="D66" s="51" t="s">
        <v>57</v>
      </c>
      <c r="E66" s="51" t="s">
        <v>80</v>
      </c>
      <c r="F66" s="51" t="s">
        <v>103</v>
      </c>
      <c r="G66" s="88" t="str">
        <f t="shared" si="4"/>
        <v>Котл. кур Гр  </v>
      </c>
      <c r="H66" s="57" t="s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2"/>
      <c r="S66" s="12"/>
      <c r="T66" s="12"/>
      <c r="U66" s="12"/>
      <c r="V66" s="12"/>
      <c r="W66" s="12"/>
      <c r="X66" s="12"/>
      <c r="Y66" s="12"/>
    </row>
    <row r="67" ht="30.0" customHeight="1">
      <c r="A67" s="77" t="s">
        <v>242</v>
      </c>
      <c r="B67" s="47">
        <v>62.0</v>
      </c>
      <c r="C67" s="51" t="s">
        <v>25</v>
      </c>
      <c r="D67" s="51" t="s">
        <v>57</v>
      </c>
      <c r="E67" s="51" t="s">
        <v>94</v>
      </c>
      <c r="F67" s="51" t="s">
        <v>103</v>
      </c>
      <c r="G67" s="88" t="str">
        <f t="shared" si="4"/>
        <v>Чалахач Гр  </v>
      </c>
      <c r="H67" s="57" t="s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2"/>
      <c r="S67" s="12"/>
      <c r="T67" s="12"/>
      <c r="U67" s="12"/>
      <c r="V67" s="12"/>
      <c r="W67" s="12"/>
      <c r="X67" s="12"/>
      <c r="Y67" s="12"/>
    </row>
    <row r="68" ht="30.0" customHeight="1">
      <c r="A68" s="44" t="s">
        <v>247</v>
      </c>
      <c r="B68" s="47">
        <v>63.0</v>
      </c>
      <c r="C68" s="51" t="s">
        <v>40</v>
      </c>
      <c r="D68" s="51" t="s">
        <v>57</v>
      </c>
      <c r="E68" s="51" t="s">
        <v>85</v>
      </c>
      <c r="F68" s="51" t="s">
        <v>68</v>
      </c>
      <c r="G68" s="88" t="str">
        <f> CONCATENATE(E85," ", F85)</f>
        <v>Шницель Картошка</v>
      </c>
      <c r="H68" s="57" t="s">
        <v>1</v>
      </c>
      <c r="I68" s="10"/>
      <c r="J68" s="10"/>
      <c r="K68" s="10"/>
      <c r="L68" s="10"/>
      <c r="M68" s="10"/>
      <c r="N68" s="10"/>
      <c r="O68" s="10"/>
      <c r="P68" s="10"/>
      <c r="Q68" s="10"/>
      <c r="R68" s="12"/>
      <c r="S68" s="12"/>
      <c r="T68" s="12"/>
      <c r="U68" s="12"/>
      <c r="V68" s="12"/>
      <c r="W68" s="12"/>
      <c r="X68" s="12"/>
      <c r="Y68" s="12"/>
    </row>
    <row r="69">
      <c r="A69" s="3" t="s">
        <v>250</v>
      </c>
      <c r="B69" s="47">
        <v>64.0</v>
      </c>
      <c r="C69" s="109" t="s">
        <v>251</v>
      </c>
      <c r="D69" s="64"/>
      <c r="E69" s="64"/>
      <c r="F69" s="64"/>
      <c r="G69" s="64"/>
      <c r="H69" s="64"/>
      <c r="I69" s="80"/>
      <c r="J69" s="80"/>
      <c r="K69" s="80"/>
      <c r="L69" s="80"/>
      <c r="M69" s="80"/>
      <c r="N69" s="80"/>
      <c r="O69" s="80"/>
      <c r="P69" s="80"/>
      <c r="Q69" s="80"/>
      <c r="R69" s="64"/>
      <c r="S69" s="64"/>
      <c r="T69" s="64"/>
      <c r="U69" s="64"/>
      <c r="V69" s="64"/>
      <c r="W69" s="64"/>
      <c r="X69" s="64"/>
      <c r="Y69" s="64"/>
    </row>
    <row r="70">
      <c r="A70" s="64"/>
      <c r="B70" s="64"/>
      <c r="C70" s="64"/>
      <c r="D70" s="64"/>
      <c r="E70" s="64"/>
      <c r="F70" s="64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64"/>
      <c r="S70" s="64"/>
      <c r="T70" s="64"/>
      <c r="U70" s="64"/>
      <c r="V70" s="64"/>
      <c r="W70" s="64"/>
      <c r="X70" s="64"/>
      <c r="Y70" s="64"/>
    </row>
    <row r="71">
      <c r="A71" s="64"/>
      <c r="B71" s="64"/>
      <c r="C71" s="64"/>
      <c r="D71" s="64"/>
      <c r="E71" s="64"/>
      <c r="F71" s="64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64"/>
      <c r="S71" s="64"/>
      <c r="T71" s="64"/>
      <c r="U71" s="64"/>
      <c r="V71" s="64"/>
      <c r="W71" s="64"/>
      <c r="X71" s="64"/>
      <c r="Y71" s="64"/>
    </row>
    <row r="72">
      <c r="A72" s="64"/>
      <c r="B72" s="64"/>
      <c r="C72" s="64"/>
      <c r="D72" s="64"/>
      <c r="E72" s="64"/>
      <c r="F72" s="64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64"/>
      <c r="S72" s="64"/>
      <c r="T72" s="64"/>
      <c r="U72" s="64"/>
      <c r="V72" s="64"/>
      <c r="W72" s="64"/>
      <c r="X72" s="64"/>
      <c r="Y72" s="64"/>
    </row>
    <row r="73">
      <c r="A73" s="64"/>
      <c r="B73" s="64"/>
      <c r="C73" s="64"/>
      <c r="D73" s="64"/>
      <c r="E73" s="64"/>
      <c r="F73" s="64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64"/>
      <c r="S73" s="64"/>
      <c r="T73" s="64"/>
      <c r="U73" s="64"/>
      <c r="V73" s="64"/>
      <c r="W73" s="64"/>
      <c r="X73" s="64"/>
      <c r="Y73" s="64"/>
    </row>
    <row r="74">
      <c r="A74" s="64"/>
      <c r="B74" s="64"/>
      <c r="C74" s="64"/>
      <c r="D74" s="64"/>
      <c r="E74" s="64"/>
      <c r="F74" s="64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64"/>
      <c r="S74" s="64"/>
      <c r="T74" s="64"/>
      <c r="U74" s="64"/>
      <c r="V74" s="64"/>
      <c r="W74" s="64"/>
      <c r="X74" s="64"/>
      <c r="Y74" s="64"/>
    </row>
    <row r="75">
      <c r="A75" s="64"/>
      <c r="B75" s="64"/>
      <c r="C75" s="64"/>
      <c r="D75" s="64"/>
      <c r="E75" s="64"/>
      <c r="F75" s="6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64"/>
      <c r="B76" s="64"/>
      <c r="C76" s="64"/>
      <c r="D76" s="64"/>
      <c r="E76" s="64"/>
      <c r="F76" s="64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64"/>
      <c r="S76" s="64"/>
      <c r="T76" s="64"/>
      <c r="U76" s="64"/>
      <c r="V76" s="64"/>
      <c r="W76" s="64"/>
      <c r="X76" s="64"/>
      <c r="Y76" s="64"/>
    </row>
    <row r="77">
      <c r="A77" s="64"/>
      <c r="B77" s="64"/>
      <c r="C77" s="64"/>
      <c r="D77" s="64"/>
      <c r="E77" s="64"/>
      <c r="F77" s="64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64"/>
      <c r="S77" s="64"/>
      <c r="T77" s="64"/>
      <c r="U77" s="64"/>
      <c r="V77" s="64"/>
      <c r="W77" s="64"/>
      <c r="X77" s="64"/>
      <c r="Y77" s="64"/>
    </row>
    <row r="78">
      <c r="A78" s="64"/>
      <c r="B78" s="64"/>
      <c r="C78" s="64"/>
      <c r="D78" s="64"/>
      <c r="E78" s="64"/>
      <c r="F78" s="64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64"/>
      <c r="S78" s="64"/>
      <c r="T78" s="64"/>
      <c r="U78" s="64"/>
      <c r="V78" s="64"/>
      <c r="W78" s="64"/>
      <c r="X78" s="64"/>
      <c r="Y78" s="64"/>
    </row>
    <row r="79">
      <c r="A79" s="64"/>
      <c r="B79" s="64"/>
      <c r="C79" s="64"/>
      <c r="D79" s="64"/>
      <c r="E79" s="64"/>
      <c r="F79" s="64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64"/>
      <c r="S79" s="64"/>
      <c r="T79" s="64"/>
      <c r="U79" s="64"/>
      <c r="V79" s="64"/>
      <c r="W79" s="64"/>
      <c r="X79" s="64"/>
      <c r="Y79" s="64"/>
    </row>
    <row r="80">
      <c r="A80" s="64"/>
      <c r="B80" s="64"/>
      <c r="C80" s="64"/>
      <c r="D80" s="64"/>
      <c r="E80" s="64"/>
      <c r="F80" s="64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64"/>
      <c r="S80" s="64"/>
      <c r="T80" s="64"/>
      <c r="U80" s="64"/>
      <c r="V80" s="64"/>
      <c r="W80" s="64"/>
      <c r="X80" s="64"/>
      <c r="Y80" s="64"/>
    </row>
    <row r="81">
      <c r="A81" s="64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64"/>
      <c r="S81" s="64"/>
      <c r="T81" s="64"/>
      <c r="U81" s="64"/>
      <c r="V81" s="64"/>
      <c r="W81" s="64"/>
      <c r="X81" s="64"/>
      <c r="Y81" s="64"/>
    </row>
    <row r="82">
      <c r="A82" s="77" t="s">
        <v>318</v>
      </c>
      <c r="B82" s="131" t="s">
        <v>382</v>
      </c>
      <c r="C82" s="51" t="s">
        <v>45</v>
      </c>
      <c r="D82" s="51" t="s">
        <v>50</v>
      </c>
      <c r="E82" s="51" t="s">
        <v>94</v>
      </c>
      <c r="F82" s="51" t="s">
        <v>111</v>
      </c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64"/>
      <c r="S82" s="64"/>
      <c r="T82" s="64"/>
      <c r="U82" s="64"/>
      <c r="V82" s="64"/>
      <c r="W82" s="64"/>
      <c r="X82" s="64"/>
      <c r="Y82" s="64"/>
    </row>
    <row r="83">
      <c r="A83" s="77" t="s">
        <v>321</v>
      </c>
      <c r="B83" s="131" t="s">
        <v>382</v>
      </c>
      <c r="C83" s="51" t="s">
        <v>35</v>
      </c>
      <c r="D83" s="51" t="s">
        <v>50</v>
      </c>
      <c r="E83" s="51" t="s">
        <v>97</v>
      </c>
      <c r="F83" s="51" t="s">
        <v>103</v>
      </c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64"/>
      <c r="S83" s="64"/>
      <c r="T83" s="64"/>
      <c r="U83" s="64"/>
      <c r="V83" s="64"/>
      <c r="W83" s="64"/>
      <c r="X83" s="64"/>
      <c r="Y83" s="64"/>
    </row>
    <row r="84">
      <c r="A84" s="91" t="s">
        <v>398</v>
      </c>
      <c r="B84" s="47">
        <v>27.0</v>
      </c>
      <c r="C84" s="51" t="s">
        <v>40</v>
      </c>
      <c r="D84" s="62" t="s">
        <v>52</v>
      </c>
      <c r="E84" s="51" t="s">
        <v>67</v>
      </c>
      <c r="F84" s="51" t="s">
        <v>103</v>
      </c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64"/>
      <c r="S84" s="64"/>
      <c r="T84" s="64"/>
      <c r="U84" s="64"/>
      <c r="V84" s="64"/>
      <c r="W84" s="64"/>
      <c r="X84" s="64"/>
      <c r="Y84" s="64"/>
    </row>
    <row r="85">
      <c r="A85" s="77" t="s">
        <v>272</v>
      </c>
      <c r="B85" s="131" t="s">
        <v>382</v>
      </c>
      <c r="C85" s="51" t="s">
        <v>33</v>
      </c>
      <c r="D85" s="51" t="s">
        <v>61</v>
      </c>
      <c r="E85" s="51" t="s">
        <v>97</v>
      </c>
      <c r="F85" s="62" t="s">
        <v>68</v>
      </c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64"/>
      <c r="S85" s="64"/>
      <c r="T85" s="64"/>
      <c r="U85" s="64"/>
      <c r="V85" s="64"/>
      <c r="W85" s="64"/>
      <c r="X85" s="64"/>
      <c r="Y85" s="64"/>
    </row>
    <row r="86">
      <c r="A86" s="91" t="s">
        <v>413</v>
      </c>
      <c r="B86" s="139" t="s">
        <v>414</v>
      </c>
      <c r="C86" s="51" t="s">
        <v>40</v>
      </c>
      <c r="D86" s="51" t="s">
        <v>48</v>
      </c>
      <c r="E86" s="51" t="s">
        <v>78</v>
      </c>
      <c r="F86" s="51" t="s">
        <v>103</v>
      </c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64"/>
      <c r="S86" s="64"/>
      <c r="T86" s="64"/>
      <c r="U86" s="64"/>
      <c r="V86" s="64"/>
      <c r="W86" s="64"/>
      <c r="X86" s="64"/>
      <c r="Y86" s="64"/>
    </row>
    <row r="87">
      <c r="A87" s="77" t="s">
        <v>235</v>
      </c>
      <c r="B87" s="114" t="s">
        <v>415</v>
      </c>
      <c r="C87" s="51" t="s">
        <v>33</v>
      </c>
      <c r="D87" s="51" t="s">
        <v>57</v>
      </c>
      <c r="E87" s="62" t="s">
        <v>67</v>
      </c>
      <c r="F87" s="62" t="s">
        <v>90</v>
      </c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64"/>
      <c r="S87" s="64"/>
      <c r="T87" s="64"/>
      <c r="U87" s="64"/>
      <c r="V87" s="64"/>
      <c r="W87" s="64"/>
      <c r="X87" s="64"/>
      <c r="Y87" s="64"/>
    </row>
    <row r="88">
      <c r="A88" s="3" t="s">
        <v>278</v>
      </c>
      <c r="B88" s="140" t="s">
        <v>416</v>
      </c>
      <c r="C88" s="51" t="s">
        <v>45</v>
      </c>
      <c r="D88" s="51" t="s">
        <v>59</v>
      </c>
      <c r="E88" s="51" t="s">
        <v>76</v>
      </c>
      <c r="F88" s="62" t="s">
        <v>100</v>
      </c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64"/>
      <c r="S88" s="64"/>
      <c r="T88" s="64"/>
      <c r="U88" s="64"/>
      <c r="V88" s="64"/>
      <c r="W88" s="64"/>
      <c r="X88" s="64"/>
      <c r="Y88" s="64"/>
    </row>
    <row r="89">
      <c r="A89" s="44" t="s">
        <v>284</v>
      </c>
      <c r="B89" s="131" t="s">
        <v>382</v>
      </c>
      <c r="C89" s="51" t="s">
        <v>25</v>
      </c>
      <c r="D89" s="51" t="s">
        <v>48</v>
      </c>
      <c r="E89" s="51" t="s">
        <v>94</v>
      </c>
      <c r="F89" s="51" t="s">
        <v>103</v>
      </c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64"/>
      <c r="S89" s="64"/>
      <c r="T89" s="64"/>
      <c r="U89" s="64"/>
      <c r="V89" s="64"/>
      <c r="W89" s="64"/>
      <c r="X89" s="64"/>
      <c r="Y89" s="64"/>
    </row>
    <row r="90">
      <c r="A90" s="91" t="s">
        <v>137</v>
      </c>
      <c r="B90" s="116" t="s">
        <v>138</v>
      </c>
      <c r="C90" s="51" t="s">
        <v>28</v>
      </c>
      <c r="D90" s="51" t="s">
        <v>55</v>
      </c>
      <c r="E90" s="51" t="s">
        <v>67</v>
      </c>
      <c r="F90" s="51" t="s">
        <v>103</v>
      </c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64"/>
      <c r="S90" s="64"/>
      <c r="T90" s="64"/>
      <c r="U90" s="64"/>
      <c r="V90" s="64"/>
      <c r="W90" s="64"/>
      <c r="X90" s="64"/>
      <c r="Y90" s="64"/>
    </row>
    <row r="91">
      <c r="A91" s="91" t="s">
        <v>141</v>
      </c>
      <c r="B91" s="116" t="s">
        <v>138</v>
      </c>
      <c r="C91" s="51" t="s">
        <v>28</v>
      </c>
      <c r="D91" s="51" t="s">
        <v>55</v>
      </c>
      <c r="E91" s="51" t="s">
        <v>78</v>
      </c>
      <c r="F91" s="51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64"/>
      <c r="S91" s="64"/>
      <c r="T91" s="64"/>
      <c r="U91" s="64"/>
      <c r="V91" s="64"/>
      <c r="W91" s="64"/>
      <c r="X91" s="64"/>
      <c r="Y91" s="64"/>
    </row>
    <row r="92">
      <c r="A92" s="3" t="s">
        <v>371</v>
      </c>
      <c r="B92" s="125" t="s">
        <v>338</v>
      </c>
      <c r="C92" s="62" t="s">
        <v>28</v>
      </c>
      <c r="D92" s="62" t="s">
        <v>52</v>
      </c>
      <c r="E92" s="62" t="s">
        <v>73</v>
      </c>
      <c r="F92" s="64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64"/>
      <c r="S92" s="64"/>
      <c r="T92" s="64"/>
      <c r="U92" s="64"/>
      <c r="V92" s="64"/>
      <c r="W92" s="64"/>
      <c r="X92" s="64"/>
      <c r="Y92" s="64"/>
    </row>
    <row r="93">
      <c r="A93" s="3" t="s">
        <v>337</v>
      </c>
      <c r="B93" s="125" t="s">
        <v>338</v>
      </c>
      <c r="C93" s="62" t="s">
        <v>28</v>
      </c>
      <c r="D93" s="62" t="s">
        <v>52</v>
      </c>
      <c r="E93" s="62" t="s">
        <v>65</v>
      </c>
      <c r="F93" s="64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64"/>
      <c r="S93" s="64"/>
      <c r="T93" s="64"/>
      <c r="U93" s="64"/>
      <c r="V93" s="64"/>
      <c r="W93" s="64"/>
      <c r="X93" s="64"/>
      <c r="Y93" s="64"/>
    </row>
    <row r="94">
      <c r="A94" s="64"/>
      <c r="B94" s="64"/>
      <c r="C94" s="64"/>
      <c r="D94" s="64"/>
      <c r="E94" s="64"/>
      <c r="F94" s="64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64"/>
      <c r="S94" s="64"/>
      <c r="T94" s="64"/>
      <c r="U94" s="64"/>
      <c r="V94" s="64"/>
      <c r="W94" s="64"/>
      <c r="X94" s="64"/>
      <c r="Y94" s="64"/>
    </row>
    <row r="95">
      <c r="A95" s="64"/>
      <c r="B95" s="64"/>
      <c r="C95" s="64"/>
      <c r="D95" s="64"/>
      <c r="E95" s="64"/>
      <c r="F95" s="64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64"/>
      <c r="S95" s="64"/>
      <c r="T95" s="64"/>
      <c r="U95" s="64"/>
      <c r="V95" s="64"/>
      <c r="W95" s="64"/>
      <c r="X95" s="64"/>
      <c r="Y95" s="64"/>
    </row>
    <row r="96">
      <c r="A96" s="64"/>
      <c r="B96" s="64"/>
      <c r="C96" s="64"/>
      <c r="D96" s="64"/>
      <c r="E96" s="64"/>
      <c r="F96" s="64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64"/>
      <c r="S96" s="64"/>
      <c r="T96" s="64"/>
      <c r="U96" s="64"/>
      <c r="V96" s="64"/>
      <c r="W96" s="64"/>
      <c r="X96" s="64"/>
      <c r="Y96" s="64"/>
    </row>
    <row r="97">
      <c r="A97" s="64"/>
      <c r="B97" s="64"/>
      <c r="C97" s="64"/>
      <c r="D97" s="64"/>
      <c r="E97" s="64"/>
      <c r="F97" s="64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64"/>
      <c r="S97" s="64"/>
      <c r="T97" s="64"/>
      <c r="U97" s="64"/>
      <c r="V97" s="64"/>
      <c r="W97" s="64"/>
      <c r="X97" s="64"/>
      <c r="Y97" s="64"/>
    </row>
    <row r="98">
      <c r="A98" s="64"/>
      <c r="B98" s="64"/>
      <c r="C98" s="64"/>
      <c r="D98" s="64"/>
      <c r="E98" s="64"/>
      <c r="F98" s="64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64"/>
      <c r="S98" s="64"/>
      <c r="T98" s="64"/>
      <c r="U98" s="64"/>
      <c r="V98" s="64"/>
      <c r="W98" s="64"/>
      <c r="X98" s="64"/>
      <c r="Y98" s="64"/>
    </row>
    <row r="99">
      <c r="A99" s="64"/>
      <c r="B99" s="64"/>
      <c r="C99" s="64"/>
      <c r="D99" s="64"/>
      <c r="E99" s="64"/>
      <c r="F99" s="64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64"/>
      <c r="S99" s="64"/>
      <c r="T99" s="64"/>
      <c r="U99" s="64"/>
      <c r="V99" s="64"/>
      <c r="W99" s="64"/>
      <c r="X99" s="64"/>
      <c r="Y99" s="64"/>
    </row>
    <row r="100">
      <c r="A100" s="64"/>
      <c r="B100" s="64"/>
      <c r="C100" s="64"/>
      <c r="D100" s="64"/>
      <c r="E100" s="64"/>
      <c r="F100" s="64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64"/>
      <c r="S100" s="64"/>
      <c r="T100" s="64"/>
      <c r="U100" s="64"/>
      <c r="V100" s="64"/>
      <c r="W100" s="64"/>
      <c r="X100" s="64"/>
      <c r="Y100" s="64"/>
    </row>
    <row r="101">
      <c r="A101" s="64"/>
      <c r="B101" s="64"/>
      <c r="C101" s="64"/>
      <c r="D101" s="64"/>
      <c r="E101" s="64"/>
      <c r="F101" s="64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64"/>
      <c r="S101" s="64"/>
      <c r="T101" s="64"/>
      <c r="U101" s="64"/>
      <c r="V101" s="64"/>
      <c r="W101" s="64"/>
      <c r="X101" s="64"/>
      <c r="Y101" s="64"/>
    </row>
    <row r="102">
      <c r="A102" s="64"/>
      <c r="B102" s="64"/>
      <c r="C102" s="64"/>
      <c r="D102" s="64"/>
      <c r="E102" s="64"/>
      <c r="F102" s="64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64"/>
      <c r="S102" s="64"/>
      <c r="T102" s="64"/>
      <c r="U102" s="64"/>
      <c r="V102" s="64"/>
      <c r="W102" s="64"/>
      <c r="X102" s="64"/>
      <c r="Y102" s="64"/>
    </row>
    <row r="103">
      <c r="A103" s="64"/>
      <c r="B103" s="64"/>
      <c r="C103" s="64"/>
      <c r="D103" s="64"/>
      <c r="E103" s="64"/>
      <c r="F103" s="64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64"/>
      <c r="S103" s="64"/>
      <c r="T103" s="64"/>
      <c r="U103" s="64"/>
      <c r="V103" s="64"/>
      <c r="W103" s="64"/>
      <c r="X103" s="64"/>
      <c r="Y103" s="64"/>
    </row>
    <row r="104">
      <c r="A104" s="64"/>
      <c r="B104" s="64"/>
      <c r="C104" s="64"/>
      <c r="D104" s="64"/>
      <c r="E104" s="64"/>
      <c r="F104" s="64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64"/>
      <c r="S104" s="64"/>
      <c r="T104" s="64"/>
      <c r="U104" s="64"/>
      <c r="V104" s="64"/>
      <c r="W104" s="64"/>
      <c r="X104" s="64"/>
      <c r="Y104" s="64"/>
    </row>
    <row r="105">
      <c r="A105" s="64"/>
      <c r="B105" s="64"/>
      <c r="C105" s="64"/>
      <c r="D105" s="64"/>
      <c r="E105" s="64"/>
      <c r="F105" s="64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64"/>
      <c r="S105" s="64"/>
      <c r="T105" s="64"/>
      <c r="U105" s="64"/>
      <c r="V105" s="64"/>
      <c r="W105" s="64"/>
      <c r="X105" s="64"/>
      <c r="Y105" s="64"/>
    </row>
    <row r="106">
      <c r="A106" s="64"/>
      <c r="B106" s="64"/>
      <c r="C106" s="64"/>
      <c r="D106" s="64"/>
      <c r="E106" s="64"/>
      <c r="F106" s="64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64"/>
      <c r="S106" s="64"/>
      <c r="T106" s="64"/>
      <c r="U106" s="64"/>
      <c r="V106" s="64"/>
      <c r="W106" s="64"/>
      <c r="X106" s="64"/>
      <c r="Y106" s="64"/>
    </row>
    <row r="107">
      <c r="A107" s="64"/>
      <c r="B107" s="64"/>
      <c r="C107" s="64"/>
      <c r="D107" s="64"/>
      <c r="E107" s="64"/>
      <c r="F107" s="64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64"/>
      <c r="S107" s="64"/>
      <c r="T107" s="64"/>
      <c r="U107" s="64"/>
      <c r="V107" s="64"/>
      <c r="W107" s="64"/>
      <c r="X107" s="64"/>
      <c r="Y107" s="64"/>
    </row>
    <row r="108">
      <c r="A108" s="64"/>
      <c r="B108" s="64"/>
      <c r="C108" s="64"/>
      <c r="D108" s="64"/>
      <c r="E108" s="64"/>
      <c r="F108" s="64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64"/>
      <c r="S108" s="64"/>
      <c r="T108" s="64"/>
      <c r="U108" s="64"/>
      <c r="V108" s="64"/>
      <c r="W108" s="64"/>
      <c r="X108" s="64"/>
      <c r="Y108" s="64"/>
    </row>
    <row r="109">
      <c r="A109" s="64"/>
      <c r="B109" s="64"/>
      <c r="C109" s="64"/>
      <c r="D109" s="64"/>
      <c r="E109" s="64"/>
      <c r="F109" s="64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64"/>
      <c r="S109" s="64"/>
      <c r="T109" s="64"/>
      <c r="U109" s="64"/>
      <c r="V109" s="64"/>
      <c r="W109" s="64"/>
      <c r="X109" s="64"/>
      <c r="Y109" s="64"/>
    </row>
    <row r="110">
      <c r="A110" s="64"/>
      <c r="B110" s="64"/>
      <c r="C110" s="64"/>
      <c r="D110" s="64"/>
      <c r="E110" s="64"/>
      <c r="F110" s="64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64"/>
      <c r="S110" s="64"/>
      <c r="T110" s="64"/>
      <c r="U110" s="64"/>
      <c r="V110" s="64"/>
      <c r="W110" s="64"/>
      <c r="X110" s="64"/>
      <c r="Y110" s="64"/>
    </row>
    <row r="111">
      <c r="A111" s="64"/>
      <c r="B111" s="64"/>
      <c r="C111" s="64"/>
      <c r="D111" s="64"/>
      <c r="E111" s="64"/>
      <c r="F111" s="64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64"/>
      <c r="S111" s="64"/>
      <c r="T111" s="64"/>
      <c r="U111" s="64"/>
      <c r="V111" s="64"/>
      <c r="W111" s="64"/>
      <c r="X111" s="64"/>
      <c r="Y111" s="64"/>
    </row>
    <row r="112">
      <c r="A112" s="64"/>
      <c r="B112" s="64"/>
      <c r="C112" s="64"/>
      <c r="D112" s="64"/>
      <c r="E112" s="64"/>
      <c r="F112" s="64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64"/>
      <c r="S112" s="64"/>
      <c r="T112" s="64"/>
      <c r="U112" s="64"/>
      <c r="V112" s="64"/>
      <c r="W112" s="64"/>
      <c r="X112" s="64"/>
      <c r="Y112" s="64"/>
    </row>
    <row r="113">
      <c r="A113" s="64"/>
      <c r="B113" s="64"/>
      <c r="C113" s="64"/>
      <c r="D113" s="64"/>
      <c r="E113" s="64"/>
      <c r="F113" s="64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64"/>
      <c r="S113" s="64"/>
      <c r="T113" s="64"/>
      <c r="U113" s="64"/>
      <c r="V113" s="64"/>
      <c r="W113" s="64"/>
      <c r="X113" s="64"/>
      <c r="Y113" s="64"/>
    </row>
    <row r="114">
      <c r="A114" s="64"/>
      <c r="B114" s="64"/>
      <c r="C114" s="64"/>
      <c r="D114" s="64"/>
      <c r="E114" s="64"/>
      <c r="F114" s="64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64"/>
      <c r="S114" s="64"/>
      <c r="T114" s="64"/>
      <c r="U114" s="64"/>
      <c r="V114" s="64"/>
      <c r="W114" s="64"/>
      <c r="X114" s="64"/>
      <c r="Y114" s="64"/>
    </row>
    <row r="115">
      <c r="A115" s="64"/>
      <c r="B115" s="64"/>
      <c r="C115" s="64"/>
      <c r="D115" s="64"/>
      <c r="E115" s="64"/>
      <c r="F115" s="64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64"/>
      <c r="S115" s="64"/>
      <c r="T115" s="64"/>
      <c r="U115" s="64"/>
      <c r="V115" s="64"/>
      <c r="W115" s="64"/>
      <c r="X115" s="64"/>
      <c r="Y115" s="64"/>
    </row>
    <row r="116">
      <c r="A116" s="64"/>
      <c r="B116" s="64"/>
      <c r="C116" s="64"/>
      <c r="D116" s="64"/>
      <c r="E116" s="64"/>
      <c r="F116" s="64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64"/>
      <c r="S116" s="64"/>
      <c r="T116" s="64"/>
      <c r="U116" s="64"/>
      <c r="V116" s="64"/>
      <c r="W116" s="64"/>
      <c r="X116" s="64"/>
      <c r="Y116" s="64"/>
    </row>
    <row r="117">
      <c r="A117" s="64"/>
      <c r="B117" s="64"/>
      <c r="C117" s="64"/>
      <c r="D117" s="64"/>
      <c r="E117" s="64"/>
      <c r="F117" s="64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64"/>
      <c r="S117" s="64"/>
      <c r="T117" s="64"/>
      <c r="U117" s="64"/>
      <c r="V117" s="64"/>
      <c r="W117" s="64"/>
      <c r="X117" s="64"/>
      <c r="Y117" s="64"/>
    </row>
    <row r="118">
      <c r="A118" s="64"/>
      <c r="B118" s="64"/>
      <c r="C118" s="64"/>
      <c r="D118" s="64"/>
      <c r="E118" s="64"/>
      <c r="F118" s="64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64"/>
      <c r="S118" s="64"/>
      <c r="T118" s="64"/>
      <c r="U118" s="64"/>
      <c r="V118" s="64"/>
      <c r="W118" s="64"/>
      <c r="X118" s="64"/>
      <c r="Y118" s="64"/>
    </row>
    <row r="119">
      <c r="A119" s="64"/>
      <c r="B119" s="64"/>
      <c r="C119" s="64"/>
      <c r="D119" s="64"/>
      <c r="E119" s="64"/>
      <c r="F119" s="64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64"/>
      <c r="S119" s="64"/>
      <c r="T119" s="64"/>
      <c r="U119" s="64"/>
      <c r="V119" s="64"/>
      <c r="W119" s="64"/>
      <c r="X119" s="64"/>
      <c r="Y119" s="64"/>
    </row>
    <row r="120">
      <c r="A120" s="64"/>
      <c r="B120" s="64"/>
      <c r="C120" s="64"/>
      <c r="D120" s="64"/>
      <c r="E120" s="64"/>
      <c r="F120" s="64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64"/>
      <c r="S120" s="64"/>
      <c r="T120" s="64"/>
      <c r="U120" s="64"/>
      <c r="V120" s="64"/>
      <c r="W120" s="64"/>
      <c r="X120" s="64"/>
      <c r="Y120" s="64"/>
    </row>
    <row r="121">
      <c r="A121" s="64"/>
      <c r="B121" s="64"/>
      <c r="C121" s="64"/>
      <c r="D121" s="64"/>
      <c r="E121" s="64"/>
      <c r="F121" s="64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64"/>
      <c r="S121" s="64"/>
      <c r="T121" s="64"/>
      <c r="U121" s="64"/>
      <c r="V121" s="64"/>
      <c r="W121" s="64"/>
      <c r="X121" s="64"/>
      <c r="Y121" s="64"/>
    </row>
    <row r="122">
      <c r="A122" s="64"/>
      <c r="B122" s="64"/>
      <c r="C122" s="64"/>
      <c r="D122" s="64"/>
      <c r="E122" s="64"/>
      <c r="F122" s="64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64"/>
      <c r="S122" s="64"/>
      <c r="T122" s="64"/>
      <c r="U122" s="64"/>
      <c r="V122" s="64"/>
      <c r="W122" s="64"/>
      <c r="X122" s="64"/>
      <c r="Y122" s="64"/>
    </row>
    <row r="123">
      <c r="A123" s="64"/>
      <c r="B123" s="64"/>
      <c r="C123" s="64"/>
      <c r="D123" s="64"/>
      <c r="E123" s="64"/>
      <c r="F123" s="64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64"/>
      <c r="S123" s="64"/>
      <c r="T123" s="64"/>
      <c r="U123" s="64"/>
      <c r="V123" s="64"/>
      <c r="W123" s="64"/>
      <c r="X123" s="64"/>
      <c r="Y123" s="64"/>
    </row>
    <row r="124">
      <c r="A124" s="64"/>
      <c r="B124" s="64"/>
      <c r="C124" s="64"/>
      <c r="D124" s="64"/>
      <c r="E124" s="64"/>
      <c r="F124" s="64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64"/>
      <c r="S124" s="64"/>
      <c r="T124" s="64"/>
      <c r="U124" s="64"/>
      <c r="V124" s="64"/>
      <c r="W124" s="64"/>
      <c r="X124" s="64"/>
      <c r="Y124" s="64"/>
    </row>
    <row r="125">
      <c r="A125" s="64"/>
      <c r="B125" s="64"/>
      <c r="C125" s="64"/>
      <c r="D125" s="64"/>
      <c r="E125" s="64"/>
      <c r="F125" s="64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64"/>
      <c r="S125" s="64"/>
      <c r="T125" s="64"/>
      <c r="U125" s="64"/>
      <c r="V125" s="64"/>
      <c r="W125" s="64"/>
      <c r="X125" s="64"/>
      <c r="Y125" s="64"/>
    </row>
    <row r="126">
      <c r="A126" s="64"/>
      <c r="B126" s="64"/>
      <c r="C126" s="64"/>
      <c r="D126" s="64"/>
      <c r="E126" s="64"/>
      <c r="F126" s="64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64"/>
      <c r="S126" s="64"/>
      <c r="T126" s="64"/>
      <c r="U126" s="64"/>
      <c r="V126" s="64"/>
      <c r="W126" s="64"/>
      <c r="X126" s="64"/>
      <c r="Y126" s="64"/>
    </row>
    <row r="127">
      <c r="A127" s="64"/>
      <c r="B127" s="64"/>
      <c r="C127" s="64"/>
      <c r="D127" s="64"/>
      <c r="E127" s="64"/>
      <c r="F127" s="64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64"/>
      <c r="S127" s="64"/>
      <c r="T127" s="64"/>
      <c r="U127" s="64"/>
      <c r="V127" s="64"/>
      <c r="W127" s="64"/>
      <c r="X127" s="64"/>
      <c r="Y127" s="64"/>
    </row>
    <row r="128">
      <c r="A128" s="64"/>
      <c r="B128" s="64"/>
      <c r="C128" s="64"/>
      <c r="D128" s="64"/>
      <c r="E128" s="64"/>
      <c r="F128" s="64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64"/>
      <c r="S128" s="64"/>
      <c r="T128" s="64"/>
      <c r="U128" s="64"/>
      <c r="V128" s="64"/>
      <c r="W128" s="64"/>
      <c r="X128" s="64"/>
      <c r="Y128" s="64"/>
    </row>
    <row r="129">
      <c r="A129" s="64"/>
      <c r="B129" s="64"/>
      <c r="C129" s="64"/>
      <c r="D129" s="64"/>
      <c r="E129" s="64"/>
      <c r="F129" s="64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64"/>
      <c r="S129" s="64"/>
      <c r="T129" s="64"/>
      <c r="U129" s="64"/>
      <c r="V129" s="64"/>
      <c r="W129" s="64"/>
      <c r="X129" s="64"/>
      <c r="Y129" s="64"/>
    </row>
    <row r="130">
      <c r="A130" s="64"/>
      <c r="B130" s="64"/>
      <c r="C130" s="64"/>
      <c r="D130" s="64"/>
      <c r="E130" s="64"/>
      <c r="F130" s="64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64"/>
      <c r="S130" s="64"/>
      <c r="T130" s="64"/>
      <c r="U130" s="64"/>
      <c r="V130" s="64"/>
      <c r="W130" s="64"/>
      <c r="X130" s="64"/>
      <c r="Y130" s="64"/>
    </row>
    <row r="131">
      <c r="A131" s="64"/>
      <c r="B131" s="64"/>
      <c r="C131" s="64"/>
      <c r="D131" s="64"/>
      <c r="E131" s="64"/>
      <c r="F131" s="64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64"/>
      <c r="S131" s="64"/>
      <c r="T131" s="64"/>
      <c r="U131" s="64"/>
      <c r="V131" s="64"/>
      <c r="W131" s="64"/>
      <c r="X131" s="64"/>
      <c r="Y131" s="64"/>
    </row>
    <row r="132">
      <c r="A132" s="64"/>
      <c r="B132" s="64"/>
      <c r="C132" s="64"/>
      <c r="D132" s="64"/>
      <c r="E132" s="64"/>
      <c r="F132" s="64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64"/>
      <c r="S132" s="64"/>
      <c r="T132" s="64"/>
      <c r="U132" s="64"/>
      <c r="V132" s="64"/>
      <c r="W132" s="64"/>
      <c r="X132" s="64"/>
      <c r="Y132" s="64"/>
    </row>
    <row r="133">
      <c r="A133" s="64"/>
      <c r="B133" s="64"/>
      <c r="C133" s="64"/>
      <c r="D133" s="64"/>
      <c r="E133" s="64"/>
      <c r="F133" s="64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64"/>
      <c r="S133" s="64"/>
      <c r="T133" s="64"/>
      <c r="U133" s="64"/>
      <c r="V133" s="64"/>
      <c r="W133" s="64"/>
      <c r="X133" s="64"/>
      <c r="Y133" s="64"/>
    </row>
    <row r="134">
      <c r="A134" s="64"/>
      <c r="B134" s="64"/>
      <c r="C134" s="64"/>
      <c r="D134" s="64"/>
      <c r="E134" s="64"/>
      <c r="F134" s="64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64"/>
      <c r="S134" s="64"/>
      <c r="T134" s="64"/>
      <c r="U134" s="64"/>
      <c r="V134" s="64"/>
      <c r="W134" s="64"/>
      <c r="X134" s="64"/>
      <c r="Y134" s="64"/>
    </row>
    <row r="135">
      <c r="A135" s="64"/>
      <c r="B135" s="64"/>
      <c r="C135" s="64"/>
      <c r="D135" s="64"/>
      <c r="E135" s="64"/>
      <c r="F135" s="64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64"/>
      <c r="S135" s="64"/>
      <c r="T135" s="64"/>
      <c r="U135" s="64"/>
      <c r="V135" s="64"/>
      <c r="W135" s="64"/>
      <c r="X135" s="64"/>
      <c r="Y135" s="64"/>
    </row>
    <row r="136">
      <c r="A136" s="64"/>
      <c r="B136" s="64"/>
      <c r="C136" s="64"/>
      <c r="D136" s="64"/>
      <c r="E136" s="64"/>
      <c r="F136" s="64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64"/>
      <c r="S136" s="64"/>
      <c r="T136" s="64"/>
      <c r="U136" s="64"/>
      <c r="V136" s="64"/>
      <c r="W136" s="64"/>
      <c r="X136" s="64"/>
      <c r="Y136" s="64"/>
    </row>
    <row r="137">
      <c r="A137" s="64"/>
      <c r="B137" s="64"/>
      <c r="C137" s="64"/>
      <c r="D137" s="64"/>
      <c r="E137" s="64"/>
      <c r="F137" s="64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64"/>
      <c r="S137" s="64"/>
      <c r="T137" s="64"/>
      <c r="U137" s="64"/>
      <c r="V137" s="64"/>
      <c r="W137" s="64"/>
      <c r="X137" s="64"/>
      <c r="Y137" s="64"/>
    </row>
    <row r="138">
      <c r="A138" s="64"/>
      <c r="B138" s="64"/>
      <c r="C138" s="64"/>
      <c r="D138" s="64"/>
      <c r="E138" s="64"/>
      <c r="F138" s="64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64"/>
      <c r="S138" s="64"/>
      <c r="T138" s="64"/>
      <c r="U138" s="64"/>
      <c r="V138" s="64"/>
      <c r="W138" s="64"/>
      <c r="X138" s="64"/>
      <c r="Y138" s="64"/>
    </row>
    <row r="139">
      <c r="A139" s="64"/>
      <c r="B139" s="64"/>
      <c r="C139" s="64"/>
      <c r="D139" s="64"/>
      <c r="E139" s="64"/>
      <c r="F139" s="64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64"/>
      <c r="S139" s="64"/>
      <c r="T139" s="64"/>
      <c r="U139" s="64"/>
      <c r="V139" s="64"/>
      <c r="W139" s="64"/>
      <c r="X139" s="64"/>
      <c r="Y139" s="64"/>
    </row>
    <row r="140">
      <c r="A140" s="64"/>
      <c r="B140" s="64"/>
      <c r="C140" s="64"/>
      <c r="D140" s="64"/>
      <c r="E140" s="64"/>
      <c r="F140" s="64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64"/>
      <c r="S140" s="64"/>
      <c r="T140" s="64"/>
      <c r="U140" s="64"/>
      <c r="V140" s="64"/>
      <c r="W140" s="64"/>
      <c r="X140" s="64"/>
      <c r="Y140" s="64"/>
    </row>
    <row r="141">
      <c r="A141" s="64"/>
      <c r="B141" s="64"/>
      <c r="C141" s="64"/>
      <c r="D141" s="64"/>
      <c r="E141" s="64"/>
      <c r="F141" s="64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64"/>
      <c r="S141" s="64"/>
      <c r="T141" s="64"/>
      <c r="U141" s="64"/>
      <c r="V141" s="64"/>
      <c r="W141" s="64"/>
      <c r="X141" s="64"/>
      <c r="Y141" s="64"/>
    </row>
    <row r="142">
      <c r="A142" s="64"/>
      <c r="B142" s="64"/>
      <c r="C142" s="64"/>
      <c r="D142" s="64"/>
      <c r="E142" s="64"/>
      <c r="F142" s="64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64"/>
      <c r="S142" s="64"/>
      <c r="T142" s="64"/>
      <c r="U142" s="64"/>
      <c r="V142" s="64"/>
      <c r="W142" s="64"/>
      <c r="X142" s="64"/>
      <c r="Y142" s="64"/>
    </row>
    <row r="143">
      <c r="A143" s="64"/>
      <c r="B143" s="64"/>
      <c r="C143" s="64"/>
      <c r="D143" s="64"/>
      <c r="E143" s="64"/>
      <c r="F143" s="64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64"/>
      <c r="S143" s="64"/>
      <c r="T143" s="64"/>
      <c r="U143" s="64"/>
      <c r="V143" s="64"/>
      <c r="W143" s="64"/>
      <c r="X143" s="64"/>
      <c r="Y143" s="64"/>
    </row>
    <row r="144">
      <c r="A144" s="64"/>
      <c r="B144" s="64"/>
      <c r="C144" s="64"/>
      <c r="D144" s="64"/>
      <c r="E144" s="64"/>
      <c r="F144" s="64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64"/>
      <c r="S144" s="64"/>
      <c r="T144" s="64"/>
      <c r="U144" s="64"/>
      <c r="V144" s="64"/>
      <c r="W144" s="64"/>
      <c r="X144" s="64"/>
      <c r="Y144" s="64"/>
    </row>
    <row r="145">
      <c r="A145" s="64"/>
      <c r="B145" s="64"/>
      <c r="C145" s="64"/>
      <c r="D145" s="64"/>
      <c r="E145" s="64"/>
      <c r="F145" s="64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64"/>
      <c r="S145" s="64"/>
      <c r="T145" s="64"/>
      <c r="U145" s="64"/>
      <c r="V145" s="64"/>
      <c r="W145" s="64"/>
      <c r="X145" s="64"/>
      <c r="Y145" s="64"/>
    </row>
    <row r="146">
      <c r="A146" s="64"/>
      <c r="B146" s="64"/>
      <c r="C146" s="64"/>
      <c r="D146" s="64"/>
      <c r="E146" s="64"/>
      <c r="F146" s="64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64"/>
      <c r="S146" s="64"/>
      <c r="T146" s="64"/>
      <c r="U146" s="64"/>
      <c r="V146" s="64"/>
      <c r="W146" s="64"/>
      <c r="X146" s="64"/>
      <c r="Y146" s="64"/>
    </row>
    <row r="147">
      <c r="A147" s="64"/>
      <c r="B147" s="64"/>
      <c r="C147" s="64"/>
      <c r="D147" s="64"/>
      <c r="E147" s="64"/>
      <c r="F147" s="64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64"/>
      <c r="S147" s="64"/>
      <c r="T147" s="64"/>
      <c r="U147" s="64"/>
      <c r="V147" s="64"/>
      <c r="W147" s="64"/>
      <c r="X147" s="64"/>
      <c r="Y147" s="64"/>
    </row>
    <row r="148">
      <c r="A148" s="64"/>
      <c r="B148" s="64"/>
      <c r="C148" s="64"/>
      <c r="D148" s="64"/>
      <c r="E148" s="64"/>
      <c r="F148" s="64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64"/>
      <c r="S148" s="64"/>
      <c r="T148" s="64"/>
      <c r="U148" s="64"/>
      <c r="V148" s="64"/>
      <c r="W148" s="64"/>
      <c r="X148" s="64"/>
      <c r="Y148" s="64"/>
    </row>
    <row r="149">
      <c r="A149" s="64"/>
      <c r="B149" s="64"/>
      <c r="C149" s="64"/>
      <c r="D149" s="64"/>
      <c r="E149" s="64"/>
      <c r="F149" s="64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64"/>
      <c r="S149" s="64"/>
      <c r="T149" s="64"/>
      <c r="U149" s="64"/>
      <c r="V149" s="64"/>
      <c r="W149" s="64"/>
      <c r="X149" s="64"/>
      <c r="Y149" s="64"/>
    </row>
    <row r="150">
      <c r="A150" s="64"/>
      <c r="B150" s="64"/>
      <c r="C150" s="64"/>
      <c r="D150" s="64"/>
      <c r="E150" s="64"/>
      <c r="F150" s="64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64"/>
      <c r="S150" s="64"/>
      <c r="T150" s="64"/>
      <c r="U150" s="64"/>
      <c r="V150" s="64"/>
      <c r="W150" s="64"/>
      <c r="X150" s="64"/>
      <c r="Y150" s="64"/>
    </row>
    <row r="151">
      <c r="A151" s="64"/>
      <c r="B151" s="64"/>
      <c r="C151" s="64"/>
      <c r="D151" s="64"/>
      <c r="E151" s="64"/>
      <c r="F151" s="64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64"/>
      <c r="S151" s="64"/>
      <c r="T151" s="64"/>
      <c r="U151" s="64"/>
      <c r="V151" s="64"/>
      <c r="W151" s="64"/>
      <c r="X151" s="64"/>
      <c r="Y151" s="64"/>
    </row>
    <row r="152">
      <c r="A152" s="64"/>
      <c r="B152" s="64"/>
      <c r="C152" s="64"/>
      <c r="D152" s="64"/>
      <c r="E152" s="64"/>
      <c r="F152" s="64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64"/>
      <c r="S152" s="64"/>
      <c r="T152" s="64"/>
      <c r="U152" s="64"/>
      <c r="V152" s="64"/>
      <c r="W152" s="64"/>
      <c r="X152" s="64"/>
      <c r="Y152" s="64"/>
    </row>
    <row r="153">
      <c r="A153" s="64"/>
      <c r="B153" s="64"/>
      <c r="C153" s="64"/>
      <c r="D153" s="64"/>
      <c r="E153" s="64"/>
      <c r="F153" s="64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64"/>
      <c r="S153" s="64"/>
      <c r="T153" s="64"/>
      <c r="U153" s="64"/>
      <c r="V153" s="64"/>
      <c r="W153" s="64"/>
      <c r="X153" s="64"/>
      <c r="Y153" s="64"/>
    </row>
    <row r="154">
      <c r="A154" s="64"/>
      <c r="B154" s="64"/>
      <c r="C154" s="64"/>
      <c r="D154" s="64"/>
      <c r="E154" s="64"/>
      <c r="F154" s="64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64"/>
      <c r="S154" s="64"/>
      <c r="T154" s="64"/>
      <c r="U154" s="64"/>
      <c r="V154" s="64"/>
      <c r="W154" s="64"/>
      <c r="X154" s="64"/>
      <c r="Y154" s="64"/>
    </row>
    <row r="155">
      <c r="A155" s="64"/>
      <c r="B155" s="64"/>
      <c r="C155" s="64"/>
      <c r="D155" s="64"/>
      <c r="E155" s="64"/>
      <c r="F155" s="64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64"/>
      <c r="S155" s="64"/>
      <c r="T155" s="64"/>
      <c r="U155" s="64"/>
      <c r="V155" s="64"/>
      <c r="W155" s="64"/>
      <c r="X155" s="64"/>
      <c r="Y155" s="64"/>
    </row>
    <row r="156">
      <c r="A156" s="64"/>
      <c r="B156" s="64"/>
      <c r="C156" s="64"/>
      <c r="D156" s="64"/>
      <c r="E156" s="64"/>
      <c r="F156" s="64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64"/>
      <c r="S156" s="64"/>
      <c r="T156" s="64"/>
      <c r="U156" s="64"/>
      <c r="V156" s="64"/>
      <c r="W156" s="64"/>
      <c r="X156" s="64"/>
      <c r="Y156" s="64"/>
    </row>
    <row r="157">
      <c r="A157" s="64"/>
      <c r="B157" s="64"/>
      <c r="C157" s="64"/>
      <c r="D157" s="64"/>
      <c r="E157" s="64"/>
      <c r="F157" s="64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64"/>
      <c r="S157" s="64"/>
      <c r="T157" s="64"/>
      <c r="U157" s="64"/>
      <c r="V157" s="64"/>
      <c r="W157" s="64"/>
      <c r="X157" s="64"/>
      <c r="Y157" s="64"/>
    </row>
    <row r="158">
      <c r="A158" s="64"/>
      <c r="B158" s="64"/>
      <c r="C158" s="64"/>
      <c r="D158" s="64"/>
      <c r="E158" s="64"/>
      <c r="F158" s="64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64"/>
      <c r="S158" s="64"/>
      <c r="T158" s="64"/>
      <c r="U158" s="64"/>
      <c r="V158" s="64"/>
      <c r="W158" s="64"/>
      <c r="X158" s="64"/>
      <c r="Y158" s="64"/>
    </row>
    <row r="159">
      <c r="A159" s="64"/>
      <c r="B159" s="64"/>
      <c r="C159" s="64"/>
      <c r="D159" s="64"/>
      <c r="E159" s="64"/>
      <c r="F159" s="64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64"/>
      <c r="S159" s="64"/>
      <c r="T159" s="64"/>
      <c r="U159" s="64"/>
      <c r="V159" s="64"/>
      <c r="W159" s="64"/>
      <c r="X159" s="64"/>
      <c r="Y159" s="64"/>
    </row>
    <row r="160">
      <c r="A160" s="64"/>
      <c r="B160" s="64"/>
      <c r="C160" s="64"/>
      <c r="D160" s="64"/>
      <c r="E160" s="64"/>
      <c r="F160" s="64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64"/>
      <c r="S160" s="64"/>
      <c r="T160" s="64"/>
      <c r="U160" s="64"/>
      <c r="V160" s="64"/>
      <c r="W160" s="64"/>
      <c r="X160" s="64"/>
      <c r="Y160" s="64"/>
    </row>
    <row r="161">
      <c r="A161" s="64"/>
      <c r="B161" s="64"/>
      <c r="C161" s="64"/>
      <c r="D161" s="64"/>
      <c r="E161" s="64"/>
      <c r="F161" s="64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64"/>
      <c r="S161" s="64"/>
      <c r="T161" s="64"/>
      <c r="U161" s="64"/>
      <c r="V161" s="64"/>
      <c r="W161" s="64"/>
      <c r="X161" s="64"/>
      <c r="Y161" s="64"/>
    </row>
    <row r="162">
      <c r="A162" s="64"/>
      <c r="B162" s="64"/>
      <c r="C162" s="64"/>
      <c r="D162" s="64"/>
      <c r="E162" s="64"/>
      <c r="F162" s="64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64"/>
      <c r="S162" s="64"/>
      <c r="T162" s="64"/>
      <c r="U162" s="64"/>
      <c r="V162" s="64"/>
      <c r="W162" s="64"/>
      <c r="X162" s="64"/>
      <c r="Y162" s="64"/>
    </row>
    <row r="163">
      <c r="A163" s="64"/>
      <c r="B163" s="64"/>
      <c r="C163" s="64"/>
      <c r="D163" s="64"/>
      <c r="E163" s="64"/>
      <c r="F163" s="64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64"/>
      <c r="S163" s="64"/>
      <c r="T163" s="64"/>
      <c r="U163" s="64"/>
      <c r="V163" s="64"/>
      <c r="W163" s="64"/>
      <c r="X163" s="64"/>
      <c r="Y163" s="64"/>
    </row>
    <row r="164">
      <c r="A164" s="64"/>
      <c r="B164" s="64"/>
      <c r="C164" s="64"/>
      <c r="D164" s="64"/>
      <c r="E164" s="64"/>
      <c r="F164" s="64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64"/>
      <c r="S164" s="64"/>
      <c r="T164" s="64"/>
      <c r="U164" s="64"/>
      <c r="V164" s="64"/>
      <c r="W164" s="64"/>
      <c r="X164" s="64"/>
      <c r="Y164" s="64"/>
    </row>
    <row r="165">
      <c r="A165" s="64"/>
      <c r="B165" s="64"/>
      <c r="C165" s="64"/>
      <c r="D165" s="64"/>
      <c r="E165" s="64"/>
      <c r="F165" s="64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64"/>
      <c r="S165" s="64"/>
      <c r="T165" s="64"/>
      <c r="U165" s="64"/>
      <c r="V165" s="64"/>
      <c r="W165" s="64"/>
      <c r="X165" s="64"/>
      <c r="Y165" s="64"/>
    </row>
    <row r="166">
      <c r="A166" s="64"/>
      <c r="B166" s="64"/>
      <c r="C166" s="64"/>
      <c r="D166" s="64"/>
      <c r="E166" s="64"/>
      <c r="F166" s="64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64"/>
      <c r="S166" s="64"/>
      <c r="T166" s="64"/>
      <c r="U166" s="64"/>
      <c r="V166" s="64"/>
      <c r="W166" s="64"/>
      <c r="X166" s="64"/>
      <c r="Y166" s="64"/>
    </row>
    <row r="167">
      <c r="A167" s="64"/>
      <c r="B167" s="64"/>
      <c r="C167" s="64"/>
      <c r="D167" s="64"/>
      <c r="E167" s="64"/>
      <c r="F167" s="64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64"/>
      <c r="S167" s="64"/>
      <c r="T167" s="64"/>
      <c r="U167" s="64"/>
      <c r="V167" s="64"/>
      <c r="W167" s="64"/>
      <c r="X167" s="64"/>
      <c r="Y167" s="64"/>
    </row>
    <row r="168">
      <c r="A168" s="64"/>
      <c r="B168" s="64"/>
      <c r="C168" s="64"/>
      <c r="D168" s="64"/>
      <c r="E168" s="64"/>
      <c r="F168" s="64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64"/>
      <c r="S168" s="64"/>
      <c r="T168" s="64"/>
      <c r="U168" s="64"/>
      <c r="V168" s="64"/>
      <c r="W168" s="64"/>
      <c r="X168" s="64"/>
      <c r="Y168" s="64"/>
    </row>
    <row r="169">
      <c r="A169" s="64"/>
      <c r="B169" s="64"/>
      <c r="C169" s="64"/>
      <c r="D169" s="64"/>
      <c r="E169" s="64"/>
      <c r="F169" s="64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64"/>
      <c r="S169" s="64"/>
      <c r="T169" s="64"/>
      <c r="U169" s="64"/>
      <c r="V169" s="64"/>
      <c r="W169" s="64"/>
      <c r="X169" s="64"/>
      <c r="Y169" s="64"/>
    </row>
    <row r="170">
      <c r="A170" s="64"/>
      <c r="B170" s="64"/>
      <c r="C170" s="64"/>
      <c r="D170" s="64"/>
      <c r="E170" s="64"/>
      <c r="F170" s="64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64"/>
      <c r="S170" s="64"/>
      <c r="T170" s="64"/>
      <c r="U170" s="64"/>
      <c r="V170" s="64"/>
      <c r="W170" s="64"/>
      <c r="X170" s="64"/>
      <c r="Y170" s="64"/>
    </row>
    <row r="171">
      <c r="A171" s="64"/>
      <c r="B171" s="64"/>
      <c r="C171" s="64"/>
      <c r="D171" s="64"/>
      <c r="E171" s="64"/>
      <c r="F171" s="64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64"/>
      <c r="S171" s="64"/>
      <c r="T171" s="64"/>
      <c r="U171" s="64"/>
      <c r="V171" s="64"/>
      <c r="W171" s="64"/>
      <c r="X171" s="64"/>
      <c r="Y171" s="64"/>
    </row>
    <row r="172">
      <c r="A172" s="64"/>
      <c r="B172" s="64"/>
      <c r="C172" s="64"/>
      <c r="D172" s="64"/>
      <c r="E172" s="64"/>
      <c r="F172" s="64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64"/>
      <c r="S172" s="64"/>
      <c r="T172" s="64"/>
      <c r="U172" s="64"/>
      <c r="V172" s="64"/>
      <c r="W172" s="64"/>
      <c r="X172" s="64"/>
      <c r="Y172" s="64"/>
    </row>
    <row r="173">
      <c r="A173" s="64"/>
      <c r="B173" s="64"/>
      <c r="C173" s="64"/>
      <c r="D173" s="64"/>
      <c r="E173" s="64"/>
      <c r="F173" s="64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64"/>
      <c r="S173" s="64"/>
      <c r="T173" s="64"/>
      <c r="U173" s="64"/>
      <c r="V173" s="64"/>
      <c r="W173" s="64"/>
      <c r="X173" s="64"/>
      <c r="Y173" s="64"/>
    </row>
    <row r="174">
      <c r="A174" s="64"/>
      <c r="B174" s="64"/>
      <c r="C174" s="64"/>
      <c r="D174" s="64"/>
      <c r="E174" s="64"/>
      <c r="F174" s="64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64"/>
      <c r="S174" s="64"/>
      <c r="T174" s="64"/>
      <c r="U174" s="64"/>
      <c r="V174" s="64"/>
      <c r="W174" s="64"/>
      <c r="X174" s="64"/>
      <c r="Y174" s="64"/>
    </row>
    <row r="175">
      <c r="A175" s="64"/>
      <c r="B175" s="64"/>
      <c r="C175" s="64"/>
      <c r="D175" s="64"/>
      <c r="E175" s="64"/>
      <c r="F175" s="64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64"/>
      <c r="S175" s="64"/>
      <c r="T175" s="64"/>
      <c r="U175" s="64"/>
      <c r="V175" s="64"/>
      <c r="W175" s="64"/>
      <c r="X175" s="64"/>
      <c r="Y175" s="64"/>
    </row>
    <row r="176">
      <c r="A176" s="64"/>
      <c r="B176" s="64"/>
      <c r="C176" s="64"/>
      <c r="D176" s="64"/>
      <c r="E176" s="64"/>
      <c r="F176" s="64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64"/>
      <c r="S176" s="64"/>
      <c r="T176" s="64"/>
      <c r="U176" s="64"/>
      <c r="V176" s="64"/>
      <c r="W176" s="64"/>
      <c r="X176" s="64"/>
      <c r="Y176" s="64"/>
    </row>
    <row r="177">
      <c r="A177" s="64"/>
      <c r="B177" s="64"/>
      <c r="C177" s="64"/>
      <c r="D177" s="64"/>
      <c r="E177" s="64"/>
      <c r="F177" s="64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64"/>
      <c r="S177" s="64"/>
      <c r="T177" s="64"/>
      <c r="U177" s="64"/>
      <c r="V177" s="64"/>
      <c r="W177" s="64"/>
      <c r="X177" s="64"/>
      <c r="Y177" s="64"/>
    </row>
    <row r="178">
      <c r="A178" s="64"/>
      <c r="B178" s="64"/>
      <c r="C178" s="64"/>
      <c r="D178" s="64"/>
      <c r="E178" s="64"/>
      <c r="F178" s="64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64"/>
      <c r="S178" s="64"/>
      <c r="T178" s="64"/>
      <c r="U178" s="64"/>
      <c r="V178" s="64"/>
      <c r="W178" s="64"/>
      <c r="X178" s="64"/>
      <c r="Y178" s="64"/>
    </row>
    <row r="179">
      <c r="A179" s="64"/>
      <c r="B179" s="64"/>
      <c r="C179" s="64"/>
      <c r="D179" s="64"/>
      <c r="E179" s="64"/>
      <c r="F179" s="64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64"/>
      <c r="S179" s="64"/>
      <c r="T179" s="64"/>
      <c r="U179" s="64"/>
      <c r="V179" s="64"/>
      <c r="W179" s="64"/>
      <c r="X179" s="64"/>
      <c r="Y179" s="64"/>
    </row>
    <row r="180">
      <c r="A180" s="64"/>
      <c r="B180" s="64"/>
      <c r="C180" s="64"/>
      <c r="D180" s="64"/>
      <c r="E180" s="64"/>
      <c r="F180" s="64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64"/>
      <c r="S180" s="64"/>
      <c r="T180" s="64"/>
      <c r="U180" s="64"/>
      <c r="V180" s="64"/>
      <c r="W180" s="64"/>
      <c r="X180" s="64"/>
      <c r="Y180" s="64"/>
    </row>
    <row r="181">
      <c r="A181" s="64"/>
      <c r="B181" s="64"/>
      <c r="C181" s="64"/>
      <c r="D181" s="64"/>
      <c r="E181" s="64"/>
      <c r="F181" s="64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64"/>
      <c r="S181" s="64"/>
      <c r="T181" s="64"/>
      <c r="U181" s="64"/>
      <c r="V181" s="64"/>
      <c r="W181" s="64"/>
      <c r="X181" s="64"/>
      <c r="Y181" s="64"/>
    </row>
    <row r="182">
      <c r="A182" s="64"/>
      <c r="B182" s="64"/>
      <c r="C182" s="64"/>
      <c r="D182" s="64"/>
      <c r="E182" s="64"/>
      <c r="F182" s="64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64"/>
      <c r="S182" s="64"/>
      <c r="T182" s="64"/>
      <c r="U182" s="64"/>
      <c r="V182" s="64"/>
      <c r="W182" s="64"/>
      <c r="X182" s="64"/>
      <c r="Y182" s="64"/>
    </row>
    <row r="183">
      <c r="A183" s="64"/>
      <c r="B183" s="64"/>
      <c r="C183" s="64"/>
      <c r="D183" s="64"/>
      <c r="E183" s="64"/>
      <c r="F183" s="64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64"/>
      <c r="S183" s="64"/>
      <c r="T183" s="64"/>
      <c r="U183" s="64"/>
      <c r="V183" s="64"/>
      <c r="W183" s="64"/>
      <c r="X183" s="64"/>
      <c r="Y183" s="64"/>
    </row>
    <row r="184">
      <c r="A184" s="64"/>
      <c r="B184" s="64"/>
      <c r="C184" s="64"/>
      <c r="D184" s="64"/>
      <c r="E184" s="64"/>
      <c r="F184" s="64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64"/>
      <c r="S184" s="64"/>
      <c r="T184" s="64"/>
      <c r="U184" s="64"/>
      <c r="V184" s="64"/>
      <c r="W184" s="64"/>
      <c r="X184" s="64"/>
      <c r="Y184" s="64"/>
    </row>
    <row r="185">
      <c r="A185" s="64"/>
      <c r="B185" s="64"/>
      <c r="C185" s="64"/>
      <c r="D185" s="64"/>
      <c r="E185" s="64"/>
      <c r="F185" s="64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64"/>
      <c r="S185" s="64"/>
      <c r="T185" s="64"/>
      <c r="U185" s="64"/>
      <c r="V185" s="64"/>
      <c r="W185" s="64"/>
      <c r="X185" s="64"/>
      <c r="Y185" s="64"/>
    </row>
    <row r="186">
      <c r="A186" s="64"/>
      <c r="B186" s="64"/>
      <c r="C186" s="64"/>
      <c r="D186" s="64"/>
      <c r="E186" s="64"/>
      <c r="F186" s="64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64"/>
      <c r="S186" s="64"/>
      <c r="T186" s="64"/>
      <c r="U186" s="64"/>
      <c r="V186" s="64"/>
      <c r="W186" s="64"/>
      <c r="X186" s="64"/>
      <c r="Y186" s="64"/>
    </row>
    <row r="187">
      <c r="A187" s="64"/>
      <c r="B187" s="64"/>
      <c r="C187" s="64"/>
      <c r="D187" s="64"/>
      <c r="E187" s="64"/>
      <c r="F187" s="64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64"/>
      <c r="S187" s="64"/>
      <c r="T187" s="64"/>
      <c r="U187" s="64"/>
      <c r="V187" s="64"/>
      <c r="W187" s="64"/>
      <c r="X187" s="64"/>
      <c r="Y187" s="64"/>
    </row>
    <row r="188">
      <c r="A188" s="64"/>
      <c r="B188" s="64"/>
      <c r="C188" s="64"/>
      <c r="D188" s="64"/>
      <c r="E188" s="64"/>
      <c r="F188" s="64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64"/>
      <c r="S188" s="64"/>
      <c r="T188" s="64"/>
      <c r="U188" s="64"/>
      <c r="V188" s="64"/>
      <c r="W188" s="64"/>
      <c r="X188" s="64"/>
      <c r="Y188" s="64"/>
    </row>
    <row r="189">
      <c r="A189" s="64"/>
      <c r="B189" s="64"/>
      <c r="C189" s="64"/>
      <c r="D189" s="64"/>
      <c r="E189" s="64"/>
      <c r="F189" s="64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64"/>
      <c r="S189" s="64"/>
      <c r="T189" s="64"/>
      <c r="U189" s="64"/>
      <c r="V189" s="64"/>
      <c r="W189" s="64"/>
      <c r="X189" s="64"/>
      <c r="Y189" s="64"/>
    </row>
    <row r="190">
      <c r="A190" s="64"/>
      <c r="B190" s="64"/>
      <c r="C190" s="64"/>
      <c r="D190" s="64"/>
      <c r="E190" s="64"/>
      <c r="F190" s="64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64"/>
      <c r="S190" s="64"/>
      <c r="T190" s="64"/>
      <c r="U190" s="64"/>
      <c r="V190" s="64"/>
      <c r="W190" s="64"/>
      <c r="X190" s="64"/>
      <c r="Y190" s="64"/>
    </row>
    <row r="191">
      <c r="A191" s="64"/>
      <c r="B191" s="64"/>
      <c r="C191" s="64"/>
      <c r="D191" s="64"/>
      <c r="E191" s="64"/>
      <c r="F191" s="64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64"/>
      <c r="S191" s="64"/>
      <c r="T191" s="64"/>
      <c r="U191" s="64"/>
      <c r="V191" s="64"/>
      <c r="W191" s="64"/>
      <c r="X191" s="64"/>
      <c r="Y191" s="64"/>
    </row>
    <row r="192">
      <c r="A192" s="64"/>
      <c r="B192" s="64"/>
      <c r="C192" s="64"/>
      <c r="D192" s="64"/>
      <c r="E192" s="64"/>
      <c r="F192" s="64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64"/>
      <c r="S192" s="64"/>
      <c r="T192" s="64"/>
      <c r="U192" s="64"/>
      <c r="V192" s="64"/>
      <c r="W192" s="64"/>
      <c r="X192" s="64"/>
      <c r="Y192" s="64"/>
    </row>
    <row r="193">
      <c r="A193" s="64"/>
      <c r="B193" s="64"/>
      <c r="C193" s="64"/>
      <c r="D193" s="64"/>
      <c r="E193" s="64"/>
      <c r="F193" s="64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64"/>
      <c r="S193" s="64"/>
      <c r="T193" s="64"/>
      <c r="U193" s="64"/>
      <c r="V193" s="64"/>
      <c r="W193" s="64"/>
      <c r="X193" s="64"/>
      <c r="Y193" s="64"/>
    </row>
    <row r="194">
      <c r="A194" s="64"/>
      <c r="B194" s="64"/>
      <c r="C194" s="64"/>
      <c r="D194" s="64"/>
      <c r="E194" s="64"/>
      <c r="F194" s="64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64"/>
      <c r="S194" s="64"/>
      <c r="T194" s="64"/>
      <c r="U194" s="64"/>
      <c r="V194" s="64"/>
      <c r="W194" s="64"/>
      <c r="X194" s="64"/>
      <c r="Y194" s="64"/>
    </row>
    <row r="195">
      <c r="A195" s="64"/>
      <c r="B195" s="64"/>
      <c r="C195" s="64"/>
      <c r="D195" s="64"/>
      <c r="E195" s="64"/>
      <c r="F195" s="64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64"/>
      <c r="S195" s="64"/>
      <c r="T195" s="64"/>
      <c r="U195" s="64"/>
      <c r="V195" s="64"/>
      <c r="W195" s="64"/>
      <c r="X195" s="64"/>
      <c r="Y195" s="64"/>
    </row>
    <row r="196">
      <c r="A196" s="64"/>
      <c r="B196" s="64"/>
      <c r="C196" s="64"/>
      <c r="D196" s="64"/>
      <c r="E196" s="64"/>
      <c r="F196" s="64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64"/>
      <c r="S196" s="64"/>
      <c r="T196" s="64"/>
      <c r="U196" s="64"/>
      <c r="V196" s="64"/>
      <c r="W196" s="64"/>
      <c r="X196" s="64"/>
      <c r="Y196" s="64"/>
    </row>
    <row r="197">
      <c r="A197" s="64"/>
      <c r="B197" s="64"/>
      <c r="C197" s="64"/>
      <c r="D197" s="64"/>
      <c r="E197" s="64"/>
      <c r="F197" s="64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64"/>
      <c r="S197" s="64"/>
      <c r="T197" s="64"/>
      <c r="U197" s="64"/>
      <c r="V197" s="64"/>
      <c r="W197" s="64"/>
      <c r="X197" s="64"/>
      <c r="Y197" s="64"/>
    </row>
    <row r="198">
      <c r="A198" s="64"/>
      <c r="B198" s="64"/>
      <c r="C198" s="64"/>
      <c r="D198" s="64"/>
      <c r="E198" s="64"/>
      <c r="F198" s="64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64"/>
      <c r="S198" s="64"/>
      <c r="T198" s="64"/>
      <c r="U198" s="64"/>
      <c r="V198" s="64"/>
      <c r="W198" s="64"/>
      <c r="X198" s="64"/>
      <c r="Y198" s="64"/>
    </row>
    <row r="199">
      <c r="A199" s="64"/>
      <c r="B199" s="64"/>
      <c r="C199" s="64"/>
      <c r="D199" s="64"/>
      <c r="E199" s="64"/>
      <c r="F199" s="64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64"/>
      <c r="S199" s="64"/>
      <c r="T199" s="64"/>
      <c r="U199" s="64"/>
      <c r="V199" s="64"/>
      <c r="W199" s="64"/>
      <c r="X199" s="64"/>
      <c r="Y199" s="64"/>
    </row>
    <row r="200">
      <c r="A200" s="64"/>
      <c r="B200" s="64"/>
      <c r="C200" s="64"/>
      <c r="D200" s="64"/>
      <c r="E200" s="64"/>
      <c r="F200" s="64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64"/>
      <c r="S200" s="64"/>
      <c r="T200" s="64"/>
      <c r="U200" s="64"/>
      <c r="V200" s="64"/>
      <c r="W200" s="64"/>
      <c r="X200" s="64"/>
      <c r="Y200" s="64"/>
    </row>
    <row r="201">
      <c r="A201" s="64"/>
      <c r="B201" s="64"/>
      <c r="C201" s="64"/>
      <c r="D201" s="64"/>
      <c r="E201" s="64"/>
      <c r="F201" s="64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64"/>
      <c r="S201" s="64"/>
      <c r="T201" s="64"/>
      <c r="U201" s="64"/>
      <c r="V201" s="64"/>
      <c r="W201" s="64"/>
      <c r="X201" s="64"/>
      <c r="Y201" s="64"/>
    </row>
    <row r="202">
      <c r="A202" s="64"/>
      <c r="B202" s="64"/>
      <c r="C202" s="64"/>
      <c r="D202" s="64"/>
      <c r="E202" s="64"/>
      <c r="F202" s="64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64"/>
      <c r="S202" s="64"/>
      <c r="T202" s="64"/>
      <c r="U202" s="64"/>
      <c r="V202" s="64"/>
      <c r="W202" s="64"/>
      <c r="X202" s="64"/>
      <c r="Y202" s="64"/>
    </row>
    <row r="203">
      <c r="A203" s="64"/>
      <c r="B203" s="64"/>
      <c r="C203" s="64"/>
      <c r="D203" s="64"/>
      <c r="E203" s="64"/>
      <c r="F203" s="64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64"/>
      <c r="S203" s="64"/>
      <c r="T203" s="64"/>
      <c r="U203" s="64"/>
      <c r="V203" s="64"/>
      <c r="W203" s="64"/>
      <c r="X203" s="64"/>
      <c r="Y203" s="64"/>
    </row>
    <row r="204">
      <c r="A204" s="64"/>
      <c r="B204" s="64"/>
      <c r="C204" s="64"/>
      <c r="D204" s="64"/>
      <c r="E204" s="64"/>
      <c r="F204" s="64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64"/>
      <c r="S204" s="64"/>
      <c r="T204" s="64"/>
      <c r="U204" s="64"/>
      <c r="V204" s="64"/>
      <c r="W204" s="64"/>
      <c r="X204" s="64"/>
      <c r="Y204" s="64"/>
    </row>
    <row r="205">
      <c r="A205" s="64"/>
      <c r="B205" s="64"/>
      <c r="C205" s="64"/>
      <c r="D205" s="64"/>
      <c r="E205" s="64"/>
      <c r="F205" s="64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64"/>
      <c r="S205" s="64"/>
      <c r="T205" s="64"/>
      <c r="U205" s="64"/>
      <c r="V205" s="64"/>
      <c r="W205" s="64"/>
      <c r="X205" s="64"/>
      <c r="Y205" s="64"/>
    </row>
    <row r="206">
      <c r="A206" s="64"/>
      <c r="B206" s="64"/>
      <c r="C206" s="64"/>
      <c r="D206" s="64"/>
      <c r="E206" s="64"/>
      <c r="F206" s="64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64"/>
      <c r="S206" s="64"/>
      <c r="T206" s="64"/>
      <c r="U206" s="64"/>
      <c r="V206" s="64"/>
      <c r="W206" s="64"/>
      <c r="X206" s="64"/>
      <c r="Y206" s="64"/>
    </row>
    <row r="207">
      <c r="A207" s="64"/>
      <c r="B207" s="64"/>
      <c r="C207" s="64"/>
      <c r="D207" s="64"/>
      <c r="E207" s="64"/>
      <c r="F207" s="64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64"/>
      <c r="S207" s="64"/>
      <c r="T207" s="64"/>
      <c r="U207" s="64"/>
      <c r="V207" s="64"/>
      <c r="W207" s="64"/>
      <c r="X207" s="64"/>
      <c r="Y207" s="64"/>
    </row>
    <row r="208">
      <c r="A208" s="64"/>
      <c r="B208" s="64"/>
      <c r="C208" s="64"/>
      <c r="D208" s="64"/>
      <c r="E208" s="64"/>
      <c r="F208" s="64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64"/>
      <c r="S208" s="64"/>
      <c r="T208" s="64"/>
      <c r="U208" s="64"/>
      <c r="V208" s="64"/>
      <c r="W208" s="64"/>
      <c r="X208" s="64"/>
      <c r="Y208" s="64"/>
    </row>
    <row r="209">
      <c r="A209" s="64"/>
      <c r="B209" s="64"/>
      <c r="C209" s="64"/>
      <c r="D209" s="64"/>
      <c r="E209" s="64"/>
      <c r="F209" s="64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64"/>
      <c r="S209" s="64"/>
      <c r="T209" s="64"/>
      <c r="U209" s="64"/>
      <c r="V209" s="64"/>
      <c r="W209" s="64"/>
      <c r="X209" s="64"/>
      <c r="Y209" s="64"/>
    </row>
    <row r="210">
      <c r="A210" s="64"/>
      <c r="B210" s="64"/>
      <c r="C210" s="64"/>
      <c r="D210" s="64"/>
      <c r="E210" s="64"/>
      <c r="F210" s="64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64"/>
      <c r="S210" s="64"/>
      <c r="T210" s="64"/>
      <c r="U210" s="64"/>
      <c r="V210" s="64"/>
      <c r="W210" s="64"/>
      <c r="X210" s="64"/>
      <c r="Y210" s="64"/>
    </row>
    <row r="211">
      <c r="A211" s="64"/>
      <c r="B211" s="64"/>
      <c r="C211" s="64"/>
      <c r="D211" s="64"/>
      <c r="E211" s="64"/>
      <c r="F211" s="64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64"/>
      <c r="S211" s="64"/>
      <c r="T211" s="64"/>
      <c r="U211" s="64"/>
      <c r="V211" s="64"/>
      <c r="W211" s="64"/>
      <c r="X211" s="64"/>
      <c r="Y211" s="64"/>
    </row>
    <row r="212">
      <c r="A212" s="64"/>
      <c r="B212" s="64"/>
      <c r="C212" s="64"/>
      <c r="D212" s="64"/>
      <c r="E212" s="64"/>
      <c r="F212" s="64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64"/>
      <c r="S212" s="64"/>
      <c r="T212" s="64"/>
      <c r="U212" s="64"/>
      <c r="V212" s="64"/>
      <c r="W212" s="64"/>
      <c r="X212" s="64"/>
      <c r="Y212" s="64"/>
    </row>
    <row r="213">
      <c r="A213" s="64"/>
      <c r="B213" s="64"/>
      <c r="C213" s="64"/>
      <c r="D213" s="64"/>
      <c r="E213" s="64"/>
      <c r="F213" s="64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64"/>
      <c r="S213" s="64"/>
      <c r="T213" s="64"/>
      <c r="U213" s="64"/>
      <c r="V213" s="64"/>
      <c r="W213" s="64"/>
      <c r="X213" s="64"/>
      <c r="Y213" s="64"/>
    </row>
    <row r="214">
      <c r="A214" s="64"/>
      <c r="B214" s="64"/>
      <c r="C214" s="64"/>
      <c r="D214" s="64"/>
      <c r="E214" s="64"/>
      <c r="F214" s="64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64"/>
      <c r="S214" s="64"/>
      <c r="T214" s="64"/>
      <c r="U214" s="64"/>
      <c r="V214" s="64"/>
      <c r="W214" s="64"/>
      <c r="X214" s="64"/>
      <c r="Y214" s="64"/>
    </row>
    <row r="215">
      <c r="A215" s="64"/>
      <c r="B215" s="64"/>
      <c r="C215" s="64"/>
      <c r="D215" s="64"/>
      <c r="E215" s="64"/>
      <c r="F215" s="64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64"/>
      <c r="S215" s="64"/>
      <c r="T215" s="64"/>
      <c r="U215" s="64"/>
      <c r="V215" s="64"/>
      <c r="W215" s="64"/>
      <c r="X215" s="64"/>
      <c r="Y215" s="64"/>
    </row>
    <row r="216">
      <c r="A216" s="64"/>
      <c r="B216" s="64"/>
      <c r="C216" s="64"/>
      <c r="D216" s="64"/>
      <c r="E216" s="64"/>
      <c r="F216" s="64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64"/>
      <c r="S216" s="64"/>
      <c r="T216" s="64"/>
      <c r="U216" s="64"/>
      <c r="V216" s="64"/>
      <c r="W216" s="64"/>
      <c r="X216" s="64"/>
      <c r="Y216" s="64"/>
    </row>
    <row r="217">
      <c r="A217" s="64"/>
      <c r="B217" s="64"/>
      <c r="C217" s="64"/>
      <c r="D217" s="64"/>
      <c r="E217" s="64"/>
      <c r="F217" s="64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64"/>
      <c r="S217" s="64"/>
      <c r="T217" s="64"/>
      <c r="U217" s="64"/>
      <c r="V217" s="64"/>
      <c r="W217" s="64"/>
      <c r="X217" s="64"/>
      <c r="Y217" s="64"/>
    </row>
    <row r="218">
      <c r="A218" s="64"/>
      <c r="B218" s="64"/>
      <c r="C218" s="64"/>
      <c r="D218" s="64"/>
      <c r="E218" s="64"/>
      <c r="F218" s="64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64"/>
      <c r="S218" s="64"/>
      <c r="T218" s="64"/>
      <c r="U218" s="64"/>
      <c r="V218" s="64"/>
      <c r="W218" s="64"/>
      <c r="X218" s="64"/>
      <c r="Y218" s="64"/>
    </row>
    <row r="219">
      <c r="A219" s="64"/>
      <c r="B219" s="64"/>
      <c r="C219" s="64"/>
      <c r="D219" s="64"/>
      <c r="E219" s="64"/>
      <c r="F219" s="64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64"/>
      <c r="S219" s="64"/>
      <c r="T219" s="64"/>
      <c r="U219" s="64"/>
      <c r="V219" s="64"/>
      <c r="W219" s="64"/>
      <c r="X219" s="64"/>
      <c r="Y219" s="64"/>
    </row>
    <row r="220">
      <c r="A220" s="64"/>
      <c r="B220" s="64"/>
      <c r="C220" s="64"/>
      <c r="D220" s="64"/>
      <c r="E220" s="64"/>
      <c r="F220" s="64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64"/>
      <c r="S220" s="64"/>
      <c r="T220" s="64"/>
      <c r="U220" s="64"/>
      <c r="V220" s="64"/>
      <c r="W220" s="64"/>
      <c r="X220" s="64"/>
      <c r="Y220" s="64"/>
    </row>
    <row r="221">
      <c r="A221" s="64"/>
      <c r="B221" s="64"/>
      <c r="C221" s="64"/>
      <c r="D221" s="64"/>
      <c r="E221" s="64"/>
      <c r="F221" s="64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64"/>
      <c r="S221" s="64"/>
      <c r="T221" s="64"/>
      <c r="U221" s="64"/>
      <c r="V221" s="64"/>
      <c r="W221" s="64"/>
      <c r="X221" s="64"/>
      <c r="Y221" s="64"/>
    </row>
    <row r="222">
      <c r="A222" s="64"/>
      <c r="B222" s="64"/>
      <c r="C222" s="64"/>
      <c r="D222" s="64"/>
      <c r="E222" s="64"/>
      <c r="F222" s="64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64"/>
      <c r="S222" s="64"/>
      <c r="T222" s="64"/>
      <c r="U222" s="64"/>
      <c r="V222" s="64"/>
      <c r="W222" s="64"/>
      <c r="X222" s="64"/>
      <c r="Y222" s="64"/>
    </row>
    <row r="223">
      <c r="A223" s="64"/>
      <c r="B223" s="64"/>
      <c r="C223" s="64"/>
      <c r="D223" s="64"/>
      <c r="E223" s="64"/>
      <c r="F223" s="64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64"/>
      <c r="S223" s="64"/>
      <c r="T223" s="64"/>
      <c r="U223" s="64"/>
      <c r="V223" s="64"/>
      <c r="W223" s="64"/>
      <c r="X223" s="64"/>
      <c r="Y223" s="64"/>
    </row>
    <row r="224">
      <c r="A224" s="64"/>
      <c r="B224" s="64"/>
      <c r="C224" s="64"/>
      <c r="D224" s="64"/>
      <c r="E224" s="64"/>
      <c r="F224" s="64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64"/>
      <c r="S224" s="64"/>
      <c r="T224" s="64"/>
      <c r="U224" s="64"/>
      <c r="V224" s="64"/>
      <c r="W224" s="64"/>
      <c r="X224" s="64"/>
      <c r="Y224" s="64"/>
    </row>
    <row r="225">
      <c r="A225" s="64"/>
      <c r="B225" s="64"/>
      <c r="C225" s="64"/>
      <c r="D225" s="64"/>
      <c r="E225" s="64"/>
      <c r="F225" s="64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64"/>
      <c r="S225" s="64"/>
      <c r="T225" s="64"/>
      <c r="U225" s="64"/>
      <c r="V225" s="64"/>
      <c r="W225" s="64"/>
      <c r="X225" s="64"/>
      <c r="Y225" s="64"/>
    </row>
    <row r="226">
      <c r="A226" s="64"/>
      <c r="B226" s="64"/>
      <c r="C226" s="64"/>
      <c r="D226" s="64"/>
      <c r="E226" s="64"/>
      <c r="F226" s="64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64"/>
      <c r="S226" s="64"/>
      <c r="T226" s="64"/>
      <c r="U226" s="64"/>
      <c r="V226" s="64"/>
      <c r="W226" s="64"/>
      <c r="X226" s="64"/>
      <c r="Y226" s="64"/>
    </row>
    <row r="227">
      <c r="A227" s="64"/>
      <c r="B227" s="64"/>
      <c r="C227" s="64"/>
      <c r="D227" s="64"/>
      <c r="E227" s="64"/>
      <c r="F227" s="64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64"/>
      <c r="S227" s="64"/>
      <c r="T227" s="64"/>
      <c r="U227" s="64"/>
      <c r="V227" s="64"/>
      <c r="W227" s="64"/>
      <c r="X227" s="64"/>
      <c r="Y227" s="64"/>
    </row>
    <row r="228">
      <c r="A228" s="64"/>
      <c r="B228" s="64"/>
      <c r="C228" s="64"/>
      <c r="D228" s="64"/>
      <c r="E228" s="64"/>
      <c r="F228" s="64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64"/>
      <c r="S228" s="64"/>
      <c r="T228" s="64"/>
      <c r="U228" s="64"/>
      <c r="V228" s="64"/>
      <c r="W228" s="64"/>
      <c r="X228" s="64"/>
      <c r="Y228" s="64"/>
    </row>
    <row r="229">
      <c r="A229" s="64"/>
      <c r="B229" s="64"/>
      <c r="C229" s="64"/>
      <c r="D229" s="64"/>
      <c r="E229" s="64"/>
      <c r="F229" s="64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64"/>
      <c r="S229" s="64"/>
      <c r="T229" s="64"/>
      <c r="U229" s="64"/>
      <c r="V229" s="64"/>
      <c r="W229" s="64"/>
      <c r="X229" s="64"/>
      <c r="Y229" s="64"/>
    </row>
    <row r="230">
      <c r="A230" s="64"/>
      <c r="B230" s="64"/>
      <c r="C230" s="64"/>
      <c r="D230" s="64"/>
      <c r="E230" s="64"/>
      <c r="F230" s="64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64"/>
      <c r="S230" s="64"/>
      <c r="T230" s="64"/>
      <c r="U230" s="64"/>
      <c r="V230" s="64"/>
      <c r="W230" s="64"/>
      <c r="X230" s="64"/>
      <c r="Y230" s="64"/>
    </row>
    <row r="231">
      <c r="A231" s="64"/>
      <c r="B231" s="64"/>
      <c r="C231" s="64"/>
      <c r="D231" s="64"/>
      <c r="E231" s="64"/>
      <c r="F231" s="64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64"/>
      <c r="S231" s="64"/>
      <c r="T231" s="64"/>
      <c r="U231" s="64"/>
      <c r="V231" s="64"/>
      <c r="W231" s="64"/>
      <c r="X231" s="64"/>
      <c r="Y231" s="64"/>
    </row>
    <row r="232">
      <c r="A232" s="64"/>
      <c r="B232" s="64"/>
      <c r="C232" s="64"/>
      <c r="D232" s="64"/>
      <c r="E232" s="64"/>
      <c r="F232" s="64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64"/>
      <c r="S232" s="64"/>
      <c r="T232" s="64"/>
      <c r="U232" s="64"/>
      <c r="V232" s="64"/>
      <c r="W232" s="64"/>
      <c r="X232" s="64"/>
      <c r="Y232" s="64"/>
    </row>
    <row r="233">
      <c r="A233" s="64"/>
      <c r="B233" s="64"/>
      <c r="C233" s="64"/>
      <c r="D233" s="64"/>
      <c r="E233" s="64"/>
      <c r="F233" s="64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64"/>
      <c r="S233" s="64"/>
      <c r="T233" s="64"/>
      <c r="U233" s="64"/>
      <c r="V233" s="64"/>
      <c r="W233" s="64"/>
      <c r="X233" s="64"/>
      <c r="Y233" s="64"/>
    </row>
    <row r="234">
      <c r="A234" s="64"/>
      <c r="B234" s="64"/>
      <c r="C234" s="64"/>
      <c r="D234" s="64"/>
      <c r="E234" s="64"/>
      <c r="F234" s="64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64"/>
      <c r="S234" s="64"/>
      <c r="T234" s="64"/>
      <c r="U234" s="64"/>
      <c r="V234" s="64"/>
      <c r="W234" s="64"/>
      <c r="X234" s="64"/>
      <c r="Y234" s="64"/>
    </row>
    <row r="235">
      <c r="A235" s="64"/>
      <c r="B235" s="64"/>
      <c r="C235" s="64"/>
      <c r="D235" s="64"/>
      <c r="E235" s="64"/>
      <c r="F235" s="64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64"/>
      <c r="S235" s="64"/>
      <c r="T235" s="64"/>
      <c r="U235" s="64"/>
      <c r="V235" s="64"/>
      <c r="W235" s="64"/>
      <c r="X235" s="64"/>
      <c r="Y235" s="64"/>
    </row>
    <row r="236">
      <c r="A236" s="64"/>
      <c r="B236" s="64"/>
      <c r="C236" s="64"/>
      <c r="D236" s="64"/>
      <c r="E236" s="64"/>
      <c r="F236" s="64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64"/>
      <c r="S236" s="64"/>
      <c r="T236" s="64"/>
      <c r="U236" s="64"/>
      <c r="V236" s="64"/>
      <c r="W236" s="64"/>
      <c r="X236" s="64"/>
      <c r="Y236" s="64"/>
    </row>
    <row r="237">
      <c r="A237" s="64"/>
      <c r="B237" s="64"/>
      <c r="C237" s="64"/>
      <c r="D237" s="64"/>
      <c r="E237" s="64"/>
      <c r="F237" s="64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64"/>
      <c r="S237" s="64"/>
      <c r="T237" s="64"/>
      <c r="U237" s="64"/>
      <c r="V237" s="64"/>
      <c r="W237" s="64"/>
      <c r="X237" s="64"/>
      <c r="Y237" s="64"/>
    </row>
    <row r="238">
      <c r="A238" s="64"/>
      <c r="B238" s="64"/>
      <c r="C238" s="64"/>
      <c r="D238" s="64"/>
      <c r="E238" s="64"/>
      <c r="F238" s="64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64"/>
      <c r="S238" s="64"/>
      <c r="T238" s="64"/>
      <c r="U238" s="64"/>
      <c r="V238" s="64"/>
      <c r="W238" s="64"/>
      <c r="X238" s="64"/>
      <c r="Y238" s="64"/>
    </row>
    <row r="239">
      <c r="A239" s="64"/>
      <c r="B239" s="64"/>
      <c r="C239" s="64"/>
      <c r="D239" s="64"/>
      <c r="E239" s="64"/>
      <c r="F239" s="64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64"/>
      <c r="S239" s="64"/>
      <c r="T239" s="64"/>
      <c r="U239" s="64"/>
      <c r="V239" s="64"/>
      <c r="W239" s="64"/>
      <c r="X239" s="64"/>
      <c r="Y239" s="64"/>
    </row>
    <row r="240">
      <c r="A240" s="64"/>
      <c r="B240" s="64"/>
      <c r="C240" s="64"/>
      <c r="D240" s="64"/>
      <c r="E240" s="64"/>
      <c r="F240" s="64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64"/>
      <c r="S240" s="64"/>
      <c r="T240" s="64"/>
      <c r="U240" s="64"/>
      <c r="V240" s="64"/>
      <c r="W240" s="64"/>
      <c r="X240" s="64"/>
      <c r="Y240" s="64"/>
    </row>
    <row r="241">
      <c r="A241" s="64"/>
      <c r="B241" s="64"/>
      <c r="C241" s="64"/>
      <c r="D241" s="64"/>
      <c r="E241" s="64"/>
      <c r="F241" s="64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64"/>
      <c r="S241" s="64"/>
      <c r="T241" s="64"/>
      <c r="U241" s="64"/>
      <c r="V241" s="64"/>
      <c r="W241" s="64"/>
      <c r="X241" s="64"/>
      <c r="Y241" s="64"/>
    </row>
    <row r="242">
      <c r="A242" s="64"/>
      <c r="B242" s="64"/>
      <c r="C242" s="64"/>
      <c r="D242" s="64"/>
      <c r="E242" s="64"/>
      <c r="F242" s="64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64"/>
      <c r="S242" s="64"/>
      <c r="T242" s="64"/>
      <c r="U242" s="64"/>
      <c r="V242" s="64"/>
      <c r="W242" s="64"/>
      <c r="X242" s="64"/>
      <c r="Y242" s="64"/>
    </row>
    <row r="243">
      <c r="A243" s="64"/>
      <c r="B243" s="64"/>
      <c r="C243" s="64"/>
      <c r="D243" s="64"/>
      <c r="E243" s="64"/>
      <c r="F243" s="64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64"/>
      <c r="S243" s="64"/>
      <c r="T243" s="64"/>
      <c r="U243" s="64"/>
      <c r="V243" s="64"/>
      <c r="W243" s="64"/>
      <c r="X243" s="64"/>
      <c r="Y243" s="64"/>
    </row>
    <row r="244">
      <c r="A244" s="64"/>
      <c r="B244" s="64"/>
      <c r="C244" s="64"/>
      <c r="D244" s="64"/>
      <c r="E244" s="64"/>
      <c r="F244" s="64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64"/>
      <c r="S244" s="64"/>
      <c r="T244" s="64"/>
      <c r="U244" s="64"/>
      <c r="V244" s="64"/>
      <c r="W244" s="64"/>
      <c r="X244" s="64"/>
      <c r="Y244" s="64"/>
    </row>
    <row r="245">
      <c r="A245" s="64"/>
      <c r="B245" s="64"/>
      <c r="C245" s="64"/>
      <c r="D245" s="64"/>
      <c r="E245" s="64"/>
      <c r="F245" s="64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64"/>
      <c r="S245" s="64"/>
      <c r="T245" s="64"/>
      <c r="U245" s="64"/>
      <c r="V245" s="64"/>
      <c r="W245" s="64"/>
      <c r="X245" s="64"/>
      <c r="Y245" s="64"/>
    </row>
    <row r="246">
      <c r="A246" s="64"/>
      <c r="B246" s="64"/>
      <c r="C246" s="64"/>
      <c r="D246" s="64"/>
      <c r="E246" s="64"/>
      <c r="F246" s="64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64"/>
      <c r="S246" s="64"/>
      <c r="T246" s="64"/>
      <c r="U246" s="64"/>
      <c r="V246" s="64"/>
      <c r="W246" s="64"/>
      <c r="X246" s="64"/>
      <c r="Y246" s="64"/>
    </row>
    <row r="247">
      <c r="A247" s="64"/>
      <c r="B247" s="64"/>
      <c r="C247" s="64"/>
      <c r="D247" s="64"/>
      <c r="E247" s="64"/>
      <c r="F247" s="64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64"/>
      <c r="S247" s="64"/>
      <c r="T247" s="64"/>
      <c r="U247" s="64"/>
      <c r="V247" s="64"/>
      <c r="W247" s="64"/>
      <c r="X247" s="64"/>
      <c r="Y247" s="64"/>
    </row>
    <row r="248">
      <c r="A248" s="64"/>
      <c r="B248" s="64"/>
      <c r="C248" s="64"/>
      <c r="D248" s="64"/>
      <c r="E248" s="64"/>
      <c r="F248" s="64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64"/>
      <c r="S248" s="64"/>
      <c r="T248" s="64"/>
      <c r="U248" s="64"/>
      <c r="V248" s="64"/>
      <c r="W248" s="64"/>
      <c r="X248" s="64"/>
      <c r="Y248" s="64"/>
    </row>
    <row r="249">
      <c r="A249" s="64"/>
      <c r="B249" s="64"/>
      <c r="C249" s="64"/>
      <c r="D249" s="64"/>
      <c r="E249" s="64"/>
      <c r="F249" s="64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64"/>
      <c r="S249" s="64"/>
      <c r="T249" s="64"/>
      <c r="U249" s="64"/>
      <c r="V249" s="64"/>
      <c r="W249" s="64"/>
      <c r="X249" s="64"/>
      <c r="Y249" s="64"/>
    </row>
    <row r="250">
      <c r="A250" s="64"/>
      <c r="B250" s="64"/>
      <c r="C250" s="64"/>
      <c r="D250" s="64"/>
      <c r="E250" s="64"/>
      <c r="F250" s="64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64"/>
      <c r="S250" s="64"/>
      <c r="T250" s="64"/>
      <c r="U250" s="64"/>
      <c r="V250" s="64"/>
      <c r="W250" s="64"/>
      <c r="X250" s="64"/>
      <c r="Y250" s="64"/>
    </row>
    <row r="251">
      <c r="A251" s="64"/>
      <c r="B251" s="64"/>
      <c r="C251" s="64"/>
      <c r="D251" s="64"/>
      <c r="E251" s="64"/>
      <c r="F251" s="64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64"/>
      <c r="S251" s="64"/>
      <c r="T251" s="64"/>
      <c r="U251" s="64"/>
      <c r="V251" s="64"/>
      <c r="W251" s="64"/>
      <c r="X251" s="64"/>
      <c r="Y251" s="64"/>
    </row>
    <row r="252">
      <c r="A252" s="64"/>
      <c r="B252" s="64"/>
      <c r="C252" s="64"/>
      <c r="D252" s="64"/>
      <c r="E252" s="64"/>
      <c r="F252" s="64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64"/>
      <c r="S252" s="64"/>
      <c r="T252" s="64"/>
      <c r="U252" s="64"/>
      <c r="V252" s="64"/>
      <c r="W252" s="64"/>
      <c r="X252" s="64"/>
      <c r="Y252" s="64"/>
    </row>
    <row r="253">
      <c r="A253" s="64"/>
      <c r="B253" s="64"/>
      <c r="C253" s="64"/>
      <c r="D253" s="64"/>
      <c r="E253" s="64"/>
      <c r="F253" s="64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64"/>
      <c r="S253" s="64"/>
      <c r="T253" s="64"/>
      <c r="U253" s="64"/>
      <c r="V253" s="64"/>
      <c r="W253" s="64"/>
      <c r="X253" s="64"/>
      <c r="Y253" s="64"/>
    </row>
    <row r="254">
      <c r="A254" s="64"/>
      <c r="B254" s="64"/>
      <c r="C254" s="64"/>
      <c r="D254" s="64"/>
      <c r="E254" s="64"/>
      <c r="F254" s="64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64"/>
      <c r="S254" s="64"/>
      <c r="T254" s="64"/>
      <c r="U254" s="64"/>
      <c r="V254" s="64"/>
      <c r="W254" s="64"/>
      <c r="X254" s="64"/>
      <c r="Y254" s="64"/>
    </row>
    <row r="255">
      <c r="A255" s="64"/>
      <c r="B255" s="64"/>
      <c r="C255" s="64"/>
      <c r="D255" s="64"/>
      <c r="E255" s="64"/>
      <c r="F255" s="64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64"/>
      <c r="S255" s="64"/>
      <c r="T255" s="64"/>
      <c r="U255" s="64"/>
      <c r="V255" s="64"/>
      <c r="W255" s="64"/>
      <c r="X255" s="64"/>
      <c r="Y255" s="64"/>
    </row>
    <row r="256">
      <c r="A256" s="64"/>
      <c r="B256" s="64"/>
      <c r="C256" s="64"/>
      <c r="D256" s="64"/>
      <c r="E256" s="64"/>
      <c r="F256" s="64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64"/>
      <c r="S256" s="64"/>
      <c r="T256" s="64"/>
      <c r="U256" s="64"/>
      <c r="V256" s="64"/>
      <c r="W256" s="64"/>
      <c r="X256" s="64"/>
      <c r="Y256" s="64"/>
    </row>
    <row r="257">
      <c r="A257" s="64"/>
      <c r="B257" s="64"/>
      <c r="C257" s="64"/>
      <c r="D257" s="64"/>
      <c r="E257" s="64"/>
      <c r="F257" s="64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64"/>
      <c r="S257" s="64"/>
      <c r="T257" s="64"/>
      <c r="U257" s="64"/>
      <c r="V257" s="64"/>
      <c r="W257" s="64"/>
      <c r="X257" s="64"/>
      <c r="Y257" s="64"/>
    </row>
    <row r="258">
      <c r="A258" s="64"/>
      <c r="B258" s="64"/>
      <c r="C258" s="64"/>
      <c r="D258" s="64"/>
      <c r="E258" s="64"/>
      <c r="F258" s="64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64"/>
      <c r="S258" s="64"/>
      <c r="T258" s="64"/>
      <c r="U258" s="64"/>
      <c r="V258" s="64"/>
      <c r="W258" s="64"/>
      <c r="X258" s="64"/>
      <c r="Y258" s="64"/>
    </row>
    <row r="259">
      <c r="A259" s="64"/>
      <c r="B259" s="64"/>
      <c r="C259" s="64"/>
      <c r="D259" s="64"/>
      <c r="E259" s="64"/>
      <c r="F259" s="64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64"/>
      <c r="S259" s="64"/>
      <c r="T259" s="64"/>
      <c r="U259" s="64"/>
      <c r="V259" s="64"/>
      <c r="W259" s="64"/>
      <c r="X259" s="64"/>
      <c r="Y259" s="64"/>
    </row>
    <row r="260">
      <c r="A260" s="64"/>
      <c r="B260" s="64"/>
      <c r="C260" s="64"/>
      <c r="D260" s="64"/>
      <c r="E260" s="64"/>
      <c r="F260" s="64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64"/>
      <c r="S260" s="64"/>
      <c r="T260" s="64"/>
      <c r="U260" s="64"/>
      <c r="V260" s="64"/>
      <c r="W260" s="64"/>
      <c r="X260" s="64"/>
      <c r="Y260" s="64"/>
    </row>
    <row r="261">
      <c r="A261" s="64"/>
      <c r="B261" s="64"/>
      <c r="C261" s="64"/>
      <c r="D261" s="64"/>
      <c r="E261" s="64"/>
      <c r="F261" s="64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64"/>
      <c r="S261" s="64"/>
      <c r="T261" s="64"/>
      <c r="U261" s="64"/>
      <c r="V261" s="64"/>
      <c r="W261" s="64"/>
      <c r="X261" s="64"/>
      <c r="Y261" s="64"/>
    </row>
    <row r="262">
      <c r="A262" s="64"/>
      <c r="B262" s="64"/>
      <c r="C262" s="64"/>
      <c r="D262" s="64"/>
      <c r="E262" s="64"/>
      <c r="F262" s="64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64"/>
      <c r="S262" s="64"/>
      <c r="T262" s="64"/>
      <c r="U262" s="64"/>
      <c r="V262" s="64"/>
      <c r="W262" s="64"/>
      <c r="X262" s="64"/>
      <c r="Y262" s="64"/>
    </row>
    <row r="263">
      <c r="A263" s="64"/>
      <c r="B263" s="64"/>
      <c r="C263" s="64"/>
      <c r="D263" s="64"/>
      <c r="E263" s="64"/>
      <c r="F263" s="64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64"/>
      <c r="S263" s="64"/>
      <c r="T263" s="64"/>
      <c r="U263" s="64"/>
      <c r="V263" s="64"/>
      <c r="W263" s="64"/>
      <c r="X263" s="64"/>
      <c r="Y263" s="64"/>
    </row>
    <row r="264">
      <c r="A264" s="64"/>
      <c r="B264" s="64"/>
      <c r="C264" s="64"/>
      <c r="D264" s="64"/>
      <c r="E264" s="64"/>
      <c r="F264" s="64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64"/>
      <c r="S264" s="64"/>
      <c r="T264" s="64"/>
      <c r="U264" s="64"/>
      <c r="V264" s="64"/>
      <c r="W264" s="64"/>
      <c r="X264" s="64"/>
      <c r="Y264" s="64"/>
    </row>
    <row r="265">
      <c r="A265" s="64"/>
      <c r="B265" s="64"/>
      <c r="C265" s="64"/>
      <c r="D265" s="64"/>
      <c r="E265" s="64"/>
      <c r="F265" s="64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64"/>
      <c r="S265" s="64"/>
      <c r="T265" s="64"/>
      <c r="U265" s="64"/>
      <c r="V265" s="64"/>
      <c r="W265" s="64"/>
      <c r="X265" s="64"/>
      <c r="Y265" s="64"/>
    </row>
    <row r="266">
      <c r="A266" s="64"/>
      <c r="B266" s="64"/>
      <c r="C266" s="64"/>
      <c r="D266" s="64"/>
      <c r="E266" s="64"/>
      <c r="F266" s="64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64"/>
      <c r="S266" s="64"/>
      <c r="T266" s="64"/>
      <c r="U266" s="64"/>
      <c r="V266" s="64"/>
      <c r="W266" s="64"/>
      <c r="X266" s="64"/>
      <c r="Y266" s="64"/>
    </row>
    <row r="267">
      <c r="A267" s="64"/>
      <c r="B267" s="64"/>
      <c r="C267" s="64"/>
      <c r="D267" s="64"/>
      <c r="E267" s="64"/>
      <c r="F267" s="64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64"/>
      <c r="S267" s="64"/>
      <c r="T267" s="64"/>
      <c r="U267" s="64"/>
      <c r="V267" s="64"/>
      <c r="W267" s="64"/>
      <c r="X267" s="64"/>
      <c r="Y267" s="64"/>
    </row>
    <row r="268">
      <c r="A268" s="64"/>
      <c r="B268" s="64"/>
      <c r="C268" s="64"/>
      <c r="D268" s="64"/>
      <c r="E268" s="64"/>
      <c r="F268" s="64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64"/>
      <c r="S268" s="64"/>
      <c r="T268" s="64"/>
      <c r="U268" s="64"/>
      <c r="V268" s="64"/>
      <c r="W268" s="64"/>
      <c r="X268" s="64"/>
      <c r="Y268" s="64"/>
    </row>
    <row r="269">
      <c r="A269" s="64"/>
      <c r="B269" s="64"/>
      <c r="C269" s="64"/>
      <c r="D269" s="64"/>
      <c r="E269" s="64"/>
      <c r="F269" s="64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64"/>
      <c r="S269" s="64"/>
      <c r="T269" s="64"/>
      <c r="U269" s="64"/>
      <c r="V269" s="64"/>
      <c r="W269" s="64"/>
      <c r="X269" s="64"/>
      <c r="Y269" s="64"/>
    </row>
    <row r="270">
      <c r="A270" s="64"/>
      <c r="B270" s="64"/>
      <c r="C270" s="64"/>
      <c r="D270" s="64"/>
      <c r="E270" s="64"/>
      <c r="F270" s="64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64"/>
      <c r="S270" s="64"/>
      <c r="T270" s="64"/>
      <c r="U270" s="64"/>
      <c r="V270" s="64"/>
      <c r="W270" s="64"/>
      <c r="X270" s="64"/>
      <c r="Y270" s="64"/>
    </row>
    <row r="271">
      <c r="A271" s="64"/>
      <c r="B271" s="64"/>
      <c r="C271" s="64"/>
      <c r="D271" s="64"/>
      <c r="E271" s="64"/>
      <c r="F271" s="64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64"/>
      <c r="S271" s="64"/>
      <c r="T271" s="64"/>
      <c r="U271" s="64"/>
      <c r="V271" s="64"/>
      <c r="W271" s="64"/>
      <c r="X271" s="64"/>
      <c r="Y271" s="64"/>
    </row>
    <row r="272">
      <c r="A272" s="64"/>
      <c r="B272" s="64"/>
      <c r="C272" s="64"/>
      <c r="D272" s="64"/>
      <c r="E272" s="64"/>
      <c r="F272" s="64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64"/>
      <c r="S272" s="64"/>
      <c r="T272" s="64"/>
      <c r="U272" s="64"/>
      <c r="V272" s="64"/>
      <c r="W272" s="64"/>
      <c r="X272" s="64"/>
      <c r="Y272" s="64"/>
    </row>
    <row r="273">
      <c r="A273" s="64"/>
      <c r="B273" s="64"/>
      <c r="C273" s="64"/>
      <c r="D273" s="64"/>
      <c r="E273" s="64"/>
      <c r="F273" s="64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64"/>
      <c r="S273" s="64"/>
      <c r="T273" s="64"/>
      <c r="U273" s="64"/>
      <c r="V273" s="64"/>
      <c r="W273" s="64"/>
      <c r="X273" s="64"/>
      <c r="Y273" s="64"/>
    </row>
    <row r="274">
      <c r="A274" s="64"/>
      <c r="B274" s="64"/>
      <c r="C274" s="64"/>
      <c r="D274" s="64"/>
      <c r="E274" s="64"/>
      <c r="F274" s="64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64"/>
      <c r="S274" s="64"/>
      <c r="T274" s="64"/>
      <c r="U274" s="64"/>
      <c r="V274" s="64"/>
      <c r="W274" s="64"/>
      <c r="X274" s="64"/>
      <c r="Y274" s="64"/>
    </row>
    <row r="275">
      <c r="A275" s="64"/>
      <c r="B275" s="64"/>
      <c r="C275" s="64"/>
      <c r="D275" s="64"/>
      <c r="E275" s="64"/>
      <c r="F275" s="64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64"/>
      <c r="S275" s="64"/>
      <c r="T275" s="64"/>
      <c r="U275" s="64"/>
      <c r="V275" s="64"/>
      <c r="W275" s="64"/>
      <c r="X275" s="64"/>
      <c r="Y275" s="64"/>
    </row>
    <row r="276">
      <c r="A276" s="64"/>
      <c r="B276" s="64"/>
      <c r="C276" s="64"/>
      <c r="D276" s="64"/>
      <c r="E276" s="64"/>
      <c r="F276" s="64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64"/>
      <c r="S276" s="64"/>
      <c r="T276" s="64"/>
      <c r="U276" s="64"/>
      <c r="V276" s="64"/>
      <c r="W276" s="64"/>
      <c r="X276" s="64"/>
      <c r="Y276" s="64"/>
    </row>
    <row r="277">
      <c r="A277" s="64"/>
      <c r="B277" s="64"/>
      <c r="C277" s="64"/>
      <c r="D277" s="64"/>
      <c r="E277" s="64"/>
      <c r="F277" s="64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64"/>
      <c r="S277" s="64"/>
      <c r="T277" s="64"/>
      <c r="U277" s="64"/>
      <c r="V277" s="64"/>
      <c r="W277" s="64"/>
      <c r="X277" s="64"/>
      <c r="Y277" s="64"/>
    </row>
    <row r="278">
      <c r="A278" s="64"/>
      <c r="B278" s="64"/>
      <c r="C278" s="64"/>
      <c r="D278" s="64"/>
      <c r="E278" s="64"/>
      <c r="F278" s="64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64"/>
      <c r="S278" s="64"/>
      <c r="T278" s="64"/>
      <c r="U278" s="64"/>
      <c r="V278" s="64"/>
      <c r="W278" s="64"/>
      <c r="X278" s="64"/>
      <c r="Y278" s="64"/>
    </row>
    <row r="279">
      <c r="A279" s="64"/>
      <c r="B279" s="64"/>
      <c r="C279" s="64"/>
      <c r="D279" s="64"/>
      <c r="E279" s="64"/>
      <c r="F279" s="64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64"/>
      <c r="S279" s="64"/>
      <c r="T279" s="64"/>
      <c r="U279" s="64"/>
      <c r="V279" s="64"/>
      <c r="W279" s="64"/>
      <c r="X279" s="64"/>
      <c r="Y279" s="64"/>
    </row>
    <row r="280">
      <c r="A280" s="64"/>
      <c r="B280" s="64"/>
      <c r="C280" s="64"/>
      <c r="D280" s="64"/>
      <c r="E280" s="64"/>
      <c r="F280" s="64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64"/>
      <c r="S280" s="64"/>
      <c r="T280" s="64"/>
      <c r="U280" s="64"/>
      <c r="V280" s="64"/>
      <c r="W280" s="64"/>
      <c r="X280" s="64"/>
      <c r="Y280" s="64"/>
    </row>
    <row r="281">
      <c r="A281" s="64"/>
      <c r="B281" s="64"/>
      <c r="C281" s="64"/>
      <c r="D281" s="64"/>
      <c r="E281" s="64"/>
      <c r="F281" s="64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64"/>
      <c r="S281" s="64"/>
      <c r="T281" s="64"/>
      <c r="U281" s="64"/>
      <c r="V281" s="64"/>
      <c r="W281" s="64"/>
      <c r="X281" s="64"/>
      <c r="Y281" s="64"/>
    </row>
    <row r="282">
      <c r="A282" s="64"/>
      <c r="B282" s="64"/>
      <c r="C282" s="64"/>
      <c r="D282" s="64"/>
      <c r="E282" s="64"/>
      <c r="F282" s="64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64"/>
      <c r="S282" s="64"/>
      <c r="T282" s="64"/>
      <c r="U282" s="64"/>
      <c r="V282" s="64"/>
      <c r="W282" s="64"/>
      <c r="X282" s="64"/>
      <c r="Y282" s="64"/>
    </row>
    <row r="283">
      <c r="A283" s="64"/>
      <c r="B283" s="64"/>
      <c r="C283" s="64"/>
      <c r="D283" s="64"/>
      <c r="E283" s="64"/>
      <c r="F283" s="64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64"/>
      <c r="S283" s="64"/>
      <c r="T283" s="64"/>
      <c r="U283" s="64"/>
      <c r="V283" s="64"/>
      <c r="W283" s="64"/>
      <c r="X283" s="64"/>
      <c r="Y283" s="64"/>
    </row>
    <row r="284">
      <c r="A284" s="64"/>
      <c r="B284" s="64"/>
      <c r="C284" s="64"/>
      <c r="D284" s="64"/>
      <c r="E284" s="64"/>
      <c r="F284" s="64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64"/>
      <c r="S284" s="64"/>
      <c r="T284" s="64"/>
      <c r="U284" s="64"/>
      <c r="V284" s="64"/>
      <c r="W284" s="64"/>
      <c r="X284" s="64"/>
      <c r="Y284" s="64"/>
    </row>
    <row r="285">
      <c r="A285" s="64"/>
      <c r="B285" s="64"/>
      <c r="C285" s="64"/>
      <c r="D285" s="64"/>
      <c r="E285" s="64"/>
      <c r="F285" s="64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64"/>
      <c r="S285" s="64"/>
      <c r="T285" s="64"/>
      <c r="U285" s="64"/>
      <c r="V285" s="64"/>
      <c r="W285" s="64"/>
      <c r="X285" s="64"/>
      <c r="Y285" s="64"/>
    </row>
    <row r="286">
      <c r="A286" s="64"/>
      <c r="B286" s="64"/>
      <c r="C286" s="64"/>
      <c r="D286" s="64"/>
      <c r="E286" s="64"/>
      <c r="F286" s="64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64"/>
      <c r="S286" s="64"/>
      <c r="T286" s="64"/>
      <c r="U286" s="64"/>
      <c r="V286" s="64"/>
      <c r="W286" s="64"/>
      <c r="X286" s="64"/>
      <c r="Y286" s="64"/>
    </row>
    <row r="287">
      <c r="A287" s="64"/>
      <c r="B287" s="64"/>
      <c r="C287" s="64"/>
      <c r="D287" s="64"/>
      <c r="E287" s="64"/>
      <c r="F287" s="64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64"/>
      <c r="S287" s="64"/>
      <c r="T287" s="64"/>
      <c r="U287" s="64"/>
      <c r="V287" s="64"/>
      <c r="W287" s="64"/>
      <c r="X287" s="64"/>
      <c r="Y287" s="64"/>
    </row>
    <row r="288">
      <c r="A288" s="64"/>
      <c r="B288" s="64"/>
      <c r="C288" s="64"/>
      <c r="D288" s="64"/>
      <c r="E288" s="64"/>
      <c r="F288" s="64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64"/>
      <c r="S288" s="64"/>
      <c r="T288" s="64"/>
      <c r="U288" s="64"/>
      <c r="V288" s="64"/>
      <c r="W288" s="64"/>
      <c r="X288" s="64"/>
      <c r="Y288" s="64"/>
    </row>
    <row r="289">
      <c r="A289" s="64"/>
      <c r="B289" s="64"/>
      <c r="C289" s="64"/>
      <c r="D289" s="64"/>
      <c r="E289" s="64"/>
      <c r="F289" s="64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64"/>
      <c r="S289" s="64"/>
      <c r="T289" s="64"/>
      <c r="U289" s="64"/>
      <c r="V289" s="64"/>
      <c r="W289" s="64"/>
      <c r="X289" s="64"/>
      <c r="Y289" s="64"/>
    </row>
    <row r="290">
      <c r="A290" s="64"/>
      <c r="B290" s="64"/>
      <c r="C290" s="64"/>
      <c r="D290" s="64"/>
      <c r="E290" s="64"/>
      <c r="F290" s="64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64"/>
      <c r="S290" s="64"/>
      <c r="T290" s="64"/>
      <c r="U290" s="64"/>
      <c r="V290" s="64"/>
      <c r="W290" s="64"/>
      <c r="X290" s="64"/>
      <c r="Y290" s="64"/>
    </row>
    <row r="291">
      <c r="A291" s="64"/>
      <c r="B291" s="64"/>
      <c r="C291" s="64"/>
      <c r="D291" s="64"/>
      <c r="E291" s="64"/>
      <c r="F291" s="64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64"/>
      <c r="S291" s="64"/>
      <c r="T291" s="64"/>
      <c r="U291" s="64"/>
      <c r="V291" s="64"/>
      <c r="W291" s="64"/>
      <c r="X291" s="64"/>
      <c r="Y291" s="64"/>
    </row>
    <row r="292">
      <c r="A292" s="64"/>
      <c r="B292" s="64"/>
      <c r="C292" s="64"/>
      <c r="D292" s="64"/>
      <c r="E292" s="64"/>
      <c r="F292" s="64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64"/>
      <c r="S292" s="64"/>
      <c r="T292" s="64"/>
      <c r="U292" s="64"/>
      <c r="V292" s="64"/>
      <c r="W292" s="64"/>
      <c r="X292" s="64"/>
      <c r="Y292" s="64"/>
    </row>
    <row r="293">
      <c r="A293" s="64"/>
      <c r="B293" s="64"/>
      <c r="C293" s="64"/>
      <c r="D293" s="64"/>
      <c r="E293" s="64"/>
      <c r="F293" s="64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64"/>
      <c r="S293" s="64"/>
      <c r="T293" s="64"/>
      <c r="U293" s="64"/>
      <c r="V293" s="64"/>
      <c r="W293" s="64"/>
      <c r="X293" s="64"/>
      <c r="Y293" s="64"/>
    </row>
    <row r="294">
      <c r="A294" s="64"/>
      <c r="B294" s="64"/>
      <c r="C294" s="64"/>
      <c r="D294" s="64"/>
      <c r="E294" s="64"/>
      <c r="F294" s="64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64"/>
      <c r="S294" s="64"/>
      <c r="T294" s="64"/>
      <c r="U294" s="64"/>
      <c r="V294" s="64"/>
      <c r="W294" s="64"/>
      <c r="X294" s="64"/>
      <c r="Y294" s="64"/>
    </row>
    <row r="295">
      <c r="A295" s="64"/>
      <c r="B295" s="64"/>
      <c r="C295" s="64"/>
      <c r="D295" s="64"/>
      <c r="E295" s="64"/>
      <c r="F295" s="64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64"/>
      <c r="S295" s="64"/>
      <c r="T295" s="64"/>
      <c r="U295" s="64"/>
      <c r="V295" s="64"/>
      <c r="W295" s="64"/>
      <c r="X295" s="64"/>
      <c r="Y295" s="64"/>
    </row>
    <row r="296">
      <c r="A296" s="64"/>
      <c r="B296" s="64"/>
      <c r="C296" s="64"/>
      <c r="D296" s="64"/>
      <c r="E296" s="64"/>
      <c r="F296" s="64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64"/>
      <c r="S296" s="64"/>
      <c r="T296" s="64"/>
      <c r="U296" s="64"/>
      <c r="V296" s="64"/>
      <c r="W296" s="64"/>
      <c r="X296" s="64"/>
      <c r="Y296" s="64"/>
    </row>
    <row r="297">
      <c r="A297" s="64"/>
      <c r="B297" s="64"/>
      <c r="C297" s="64"/>
      <c r="D297" s="64"/>
      <c r="E297" s="64"/>
      <c r="F297" s="64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64"/>
      <c r="S297" s="64"/>
      <c r="T297" s="64"/>
      <c r="U297" s="64"/>
      <c r="V297" s="64"/>
      <c r="W297" s="64"/>
      <c r="X297" s="64"/>
      <c r="Y297" s="64"/>
    </row>
    <row r="298">
      <c r="A298" s="64"/>
      <c r="B298" s="64"/>
      <c r="C298" s="64"/>
      <c r="D298" s="64"/>
      <c r="E298" s="64"/>
      <c r="F298" s="64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64"/>
      <c r="S298" s="64"/>
      <c r="T298" s="64"/>
      <c r="U298" s="64"/>
      <c r="V298" s="64"/>
      <c r="W298" s="64"/>
      <c r="X298" s="64"/>
      <c r="Y298" s="64"/>
    </row>
    <row r="299">
      <c r="A299" s="64"/>
      <c r="B299" s="64"/>
      <c r="C299" s="64"/>
      <c r="D299" s="64"/>
      <c r="E299" s="64"/>
      <c r="F299" s="64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64"/>
      <c r="S299" s="64"/>
      <c r="T299" s="64"/>
      <c r="U299" s="64"/>
      <c r="V299" s="64"/>
      <c r="W299" s="64"/>
      <c r="X299" s="64"/>
      <c r="Y299" s="64"/>
    </row>
    <row r="300">
      <c r="A300" s="64"/>
      <c r="B300" s="64"/>
      <c r="C300" s="64"/>
      <c r="D300" s="64"/>
      <c r="E300" s="64"/>
      <c r="F300" s="64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64"/>
      <c r="S300" s="64"/>
      <c r="T300" s="64"/>
      <c r="U300" s="64"/>
      <c r="V300" s="64"/>
      <c r="W300" s="64"/>
      <c r="X300" s="64"/>
      <c r="Y300" s="64"/>
    </row>
    <row r="301">
      <c r="A301" s="64"/>
      <c r="B301" s="64"/>
      <c r="C301" s="64"/>
      <c r="D301" s="64"/>
      <c r="E301" s="64"/>
      <c r="F301" s="64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64"/>
      <c r="S301" s="64"/>
      <c r="T301" s="64"/>
      <c r="U301" s="64"/>
      <c r="V301" s="64"/>
      <c r="W301" s="64"/>
      <c r="X301" s="64"/>
      <c r="Y301" s="64"/>
    </row>
    <row r="302">
      <c r="A302" s="64"/>
      <c r="B302" s="64"/>
      <c r="C302" s="64"/>
      <c r="D302" s="64"/>
      <c r="E302" s="64"/>
      <c r="F302" s="64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64"/>
      <c r="S302" s="64"/>
      <c r="T302" s="64"/>
      <c r="U302" s="64"/>
      <c r="V302" s="64"/>
      <c r="W302" s="64"/>
      <c r="X302" s="64"/>
      <c r="Y302" s="64"/>
    </row>
    <row r="303">
      <c r="A303" s="64"/>
      <c r="B303" s="64"/>
      <c r="C303" s="64"/>
      <c r="D303" s="64"/>
      <c r="E303" s="64"/>
      <c r="F303" s="64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64"/>
      <c r="S303" s="64"/>
      <c r="T303" s="64"/>
      <c r="U303" s="64"/>
      <c r="V303" s="64"/>
      <c r="W303" s="64"/>
      <c r="X303" s="64"/>
      <c r="Y303" s="64"/>
    </row>
    <row r="304">
      <c r="A304" s="64"/>
      <c r="B304" s="64"/>
      <c r="C304" s="64"/>
      <c r="D304" s="64"/>
      <c r="E304" s="64"/>
      <c r="F304" s="64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64"/>
      <c r="S304" s="64"/>
      <c r="T304" s="64"/>
      <c r="U304" s="64"/>
      <c r="V304" s="64"/>
      <c r="W304" s="64"/>
      <c r="X304" s="64"/>
      <c r="Y304" s="64"/>
    </row>
    <row r="305">
      <c r="A305" s="64"/>
      <c r="B305" s="64"/>
      <c r="C305" s="64"/>
      <c r="D305" s="64"/>
      <c r="E305" s="64"/>
      <c r="F305" s="64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64"/>
      <c r="S305" s="64"/>
      <c r="T305" s="64"/>
      <c r="U305" s="64"/>
      <c r="V305" s="64"/>
      <c r="W305" s="64"/>
      <c r="X305" s="64"/>
      <c r="Y305" s="64"/>
    </row>
    <row r="306">
      <c r="A306" s="64"/>
      <c r="B306" s="64"/>
      <c r="C306" s="64"/>
      <c r="D306" s="64"/>
      <c r="E306" s="64"/>
      <c r="F306" s="64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64"/>
      <c r="S306" s="64"/>
      <c r="T306" s="64"/>
      <c r="U306" s="64"/>
      <c r="V306" s="64"/>
      <c r="W306" s="64"/>
      <c r="X306" s="64"/>
      <c r="Y306" s="64"/>
    </row>
    <row r="307">
      <c r="A307" s="64"/>
      <c r="B307" s="64"/>
      <c r="C307" s="64"/>
      <c r="D307" s="64"/>
      <c r="E307" s="64"/>
      <c r="F307" s="64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64"/>
      <c r="S307" s="64"/>
      <c r="T307" s="64"/>
      <c r="U307" s="64"/>
      <c r="V307" s="64"/>
      <c r="W307" s="64"/>
      <c r="X307" s="64"/>
      <c r="Y307" s="64"/>
    </row>
    <row r="308">
      <c r="A308" s="64"/>
      <c r="B308" s="64"/>
      <c r="C308" s="64"/>
      <c r="D308" s="64"/>
      <c r="E308" s="64"/>
      <c r="F308" s="64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64"/>
      <c r="S308" s="64"/>
      <c r="T308" s="64"/>
      <c r="U308" s="64"/>
      <c r="V308" s="64"/>
      <c r="W308" s="64"/>
      <c r="X308" s="64"/>
      <c r="Y308" s="64"/>
    </row>
    <row r="309">
      <c r="A309" s="64"/>
      <c r="B309" s="64"/>
      <c r="C309" s="64"/>
      <c r="D309" s="64"/>
      <c r="E309" s="64"/>
      <c r="F309" s="64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64"/>
      <c r="S309" s="64"/>
      <c r="T309" s="64"/>
      <c r="U309" s="64"/>
      <c r="V309" s="64"/>
      <c r="W309" s="64"/>
      <c r="X309" s="64"/>
      <c r="Y309" s="64"/>
    </row>
    <row r="310">
      <c r="A310" s="64"/>
      <c r="B310" s="64"/>
      <c r="C310" s="64"/>
      <c r="D310" s="64"/>
      <c r="E310" s="64"/>
      <c r="F310" s="64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64"/>
      <c r="S310" s="64"/>
      <c r="T310" s="64"/>
      <c r="U310" s="64"/>
      <c r="V310" s="64"/>
      <c r="W310" s="64"/>
      <c r="X310" s="64"/>
      <c r="Y310" s="64"/>
    </row>
    <row r="311">
      <c r="A311" s="64"/>
      <c r="B311" s="64"/>
      <c r="C311" s="64"/>
      <c r="D311" s="64"/>
      <c r="E311" s="64"/>
      <c r="F311" s="64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64"/>
      <c r="S311" s="64"/>
      <c r="T311" s="64"/>
      <c r="U311" s="64"/>
      <c r="V311" s="64"/>
      <c r="W311" s="64"/>
      <c r="X311" s="64"/>
      <c r="Y311" s="64"/>
    </row>
    <row r="312">
      <c r="A312" s="64"/>
      <c r="B312" s="64"/>
      <c r="C312" s="64"/>
      <c r="D312" s="64"/>
      <c r="E312" s="64"/>
      <c r="F312" s="64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64"/>
      <c r="S312" s="64"/>
      <c r="T312" s="64"/>
      <c r="U312" s="64"/>
      <c r="V312" s="64"/>
      <c r="W312" s="64"/>
      <c r="X312" s="64"/>
      <c r="Y312" s="64"/>
    </row>
    <row r="313">
      <c r="A313" s="64"/>
      <c r="B313" s="64"/>
      <c r="C313" s="64"/>
      <c r="D313" s="64"/>
      <c r="E313" s="64"/>
      <c r="F313" s="64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64"/>
      <c r="S313" s="64"/>
      <c r="T313" s="64"/>
      <c r="U313" s="64"/>
      <c r="V313" s="64"/>
      <c r="W313" s="64"/>
      <c r="X313" s="64"/>
      <c r="Y313" s="64"/>
    </row>
    <row r="314">
      <c r="A314" s="64"/>
      <c r="B314" s="64"/>
      <c r="C314" s="64"/>
      <c r="D314" s="64"/>
      <c r="E314" s="64"/>
      <c r="F314" s="64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64"/>
      <c r="S314" s="64"/>
      <c r="T314" s="64"/>
      <c r="U314" s="64"/>
      <c r="V314" s="64"/>
      <c r="W314" s="64"/>
      <c r="X314" s="64"/>
      <c r="Y314" s="64"/>
    </row>
    <row r="315">
      <c r="A315" s="64"/>
      <c r="B315" s="64"/>
      <c r="C315" s="64"/>
      <c r="D315" s="64"/>
      <c r="E315" s="64"/>
      <c r="F315" s="64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64"/>
      <c r="S315" s="64"/>
      <c r="T315" s="64"/>
      <c r="U315" s="64"/>
      <c r="V315" s="64"/>
      <c r="W315" s="64"/>
      <c r="X315" s="64"/>
      <c r="Y315" s="64"/>
    </row>
    <row r="316">
      <c r="A316" s="64"/>
      <c r="B316" s="64"/>
      <c r="C316" s="64"/>
      <c r="D316" s="64"/>
      <c r="E316" s="64"/>
      <c r="F316" s="64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64"/>
      <c r="S316" s="64"/>
      <c r="T316" s="64"/>
      <c r="U316" s="64"/>
      <c r="V316" s="64"/>
      <c r="W316" s="64"/>
      <c r="X316" s="64"/>
      <c r="Y316" s="64"/>
    </row>
    <row r="317">
      <c r="A317" s="64"/>
      <c r="B317" s="64"/>
      <c r="C317" s="64"/>
      <c r="D317" s="64"/>
      <c r="E317" s="64"/>
      <c r="F317" s="64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64"/>
      <c r="S317" s="64"/>
      <c r="T317" s="64"/>
      <c r="U317" s="64"/>
      <c r="V317" s="64"/>
      <c r="W317" s="64"/>
      <c r="X317" s="64"/>
      <c r="Y317" s="64"/>
    </row>
    <row r="318">
      <c r="A318" s="64"/>
      <c r="B318" s="64"/>
      <c r="C318" s="64"/>
      <c r="D318" s="64"/>
      <c r="E318" s="64"/>
      <c r="F318" s="64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64"/>
      <c r="S318" s="64"/>
      <c r="T318" s="64"/>
      <c r="U318" s="64"/>
      <c r="V318" s="64"/>
      <c r="W318" s="64"/>
      <c r="X318" s="64"/>
      <c r="Y318" s="64"/>
    </row>
    <row r="319">
      <c r="A319" s="64"/>
      <c r="B319" s="64"/>
      <c r="C319" s="64"/>
      <c r="D319" s="64"/>
      <c r="E319" s="64"/>
      <c r="F319" s="64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64"/>
      <c r="S319" s="64"/>
      <c r="T319" s="64"/>
      <c r="U319" s="64"/>
      <c r="V319" s="64"/>
      <c r="W319" s="64"/>
      <c r="X319" s="64"/>
      <c r="Y319" s="64"/>
    </row>
    <row r="320">
      <c r="A320" s="64"/>
      <c r="B320" s="64"/>
      <c r="C320" s="64"/>
      <c r="D320" s="64"/>
      <c r="E320" s="64"/>
      <c r="F320" s="64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64"/>
      <c r="S320" s="64"/>
      <c r="T320" s="64"/>
      <c r="U320" s="64"/>
      <c r="V320" s="64"/>
      <c r="W320" s="64"/>
      <c r="X320" s="64"/>
      <c r="Y320" s="64"/>
    </row>
    <row r="321">
      <c r="A321" s="64"/>
      <c r="B321" s="64"/>
      <c r="C321" s="64"/>
      <c r="D321" s="64"/>
      <c r="E321" s="64"/>
      <c r="F321" s="64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64"/>
      <c r="S321" s="64"/>
      <c r="T321" s="64"/>
      <c r="U321" s="64"/>
      <c r="V321" s="64"/>
      <c r="W321" s="64"/>
      <c r="X321" s="64"/>
      <c r="Y321" s="64"/>
    </row>
    <row r="322">
      <c r="A322" s="64"/>
      <c r="B322" s="64"/>
      <c r="C322" s="64"/>
      <c r="D322" s="64"/>
      <c r="E322" s="64"/>
      <c r="F322" s="64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64"/>
      <c r="S322" s="64"/>
      <c r="T322" s="64"/>
      <c r="U322" s="64"/>
      <c r="V322" s="64"/>
      <c r="W322" s="64"/>
      <c r="X322" s="64"/>
      <c r="Y322" s="64"/>
    </row>
    <row r="323">
      <c r="A323" s="64"/>
      <c r="B323" s="64"/>
      <c r="C323" s="64"/>
      <c r="D323" s="64"/>
      <c r="E323" s="64"/>
      <c r="F323" s="64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64"/>
      <c r="S323" s="64"/>
      <c r="T323" s="64"/>
      <c r="U323" s="64"/>
      <c r="V323" s="64"/>
      <c r="W323" s="64"/>
      <c r="X323" s="64"/>
      <c r="Y323" s="64"/>
    </row>
    <row r="324">
      <c r="A324" s="64"/>
      <c r="B324" s="64"/>
      <c r="C324" s="64"/>
      <c r="D324" s="64"/>
      <c r="E324" s="64"/>
      <c r="F324" s="64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64"/>
      <c r="S324" s="64"/>
      <c r="T324" s="64"/>
      <c r="U324" s="64"/>
      <c r="V324" s="64"/>
      <c r="W324" s="64"/>
      <c r="X324" s="64"/>
      <c r="Y324" s="64"/>
    </row>
    <row r="325">
      <c r="A325" s="64"/>
      <c r="B325" s="64"/>
      <c r="C325" s="64"/>
      <c r="D325" s="64"/>
      <c r="E325" s="64"/>
      <c r="F325" s="64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64"/>
      <c r="S325" s="64"/>
      <c r="T325" s="64"/>
      <c r="U325" s="64"/>
      <c r="V325" s="64"/>
      <c r="W325" s="64"/>
      <c r="X325" s="64"/>
      <c r="Y325" s="64"/>
    </row>
    <row r="326">
      <c r="A326" s="64"/>
      <c r="B326" s="64"/>
      <c r="C326" s="64"/>
      <c r="D326" s="64"/>
      <c r="E326" s="64"/>
      <c r="F326" s="64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64"/>
      <c r="S326" s="64"/>
      <c r="T326" s="64"/>
      <c r="U326" s="64"/>
      <c r="V326" s="64"/>
      <c r="W326" s="64"/>
      <c r="X326" s="64"/>
      <c r="Y326" s="64"/>
    </row>
    <row r="327">
      <c r="A327" s="64"/>
      <c r="B327" s="64"/>
      <c r="C327" s="64"/>
      <c r="D327" s="64"/>
      <c r="E327" s="64"/>
      <c r="F327" s="64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64"/>
      <c r="S327" s="64"/>
      <c r="T327" s="64"/>
      <c r="U327" s="64"/>
      <c r="V327" s="64"/>
      <c r="W327" s="64"/>
      <c r="X327" s="64"/>
      <c r="Y327" s="64"/>
    </row>
    <row r="328">
      <c r="A328" s="64"/>
      <c r="B328" s="64"/>
      <c r="C328" s="64"/>
      <c r="D328" s="64"/>
      <c r="E328" s="64"/>
      <c r="F328" s="64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64"/>
      <c r="S328" s="64"/>
      <c r="T328" s="64"/>
      <c r="U328" s="64"/>
      <c r="V328" s="64"/>
      <c r="W328" s="64"/>
      <c r="X328" s="64"/>
      <c r="Y328" s="64"/>
    </row>
    <row r="329">
      <c r="A329" s="64"/>
      <c r="B329" s="64"/>
      <c r="C329" s="64"/>
      <c r="D329" s="64"/>
      <c r="E329" s="64"/>
      <c r="F329" s="64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64"/>
      <c r="S329" s="64"/>
      <c r="T329" s="64"/>
      <c r="U329" s="64"/>
      <c r="V329" s="64"/>
      <c r="W329" s="64"/>
      <c r="X329" s="64"/>
      <c r="Y329" s="64"/>
    </row>
    <row r="330">
      <c r="A330" s="64"/>
      <c r="B330" s="64"/>
      <c r="C330" s="64"/>
      <c r="D330" s="64"/>
      <c r="E330" s="64"/>
      <c r="F330" s="64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64"/>
      <c r="S330" s="64"/>
      <c r="T330" s="64"/>
      <c r="U330" s="64"/>
      <c r="V330" s="64"/>
      <c r="W330" s="64"/>
      <c r="X330" s="64"/>
      <c r="Y330" s="64"/>
    </row>
    <row r="331">
      <c r="A331" s="64"/>
      <c r="B331" s="64"/>
      <c r="C331" s="64"/>
      <c r="D331" s="64"/>
      <c r="E331" s="64"/>
      <c r="F331" s="64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64"/>
      <c r="S331" s="64"/>
      <c r="T331" s="64"/>
      <c r="U331" s="64"/>
      <c r="V331" s="64"/>
      <c r="W331" s="64"/>
      <c r="X331" s="64"/>
      <c r="Y331" s="64"/>
    </row>
    <row r="332">
      <c r="A332" s="64"/>
      <c r="B332" s="64"/>
      <c r="C332" s="64"/>
      <c r="D332" s="64"/>
      <c r="E332" s="64"/>
      <c r="F332" s="64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64"/>
      <c r="S332" s="64"/>
      <c r="T332" s="64"/>
      <c r="U332" s="64"/>
      <c r="V332" s="64"/>
      <c r="W332" s="64"/>
      <c r="X332" s="64"/>
      <c r="Y332" s="64"/>
    </row>
    <row r="333">
      <c r="A333" s="64"/>
      <c r="B333" s="64"/>
      <c r="C333" s="64"/>
      <c r="D333" s="64"/>
      <c r="E333" s="64"/>
      <c r="F333" s="64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64"/>
      <c r="S333" s="64"/>
      <c r="T333" s="64"/>
      <c r="U333" s="64"/>
      <c r="V333" s="64"/>
      <c r="W333" s="64"/>
      <c r="X333" s="64"/>
      <c r="Y333" s="64"/>
    </row>
    <row r="334">
      <c r="A334" s="64"/>
      <c r="B334" s="64"/>
      <c r="C334" s="64"/>
      <c r="D334" s="64"/>
      <c r="E334" s="64"/>
      <c r="F334" s="64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64"/>
      <c r="S334" s="64"/>
      <c r="T334" s="64"/>
      <c r="U334" s="64"/>
      <c r="V334" s="64"/>
      <c r="W334" s="64"/>
      <c r="X334" s="64"/>
      <c r="Y334" s="64"/>
    </row>
    <row r="335">
      <c r="A335" s="64"/>
      <c r="B335" s="64"/>
      <c r="C335" s="64"/>
      <c r="D335" s="64"/>
      <c r="E335" s="64"/>
      <c r="F335" s="64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64"/>
      <c r="S335" s="64"/>
      <c r="T335" s="64"/>
      <c r="U335" s="64"/>
      <c r="V335" s="64"/>
      <c r="W335" s="64"/>
      <c r="X335" s="64"/>
      <c r="Y335" s="64"/>
    </row>
    <row r="336">
      <c r="A336" s="64"/>
      <c r="B336" s="64"/>
      <c r="C336" s="64"/>
      <c r="D336" s="64"/>
      <c r="E336" s="64"/>
      <c r="F336" s="64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64"/>
      <c r="S336" s="64"/>
      <c r="T336" s="64"/>
      <c r="U336" s="64"/>
      <c r="V336" s="64"/>
      <c r="W336" s="64"/>
      <c r="X336" s="64"/>
      <c r="Y336" s="64"/>
    </row>
    <row r="337">
      <c r="A337" s="64"/>
      <c r="B337" s="64"/>
      <c r="C337" s="64"/>
      <c r="D337" s="64"/>
      <c r="E337" s="64"/>
      <c r="F337" s="64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64"/>
      <c r="S337" s="64"/>
      <c r="T337" s="64"/>
      <c r="U337" s="64"/>
      <c r="V337" s="64"/>
      <c r="W337" s="64"/>
      <c r="X337" s="64"/>
      <c r="Y337" s="64"/>
    </row>
    <row r="338">
      <c r="A338" s="64"/>
      <c r="B338" s="64"/>
      <c r="C338" s="64"/>
      <c r="D338" s="64"/>
      <c r="E338" s="64"/>
      <c r="F338" s="64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64"/>
      <c r="S338" s="64"/>
      <c r="T338" s="64"/>
      <c r="U338" s="64"/>
      <c r="V338" s="64"/>
      <c r="W338" s="64"/>
      <c r="X338" s="64"/>
      <c r="Y338" s="64"/>
    </row>
    <row r="339">
      <c r="A339" s="64"/>
      <c r="B339" s="64"/>
      <c r="C339" s="64"/>
      <c r="D339" s="64"/>
      <c r="E339" s="64"/>
      <c r="F339" s="64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64"/>
      <c r="S339" s="64"/>
      <c r="T339" s="64"/>
      <c r="U339" s="64"/>
      <c r="V339" s="64"/>
      <c r="W339" s="64"/>
      <c r="X339" s="64"/>
      <c r="Y339" s="64"/>
    </row>
    <row r="340">
      <c r="A340" s="64"/>
      <c r="B340" s="64"/>
      <c r="C340" s="64"/>
      <c r="D340" s="64"/>
      <c r="E340" s="64"/>
      <c r="F340" s="64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64"/>
      <c r="S340" s="64"/>
      <c r="T340" s="64"/>
      <c r="U340" s="64"/>
      <c r="V340" s="64"/>
      <c r="W340" s="64"/>
      <c r="X340" s="64"/>
      <c r="Y340" s="64"/>
    </row>
    <row r="341">
      <c r="A341" s="64"/>
      <c r="B341" s="64"/>
      <c r="C341" s="64"/>
      <c r="D341" s="64"/>
      <c r="E341" s="64"/>
      <c r="F341" s="64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64"/>
      <c r="S341" s="64"/>
      <c r="T341" s="64"/>
      <c r="U341" s="64"/>
      <c r="V341" s="64"/>
      <c r="W341" s="64"/>
      <c r="X341" s="64"/>
      <c r="Y341" s="64"/>
    </row>
    <row r="342">
      <c r="A342" s="64"/>
      <c r="B342" s="64"/>
      <c r="C342" s="64"/>
      <c r="D342" s="64"/>
      <c r="E342" s="64"/>
      <c r="F342" s="64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64"/>
      <c r="S342" s="64"/>
      <c r="T342" s="64"/>
      <c r="U342" s="64"/>
      <c r="V342" s="64"/>
      <c r="W342" s="64"/>
      <c r="X342" s="64"/>
      <c r="Y342" s="64"/>
    </row>
    <row r="343">
      <c r="A343" s="64"/>
      <c r="B343" s="64"/>
      <c r="C343" s="64"/>
      <c r="D343" s="64"/>
      <c r="E343" s="64"/>
      <c r="F343" s="64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64"/>
      <c r="S343" s="64"/>
      <c r="T343" s="64"/>
      <c r="U343" s="64"/>
      <c r="V343" s="64"/>
      <c r="W343" s="64"/>
      <c r="X343" s="64"/>
      <c r="Y343" s="64"/>
    </row>
    <row r="344">
      <c r="A344" s="64"/>
      <c r="B344" s="64"/>
      <c r="C344" s="64"/>
      <c r="D344" s="64"/>
      <c r="E344" s="64"/>
      <c r="F344" s="64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64"/>
      <c r="S344" s="64"/>
      <c r="T344" s="64"/>
      <c r="U344" s="64"/>
      <c r="V344" s="64"/>
      <c r="W344" s="64"/>
      <c r="X344" s="64"/>
      <c r="Y344" s="64"/>
    </row>
    <row r="345">
      <c r="A345" s="64"/>
      <c r="B345" s="64"/>
      <c r="C345" s="64"/>
      <c r="D345" s="64"/>
      <c r="E345" s="64"/>
      <c r="F345" s="64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64"/>
      <c r="S345" s="64"/>
      <c r="T345" s="64"/>
      <c r="U345" s="64"/>
      <c r="V345" s="64"/>
      <c r="W345" s="64"/>
      <c r="X345" s="64"/>
      <c r="Y345" s="64"/>
    </row>
    <row r="346">
      <c r="A346" s="64"/>
      <c r="B346" s="64"/>
      <c r="C346" s="64"/>
      <c r="D346" s="64"/>
      <c r="E346" s="64"/>
      <c r="F346" s="64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64"/>
      <c r="S346" s="64"/>
      <c r="T346" s="64"/>
      <c r="U346" s="64"/>
      <c r="V346" s="64"/>
      <c r="W346" s="64"/>
      <c r="X346" s="64"/>
      <c r="Y346" s="64"/>
    </row>
    <row r="347">
      <c r="A347" s="64"/>
      <c r="B347" s="64"/>
      <c r="C347" s="64"/>
      <c r="D347" s="64"/>
      <c r="E347" s="64"/>
      <c r="F347" s="64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64"/>
      <c r="S347" s="64"/>
      <c r="T347" s="64"/>
      <c r="U347" s="64"/>
      <c r="V347" s="64"/>
      <c r="W347" s="64"/>
      <c r="X347" s="64"/>
      <c r="Y347" s="64"/>
    </row>
    <row r="348">
      <c r="A348" s="64"/>
      <c r="B348" s="64"/>
      <c r="C348" s="64"/>
      <c r="D348" s="64"/>
      <c r="E348" s="64"/>
      <c r="F348" s="64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64"/>
      <c r="S348" s="64"/>
      <c r="T348" s="64"/>
      <c r="U348" s="64"/>
      <c r="V348" s="64"/>
      <c r="W348" s="64"/>
      <c r="X348" s="64"/>
      <c r="Y348" s="64"/>
    </row>
    <row r="349">
      <c r="A349" s="64"/>
      <c r="B349" s="64"/>
      <c r="C349" s="64"/>
      <c r="D349" s="64"/>
      <c r="E349" s="64"/>
      <c r="F349" s="64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64"/>
      <c r="S349" s="64"/>
      <c r="T349" s="64"/>
      <c r="U349" s="64"/>
      <c r="V349" s="64"/>
      <c r="W349" s="64"/>
      <c r="X349" s="64"/>
      <c r="Y349" s="64"/>
    </row>
    <row r="350">
      <c r="A350" s="64"/>
      <c r="B350" s="64"/>
      <c r="C350" s="64"/>
      <c r="D350" s="64"/>
      <c r="E350" s="64"/>
      <c r="F350" s="64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64"/>
      <c r="S350" s="64"/>
      <c r="T350" s="64"/>
      <c r="U350" s="64"/>
      <c r="V350" s="64"/>
      <c r="W350" s="64"/>
      <c r="X350" s="64"/>
      <c r="Y350" s="64"/>
    </row>
    <row r="351">
      <c r="A351" s="64"/>
      <c r="B351" s="64"/>
      <c r="C351" s="64"/>
      <c r="D351" s="64"/>
      <c r="E351" s="64"/>
      <c r="F351" s="64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64"/>
      <c r="S351" s="64"/>
      <c r="T351" s="64"/>
      <c r="U351" s="64"/>
      <c r="V351" s="64"/>
      <c r="W351" s="64"/>
      <c r="X351" s="64"/>
      <c r="Y351" s="64"/>
    </row>
    <row r="352">
      <c r="A352" s="64"/>
      <c r="B352" s="64"/>
      <c r="C352" s="64"/>
      <c r="D352" s="64"/>
      <c r="E352" s="64"/>
      <c r="F352" s="64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64"/>
      <c r="S352" s="64"/>
      <c r="T352" s="64"/>
      <c r="U352" s="64"/>
      <c r="V352" s="64"/>
      <c r="W352" s="64"/>
      <c r="X352" s="64"/>
      <c r="Y352" s="64"/>
    </row>
    <row r="353">
      <c r="A353" s="64"/>
      <c r="B353" s="64"/>
      <c r="C353" s="64"/>
      <c r="D353" s="64"/>
      <c r="E353" s="64"/>
      <c r="F353" s="64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64"/>
      <c r="S353" s="64"/>
      <c r="T353" s="64"/>
      <c r="U353" s="64"/>
      <c r="V353" s="64"/>
      <c r="W353" s="64"/>
      <c r="X353" s="64"/>
      <c r="Y353" s="64"/>
    </row>
    <row r="354">
      <c r="A354" s="64"/>
      <c r="B354" s="64"/>
      <c r="C354" s="64"/>
      <c r="D354" s="64"/>
      <c r="E354" s="64"/>
      <c r="F354" s="64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64"/>
      <c r="S354" s="64"/>
      <c r="T354" s="64"/>
      <c r="U354" s="64"/>
      <c r="V354" s="64"/>
      <c r="W354" s="64"/>
      <c r="X354" s="64"/>
      <c r="Y354" s="64"/>
    </row>
    <row r="355">
      <c r="A355" s="64"/>
      <c r="B355" s="64"/>
      <c r="C355" s="64"/>
      <c r="D355" s="64"/>
      <c r="E355" s="64"/>
      <c r="F355" s="64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64"/>
      <c r="S355" s="64"/>
      <c r="T355" s="64"/>
      <c r="U355" s="64"/>
      <c r="V355" s="64"/>
      <c r="W355" s="64"/>
      <c r="X355" s="64"/>
      <c r="Y355" s="64"/>
    </row>
    <row r="356">
      <c r="A356" s="64"/>
      <c r="B356" s="64"/>
      <c r="C356" s="64"/>
      <c r="D356" s="64"/>
      <c r="E356" s="64"/>
      <c r="F356" s="64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64"/>
      <c r="S356" s="64"/>
      <c r="T356" s="64"/>
      <c r="U356" s="64"/>
      <c r="V356" s="64"/>
      <c r="W356" s="64"/>
      <c r="X356" s="64"/>
      <c r="Y356" s="64"/>
    </row>
    <row r="357">
      <c r="A357" s="64"/>
      <c r="B357" s="64"/>
      <c r="C357" s="64"/>
      <c r="D357" s="64"/>
      <c r="E357" s="64"/>
      <c r="F357" s="64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64"/>
      <c r="S357" s="64"/>
      <c r="T357" s="64"/>
      <c r="U357" s="64"/>
      <c r="V357" s="64"/>
      <c r="W357" s="64"/>
      <c r="X357" s="64"/>
      <c r="Y357" s="64"/>
    </row>
    <row r="358">
      <c r="A358" s="64"/>
      <c r="B358" s="64"/>
      <c r="C358" s="64"/>
      <c r="D358" s="64"/>
      <c r="E358" s="64"/>
      <c r="F358" s="64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64"/>
      <c r="S358" s="64"/>
      <c r="T358" s="64"/>
      <c r="U358" s="64"/>
      <c r="V358" s="64"/>
      <c r="W358" s="64"/>
      <c r="X358" s="64"/>
      <c r="Y358" s="64"/>
    </row>
    <row r="359">
      <c r="A359" s="64"/>
      <c r="B359" s="64"/>
      <c r="C359" s="64"/>
      <c r="D359" s="64"/>
      <c r="E359" s="64"/>
      <c r="F359" s="64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64"/>
      <c r="S359" s="64"/>
      <c r="T359" s="64"/>
      <c r="U359" s="64"/>
      <c r="V359" s="64"/>
      <c r="W359" s="64"/>
      <c r="X359" s="64"/>
      <c r="Y359" s="64"/>
    </row>
    <row r="360">
      <c r="A360" s="64"/>
      <c r="B360" s="64"/>
      <c r="C360" s="64"/>
      <c r="D360" s="64"/>
      <c r="E360" s="64"/>
      <c r="F360" s="64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64"/>
      <c r="S360" s="64"/>
      <c r="T360" s="64"/>
      <c r="U360" s="64"/>
      <c r="V360" s="64"/>
      <c r="W360" s="64"/>
      <c r="X360" s="64"/>
      <c r="Y360" s="64"/>
    </row>
    <row r="361">
      <c r="A361" s="64"/>
      <c r="B361" s="64"/>
      <c r="C361" s="64"/>
      <c r="D361" s="64"/>
      <c r="E361" s="64"/>
      <c r="F361" s="64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64"/>
      <c r="S361" s="64"/>
      <c r="T361" s="64"/>
      <c r="U361" s="64"/>
      <c r="V361" s="64"/>
      <c r="W361" s="64"/>
      <c r="X361" s="64"/>
      <c r="Y361" s="64"/>
    </row>
    <row r="362">
      <c r="A362" s="64"/>
      <c r="B362" s="64"/>
      <c r="C362" s="64"/>
      <c r="D362" s="64"/>
      <c r="E362" s="64"/>
      <c r="F362" s="64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64"/>
      <c r="S362" s="64"/>
      <c r="T362" s="64"/>
      <c r="U362" s="64"/>
      <c r="V362" s="64"/>
      <c r="W362" s="64"/>
      <c r="X362" s="64"/>
      <c r="Y362" s="64"/>
    </row>
    <row r="363">
      <c r="A363" s="64"/>
      <c r="B363" s="64"/>
      <c r="C363" s="64"/>
      <c r="D363" s="64"/>
      <c r="E363" s="64"/>
      <c r="F363" s="64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64"/>
      <c r="S363" s="64"/>
      <c r="T363" s="64"/>
      <c r="U363" s="64"/>
      <c r="V363" s="64"/>
      <c r="W363" s="64"/>
      <c r="X363" s="64"/>
      <c r="Y363" s="64"/>
    </row>
    <row r="364">
      <c r="A364" s="64"/>
      <c r="B364" s="64"/>
      <c r="C364" s="64"/>
      <c r="D364" s="64"/>
      <c r="E364" s="64"/>
      <c r="F364" s="64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64"/>
      <c r="S364" s="64"/>
      <c r="T364" s="64"/>
      <c r="U364" s="64"/>
      <c r="V364" s="64"/>
      <c r="W364" s="64"/>
      <c r="X364" s="64"/>
      <c r="Y364" s="64"/>
    </row>
    <row r="365">
      <c r="A365" s="64"/>
      <c r="B365" s="64"/>
      <c r="C365" s="64"/>
      <c r="D365" s="64"/>
      <c r="E365" s="64"/>
      <c r="F365" s="64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64"/>
      <c r="S365" s="64"/>
      <c r="T365" s="64"/>
      <c r="U365" s="64"/>
      <c r="V365" s="64"/>
      <c r="W365" s="64"/>
      <c r="X365" s="64"/>
      <c r="Y365" s="64"/>
    </row>
    <row r="366">
      <c r="A366" s="64"/>
      <c r="B366" s="64"/>
      <c r="C366" s="64"/>
      <c r="D366" s="64"/>
      <c r="E366" s="64"/>
      <c r="F366" s="64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64"/>
      <c r="S366" s="64"/>
      <c r="T366" s="64"/>
      <c r="U366" s="64"/>
      <c r="V366" s="64"/>
      <c r="W366" s="64"/>
      <c r="X366" s="64"/>
      <c r="Y366" s="64"/>
    </row>
    <row r="367">
      <c r="A367" s="64"/>
      <c r="B367" s="64"/>
      <c r="C367" s="64"/>
      <c r="D367" s="64"/>
      <c r="E367" s="64"/>
      <c r="F367" s="64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64"/>
      <c r="S367" s="64"/>
      <c r="T367" s="64"/>
      <c r="U367" s="64"/>
      <c r="V367" s="64"/>
      <c r="W367" s="64"/>
      <c r="X367" s="64"/>
      <c r="Y367" s="64"/>
    </row>
    <row r="368">
      <c r="A368" s="64"/>
      <c r="B368" s="64"/>
      <c r="C368" s="64"/>
      <c r="D368" s="64"/>
      <c r="E368" s="64"/>
      <c r="F368" s="64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64"/>
      <c r="S368" s="64"/>
      <c r="T368" s="64"/>
      <c r="U368" s="64"/>
      <c r="V368" s="64"/>
      <c r="W368" s="64"/>
      <c r="X368" s="64"/>
      <c r="Y368" s="64"/>
    </row>
    <row r="369">
      <c r="A369" s="64"/>
      <c r="B369" s="64"/>
      <c r="C369" s="64"/>
      <c r="D369" s="64"/>
      <c r="E369" s="64"/>
      <c r="F369" s="64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64"/>
      <c r="S369" s="64"/>
      <c r="T369" s="64"/>
      <c r="U369" s="64"/>
      <c r="V369" s="64"/>
      <c r="W369" s="64"/>
      <c r="X369" s="64"/>
      <c r="Y369" s="64"/>
    </row>
    <row r="370">
      <c r="A370" s="64"/>
      <c r="B370" s="64"/>
      <c r="C370" s="64"/>
      <c r="D370" s="64"/>
      <c r="E370" s="64"/>
      <c r="F370" s="64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64"/>
      <c r="S370" s="64"/>
      <c r="T370" s="64"/>
      <c r="U370" s="64"/>
      <c r="V370" s="64"/>
      <c r="W370" s="64"/>
      <c r="X370" s="64"/>
      <c r="Y370" s="64"/>
    </row>
    <row r="371">
      <c r="A371" s="64"/>
      <c r="B371" s="64"/>
      <c r="C371" s="64"/>
      <c r="D371" s="64"/>
      <c r="E371" s="64"/>
      <c r="F371" s="64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64"/>
      <c r="S371" s="64"/>
      <c r="T371" s="64"/>
      <c r="U371" s="64"/>
      <c r="V371" s="64"/>
      <c r="W371" s="64"/>
      <c r="X371" s="64"/>
      <c r="Y371" s="64"/>
    </row>
    <row r="372">
      <c r="A372" s="64"/>
      <c r="B372" s="64"/>
      <c r="C372" s="64"/>
      <c r="D372" s="64"/>
      <c r="E372" s="64"/>
      <c r="F372" s="64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64"/>
      <c r="S372" s="64"/>
      <c r="T372" s="64"/>
      <c r="U372" s="64"/>
      <c r="V372" s="64"/>
      <c r="W372" s="64"/>
      <c r="X372" s="64"/>
      <c r="Y372" s="64"/>
    </row>
    <row r="373">
      <c r="A373" s="64"/>
      <c r="B373" s="64"/>
      <c r="C373" s="64"/>
      <c r="D373" s="64"/>
      <c r="E373" s="64"/>
      <c r="F373" s="64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64"/>
      <c r="S373" s="64"/>
      <c r="T373" s="64"/>
      <c r="U373" s="64"/>
      <c r="V373" s="64"/>
      <c r="W373" s="64"/>
      <c r="X373" s="64"/>
      <c r="Y373" s="64"/>
    </row>
    <row r="374">
      <c r="A374" s="64"/>
      <c r="B374" s="64"/>
      <c r="C374" s="64"/>
      <c r="D374" s="64"/>
      <c r="E374" s="64"/>
      <c r="F374" s="64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64"/>
      <c r="S374" s="64"/>
      <c r="T374" s="64"/>
      <c r="U374" s="64"/>
      <c r="V374" s="64"/>
      <c r="W374" s="64"/>
      <c r="X374" s="64"/>
      <c r="Y374" s="64"/>
    </row>
    <row r="375">
      <c r="A375" s="64"/>
      <c r="B375" s="64"/>
      <c r="C375" s="64"/>
      <c r="D375" s="64"/>
      <c r="E375" s="64"/>
      <c r="F375" s="64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64"/>
      <c r="S375" s="64"/>
      <c r="T375" s="64"/>
      <c r="U375" s="64"/>
      <c r="V375" s="64"/>
      <c r="W375" s="64"/>
      <c r="X375" s="64"/>
      <c r="Y375" s="64"/>
    </row>
    <row r="376">
      <c r="A376" s="64"/>
      <c r="B376" s="64"/>
      <c r="C376" s="64"/>
      <c r="D376" s="64"/>
      <c r="E376" s="64"/>
      <c r="F376" s="64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64"/>
      <c r="S376" s="64"/>
      <c r="T376" s="64"/>
      <c r="U376" s="64"/>
      <c r="V376" s="64"/>
      <c r="W376" s="64"/>
      <c r="X376" s="64"/>
      <c r="Y376" s="64"/>
    </row>
    <row r="377">
      <c r="A377" s="64"/>
      <c r="B377" s="64"/>
      <c r="C377" s="64"/>
      <c r="D377" s="64"/>
      <c r="E377" s="64"/>
      <c r="F377" s="64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64"/>
      <c r="S377" s="64"/>
      <c r="T377" s="64"/>
      <c r="U377" s="64"/>
      <c r="V377" s="64"/>
      <c r="W377" s="64"/>
      <c r="X377" s="64"/>
      <c r="Y377" s="64"/>
    </row>
    <row r="378">
      <c r="A378" s="64"/>
      <c r="B378" s="64"/>
      <c r="C378" s="64"/>
      <c r="D378" s="64"/>
      <c r="E378" s="64"/>
      <c r="F378" s="64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64"/>
      <c r="S378" s="64"/>
      <c r="T378" s="64"/>
      <c r="U378" s="64"/>
      <c r="V378" s="64"/>
      <c r="W378" s="64"/>
      <c r="X378" s="64"/>
      <c r="Y378" s="64"/>
    </row>
    <row r="379">
      <c r="A379" s="64"/>
      <c r="B379" s="64"/>
      <c r="C379" s="64"/>
      <c r="D379" s="64"/>
      <c r="E379" s="64"/>
      <c r="F379" s="64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64"/>
      <c r="S379" s="64"/>
      <c r="T379" s="64"/>
      <c r="U379" s="64"/>
      <c r="V379" s="64"/>
      <c r="W379" s="64"/>
      <c r="X379" s="64"/>
      <c r="Y379" s="64"/>
    </row>
    <row r="380">
      <c r="A380" s="64"/>
      <c r="B380" s="64"/>
      <c r="C380" s="64"/>
      <c r="D380" s="64"/>
      <c r="E380" s="64"/>
      <c r="F380" s="64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64"/>
      <c r="S380" s="64"/>
      <c r="T380" s="64"/>
      <c r="U380" s="64"/>
      <c r="V380" s="64"/>
      <c r="W380" s="64"/>
      <c r="X380" s="64"/>
      <c r="Y380" s="64"/>
    </row>
    <row r="381">
      <c r="A381" s="64"/>
      <c r="B381" s="64"/>
      <c r="C381" s="64"/>
      <c r="D381" s="64"/>
      <c r="E381" s="64"/>
      <c r="F381" s="64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64"/>
      <c r="S381" s="64"/>
      <c r="T381" s="64"/>
      <c r="U381" s="64"/>
      <c r="V381" s="64"/>
      <c r="W381" s="64"/>
      <c r="X381" s="64"/>
      <c r="Y381" s="64"/>
    </row>
    <row r="382">
      <c r="A382" s="64"/>
      <c r="B382" s="64"/>
      <c r="C382" s="64"/>
      <c r="D382" s="64"/>
      <c r="E382" s="64"/>
      <c r="F382" s="64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64"/>
      <c r="S382" s="64"/>
      <c r="T382" s="64"/>
      <c r="U382" s="64"/>
      <c r="V382" s="64"/>
      <c r="W382" s="64"/>
      <c r="X382" s="64"/>
      <c r="Y382" s="64"/>
    </row>
    <row r="383">
      <c r="A383" s="64"/>
      <c r="B383" s="64"/>
      <c r="C383" s="64"/>
      <c r="D383" s="64"/>
      <c r="E383" s="64"/>
      <c r="F383" s="64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64"/>
      <c r="S383" s="64"/>
      <c r="T383" s="64"/>
      <c r="U383" s="64"/>
      <c r="V383" s="64"/>
      <c r="W383" s="64"/>
      <c r="X383" s="64"/>
      <c r="Y383" s="64"/>
    </row>
    <row r="384">
      <c r="A384" s="64"/>
      <c r="B384" s="64"/>
      <c r="C384" s="64"/>
      <c r="D384" s="64"/>
      <c r="E384" s="64"/>
      <c r="F384" s="64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64"/>
      <c r="S384" s="64"/>
      <c r="T384" s="64"/>
      <c r="U384" s="64"/>
      <c r="V384" s="64"/>
      <c r="W384" s="64"/>
      <c r="X384" s="64"/>
      <c r="Y384" s="64"/>
    </row>
    <row r="385">
      <c r="A385" s="64"/>
      <c r="B385" s="64"/>
      <c r="C385" s="64"/>
      <c r="D385" s="64"/>
      <c r="E385" s="64"/>
      <c r="F385" s="64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64"/>
      <c r="S385" s="64"/>
      <c r="T385" s="64"/>
      <c r="U385" s="64"/>
      <c r="V385" s="64"/>
      <c r="W385" s="64"/>
      <c r="X385" s="64"/>
      <c r="Y385" s="64"/>
    </row>
    <row r="386">
      <c r="A386" s="64"/>
      <c r="B386" s="64"/>
      <c r="C386" s="64"/>
      <c r="D386" s="64"/>
      <c r="E386" s="64"/>
      <c r="F386" s="64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64"/>
      <c r="S386" s="64"/>
      <c r="T386" s="64"/>
      <c r="U386" s="64"/>
      <c r="V386" s="64"/>
      <c r="W386" s="64"/>
      <c r="X386" s="64"/>
      <c r="Y386" s="64"/>
    </row>
    <row r="387">
      <c r="A387" s="64"/>
      <c r="B387" s="64"/>
      <c r="C387" s="64"/>
      <c r="D387" s="64"/>
      <c r="E387" s="64"/>
      <c r="F387" s="64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64"/>
      <c r="S387" s="64"/>
      <c r="T387" s="64"/>
      <c r="U387" s="64"/>
      <c r="V387" s="64"/>
      <c r="W387" s="64"/>
      <c r="X387" s="64"/>
      <c r="Y387" s="64"/>
    </row>
    <row r="388">
      <c r="A388" s="64"/>
      <c r="B388" s="64"/>
      <c r="C388" s="64"/>
      <c r="D388" s="64"/>
      <c r="E388" s="64"/>
      <c r="F388" s="64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64"/>
      <c r="S388" s="64"/>
      <c r="T388" s="64"/>
      <c r="U388" s="64"/>
      <c r="V388" s="64"/>
      <c r="W388" s="64"/>
      <c r="X388" s="64"/>
      <c r="Y388" s="64"/>
    </row>
    <row r="389">
      <c r="A389" s="64"/>
      <c r="B389" s="64"/>
      <c r="C389" s="64"/>
      <c r="D389" s="64"/>
      <c r="E389" s="64"/>
      <c r="F389" s="64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64"/>
      <c r="S389" s="64"/>
      <c r="T389" s="64"/>
      <c r="U389" s="64"/>
      <c r="V389" s="64"/>
      <c r="W389" s="64"/>
      <c r="X389" s="64"/>
      <c r="Y389" s="64"/>
    </row>
    <row r="390">
      <c r="A390" s="64"/>
      <c r="B390" s="64"/>
      <c r="C390" s="64"/>
      <c r="D390" s="64"/>
      <c r="E390" s="64"/>
      <c r="F390" s="64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64"/>
      <c r="S390" s="64"/>
      <c r="T390" s="64"/>
      <c r="U390" s="64"/>
      <c r="V390" s="64"/>
      <c r="W390" s="64"/>
      <c r="X390" s="64"/>
      <c r="Y390" s="64"/>
    </row>
    <row r="391">
      <c r="A391" s="64"/>
      <c r="B391" s="64"/>
      <c r="C391" s="64"/>
      <c r="D391" s="64"/>
      <c r="E391" s="64"/>
      <c r="F391" s="64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64"/>
      <c r="S391" s="64"/>
      <c r="T391" s="64"/>
      <c r="U391" s="64"/>
      <c r="V391" s="64"/>
      <c r="W391" s="64"/>
      <c r="X391" s="64"/>
      <c r="Y391" s="64"/>
    </row>
    <row r="392">
      <c r="A392" s="64"/>
      <c r="B392" s="64"/>
      <c r="C392" s="64"/>
      <c r="D392" s="64"/>
      <c r="E392" s="64"/>
      <c r="F392" s="64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64"/>
      <c r="S392" s="64"/>
      <c r="T392" s="64"/>
      <c r="U392" s="64"/>
      <c r="V392" s="64"/>
      <c r="W392" s="64"/>
      <c r="X392" s="64"/>
      <c r="Y392" s="64"/>
    </row>
    <row r="393">
      <c r="A393" s="64"/>
      <c r="B393" s="64"/>
      <c r="C393" s="64"/>
      <c r="D393" s="64"/>
      <c r="E393" s="64"/>
      <c r="F393" s="64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64"/>
      <c r="S393" s="64"/>
      <c r="T393" s="64"/>
      <c r="U393" s="64"/>
      <c r="V393" s="64"/>
      <c r="W393" s="64"/>
      <c r="X393" s="64"/>
      <c r="Y393" s="64"/>
    </row>
    <row r="394">
      <c r="A394" s="64"/>
      <c r="B394" s="64"/>
      <c r="C394" s="64"/>
      <c r="D394" s="64"/>
      <c r="E394" s="64"/>
      <c r="F394" s="64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64"/>
      <c r="S394" s="64"/>
      <c r="T394" s="64"/>
      <c r="U394" s="64"/>
      <c r="V394" s="64"/>
      <c r="W394" s="64"/>
      <c r="X394" s="64"/>
      <c r="Y394" s="64"/>
    </row>
    <row r="395">
      <c r="A395" s="64"/>
      <c r="B395" s="64"/>
      <c r="C395" s="64"/>
      <c r="D395" s="64"/>
      <c r="E395" s="64"/>
      <c r="F395" s="64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64"/>
      <c r="S395" s="64"/>
      <c r="T395" s="64"/>
      <c r="U395" s="64"/>
      <c r="V395" s="64"/>
      <c r="W395" s="64"/>
      <c r="X395" s="64"/>
      <c r="Y395" s="64"/>
    </row>
    <row r="396">
      <c r="A396" s="64"/>
      <c r="B396" s="64"/>
      <c r="C396" s="64"/>
      <c r="D396" s="64"/>
      <c r="E396" s="64"/>
      <c r="F396" s="64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64"/>
      <c r="S396" s="64"/>
      <c r="T396" s="64"/>
      <c r="U396" s="64"/>
      <c r="V396" s="64"/>
      <c r="W396" s="64"/>
      <c r="X396" s="64"/>
      <c r="Y396" s="64"/>
    </row>
    <row r="397">
      <c r="A397" s="64"/>
      <c r="B397" s="64"/>
      <c r="C397" s="64"/>
      <c r="D397" s="64"/>
      <c r="E397" s="64"/>
      <c r="F397" s="64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64"/>
      <c r="S397" s="64"/>
      <c r="T397" s="64"/>
      <c r="U397" s="64"/>
      <c r="V397" s="64"/>
      <c r="W397" s="64"/>
      <c r="X397" s="64"/>
      <c r="Y397" s="64"/>
    </row>
    <row r="398">
      <c r="A398" s="64"/>
      <c r="B398" s="64"/>
      <c r="C398" s="64"/>
      <c r="D398" s="64"/>
      <c r="E398" s="64"/>
      <c r="F398" s="64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64"/>
      <c r="S398" s="64"/>
      <c r="T398" s="64"/>
      <c r="U398" s="64"/>
      <c r="V398" s="64"/>
      <c r="W398" s="64"/>
      <c r="X398" s="64"/>
      <c r="Y398" s="64"/>
    </row>
    <row r="399">
      <c r="A399" s="64"/>
      <c r="B399" s="64"/>
      <c r="C399" s="64"/>
      <c r="D399" s="64"/>
      <c r="E399" s="64"/>
      <c r="F399" s="64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64"/>
      <c r="S399" s="64"/>
      <c r="T399" s="64"/>
      <c r="U399" s="64"/>
      <c r="V399" s="64"/>
      <c r="W399" s="64"/>
      <c r="X399" s="64"/>
      <c r="Y399" s="64"/>
    </row>
    <row r="400">
      <c r="A400" s="64"/>
      <c r="B400" s="64"/>
      <c r="C400" s="64"/>
      <c r="D400" s="64"/>
      <c r="E400" s="64"/>
      <c r="F400" s="64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64"/>
      <c r="S400" s="64"/>
      <c r="T400" s="64"/>
      <c r="U400" s="64"/>
      <c r="V400" s="64"/>
      <c r="W400" s="64"/>
      <c r="X400" s="64"/>
      <c r="Y400" s="64"/>
    </row>
    <row r="401">
      <c r="A401" s="64"/>
      <c r="B401" s="64"/>
      <c r="C401" s="64"/>
      <c r="D401" s="64"/>
      <c r="E401" s="64"/>
      <c r="F401" s="64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64"/>
      <c r="S401" s="64"/>
      <c r="T401" s="64"/>
      <c r="U401" s="64"/>
      <c r="V401" s="64"/>
      <c r="W401" s="64"/>
      <c r="X401" s="64"/>
      <c r="Y401" s="64"/>
    </row>
    <row r="402">
      <c r="A402" s="64"/>
      <c r="B402" s="64"/>
      <c r="C402" s="64"/>
      <c r="D402" s="64"/>
      <c r="E402" s="64"/>
      <c r="F402" s="64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64"/>
      <c r="S402" s="64"/>
      <c r="T402" s="64"/>
      <c r="U402" s="64"/>
      <c r="V402" s="64"/>
      <c r="W402" s="64"/>
      <c r="X402" s="64"/>
      <c r="Y402" s="64"/>
    </row>
    <row r="403">
      <c r="A403" s="64"/>
      <c r="B403" s="64"/>
      <c r="C403" s="64"/>
      <c r="D403" s="64"/>
      <c r="E403" s="64"/>
      <c r="F403" s="64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64"/>
      <c r="S403" s="64"/>
      <c r="T403" s="64"/>
      <c r="U403" s="64"/>
      <c r="V403" s="64"/>
      <c r="W403" s="64"/>
      <c r="X403" s="64"/>
      <c r="Y403" s="64"/>
    </row>
    <row r="404">
      <c r="A404" s="64"/>
      <c r="B404" s="64"/>
      <c r="C404" s="64"/>
      <c r="D404" s="64"/>
      <c r="E404" s="64"/>
      <c r="F404" s="64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64"/>
      <c r="S404" s="64"/>
      <c r="T404" s="64"/>
      <c r="U404" s="64"/>
      <c r="V404" s="64"/>
      <c r="W404" s="64"/>
      <c r="X404" s="64"/>
      <c r="Y404" s="64"/>
    </row>
    <row r="405">
      <c r="A405" s="64"/>
      <c r="B405" s="64"/>
      <c r="C405" s="64"/>
      <c r="D405" s="64"/>
      <c r="E405" s="64"/>
      <c r="F405" s="64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64"/>
      <c r="S405" s="64"/>
      <c r="T405" s="64"/>
      <c r="U405" s="64"/>
      <c r="V405" s="64"/>
      <c r="W405" s="64"/>
      <c r="X405" s="64"/>
      <c r="Y405" s="64"/>
    </row>
    <row r="406">
      <c r="A406" s="64"/>
      <c r="B406" s="64"/>
      <c r="C406" s="64"/>
      <c r="D406" s="64"/>
      <c r="E406" s="64"/>
      <c r="F406" s="64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64"/>
      <c r="S406" s="64"/>
      <c r="T406" s="64"/>
      <c r="U406" s="64"/>
      <c r="V406" s="64"/>
      <c r="W406" s="64"/>
      <c r="X406" s="64"/>
      <c r="Y406" s="64"/>
    </row>
    <row r="407">
      <c r="A407" s="64"/>
      <c r="B407" s="64"/>
      <c r="C407" s="64"/>
      <c r="D407" s="64"/>
      <c r="E407" s="64"/>
      <c r="F407" s="64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64"/>
      <c r="S407" s="64"/>
      <c r="T407" s="64"/>
      <c r="U407" s="64"/>
      <c r="V407" s="64"/>
      <c r="W407" s="64"/>
      <c r="X407" s="64"/>
      <c r="Y407" s="64"/>
    </row>
    <row r="408">
      <c r="A408" s="64"/>
      <c r="B408" s="64"/>
      <c r="C408" s="64"/>
      <c r="D408" s="64"/>
      <c r="E408" s="64"/>
      <c r="F408" s="64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64"/>
      <c r="S408" s="64"/>
      <c r="T408" s="64"/>
      <c r="U408" s="64"/>
      <c r="V408" s="64"/>
      <c r="W408" s="64"/>
      <c r="X408" s="64"/>
      <c r="Y408" s="64"/>
    </row>
    <row r="409">
      <c r="A409" s="64"/>
      <c r="B409" s="64"/>
      <c r="C409" s="64"/>
      <c r="D409" s="64"/>
      <c r="E409" s="64"/>
      <c r="F409" s="64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64"/>
      <c r="S409" s="64"/>
      <c r="T409" s="64"/>
      <c r="U409" s="64"/>
      <c r="V409" s="64"/>
      <c r="W409" s="64"/>
      <c r="X409" s="64"/>
      <c r="Y409" s="64"/>
    </row>
    <row r="410">
      <c r="A410" s="64"/>
      <c r="B410" s="64"/>
      <c r="C410" s="64"/>
      <c r="D410" s="64"/>
      <c r="E410" s="64"/>
      <c r="F410" s="64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64"/>
      <c r="S410" s="64"/>
      <c r="T410" s="64"/>
      <c r="U410" s="64"/>
      <c r="V410" s="64"/>
      <c r="W410" s="64"/>
      <c r="X410" s="64"/>
      <c r="Y410" s="64"/>
    </row>
    <row r="411">
      <c r="A411" s="64"/>
      <c r="B411" s="64"/>
      <c r="C411" s="64"/>
      <c r="D411" s="64"/>
      <c r="E411" s="64"/>
      <c r="F411" s="64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64"/>
      <c r="S411" s="64"/>
      <c r="T411" s="64"/>
      <c r="U411" s="64"/>
      <c r="V411" s="64"/>
      <c r="W411" s="64"/>
      <c r="X411" s="64"/>
      <c r="Y411" s="64"/>
    </row>
    <row r="412">
      <c r="A412" s="64"/>
      <c r="B412" s="64"/>
      <c r="C412" s="64"/>
      <c r="D412" s="64"/>
      <c r="E412" s="64"/>
      <c r="F412" s="64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64"/>
      <c r="S412" s="64"/>
      <c r="T412" s="64"/>
      <c r="U412" s="64"/>
      <c r="V412" s="64"/>
      <c r="W412" s="64"/>
      <c r="X412" s="64"/>
      <c r="Y412" s="64"/>
    </row>
    <row r="413">
      <c r="A413" s="64"/>
      <c r="B413" s="64"/>
      <c r="C413" s="64"/>
      <c r="D413" s="64"/>
      <c r="E413" s="64"/>
      <c r="F413" s="64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64"/>
      <c r="S413" s="64"/>
      <c r="T413" s="64"/>
      <c r="U413" s="64"/>
      <c r="V413" s="64"/>
      <c r="W413" s="64"/>
      <c r="X413" s="64"/>
      <c r="Y413" s="64"/>
    </row>
    <row r="414">
      <c r="A414" s="64"/>
      <c r="B414" s="64"/>
      <c r="C414" s="64"/>
      <c r="D414" s="64"/>
      <c r="E414" s="64"/>
      <c r="F414" s="64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64"/>
      <c r="S414" s="64"/>
      <c r="T414" s="64"/>
      <c r="U414" s="64"/>
      <c r="V414" s="64"/>
      <c r="W414" s="64"/>
      <c r="X414" s="64"/>
      <c r="Y414" s="64"/>
    </row>
    <row r="415">
      <c r="A415" s="64"/>
      <c r="B415" s="64"/>
      <c r="C415" s="64"/>
      <c r="D415" s="64"/>
      <c r="E415" s="64"/>
      <c r="F415" s="64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64"/>
      <c r="S415" s="64"/>
      <c r="T415" s="64"/>
      <c r="U415" s="64"/>
      <c r="V415" s="64"/>
      <c r="W415" s="64"/>
      <c r="X415" s="64"/>
      <c r="Y415" s="64"/>
    </row>
    <row r="416">
      <c r="A416" s="64"/>
      <c r="B416" s="64"/>
      <c r="C416" s="64"/>
      <c r="D416" s="64"/>
      <c r="E416" s="64"/>
      <c r="F416" s="64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64"/>
      <c r="S416" s="64"/>
      <c r="T416" s="64"/>
      <c r="U416" s="64"/>
      <c r="V416" s="64"/>
      <c r="W416" s="64"/>
      <c r="X416" s="64"/>
      <c r="Y416" s="64"/>
    </row>
    <row r="417">
      <c r="A417" s="64"/>
      <c r="B417" s="64"/>
      <c r="C417" s="64"/>
      <c r="D417" s="64"/>
      <c r="E417" s="64"/>
      <c r="F417" s="64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64"/>
      <c r="S417" s="64"/>
      <c r="T417" s="64"/>
      <c r="U417" s="64"/>
      <c r="V417" s="64"/>
      <c r="W417" s="64"/>
      <c r="X417" s="64"/>
      <c r="Y417" s="64"/>
    </row>
    <row r="418">
      <c r="A418" s="64"/>
      <c r="B418" s="64"/>
      <c r="C418" s="64"/>
      <c r="D418" s="64"/>
      <c r="E418" s="64"/>
      <c r="F418" s="64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64"/>
      <c r="S418" s="64"/>
      <c r="T418" s="64"/>
      <c r="U418" s="64"/>
      <c r="V418" s="64"/>
      <c r="W418" s="64"/>
      <c r="X418" s="64"/>
      <c r="Y418" s="64"/>
    </row>
    <row r="419">
      <c r="A419" s="64"/>
      <c r="B419" s="64"/>
      <c r="C419" s="64"/>
      <c r="D419" s="64"/>
      <c r="E419" s="64"/>
      <c r="F419" s="64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64"/>
      <c r="S419" s="64"/>
      <c r="T419" s="64"/>
      <c r="U419" s="64"/>
      <c r="V419" s="64"/>
      <c r="W419" s="64"/>
      <c r="X419" s="64"/>
      <c r="Y419" s="64"/>
    </row>
    <row r="420">
      <c r="A420" s="64"/>
      <c r="B420" s="64"/>
      <c r="C420" s="64"/>
      <c r="D420" s="64"/>
      <c r="E420" s="64"/>
      <c r="F420" s="64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64"/>
      <c r="S420" s="64"/>
      <c r="T420" s="64"/>
      <c r="U420" s="64"/>
      <c r="V420" s="64"/>
      <c r="W420" s="64"/>
      <c r="X420" s="64"/>
      <c r="Y420" s="64"/>
    </row>
    <row r="421">
      <c r="A421" s="64"/>
      <c r="B421" s="64"/>
      <c r="C421" s="64"/>
      <c r="D421" s="64"/>
      <c r="E421" s="64"/>
      <c r="F421" s="64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64"/>
      <c r="S421" s="64"/>
      <c r="T421" s="64"/>
      <c r="U421" s="64"/>
      <c r="V421" s="64"/>
      <c r="W421" s="64"/>
      <c r="X421" s="64"/>
      <c r="Y421" s="64"/>
    </row>
    <row r="422">
      <c r="A422" s="64"/>
      <c r="B422" s="64"/>
      <c r="C422" s="64"/>
      <c r="D422" s="64"/>
      <c r="E422" s="64"/>
      <c r="F422" s="64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64"/>
      <c r="S422" s="64"/>
      <c r="T422" s="64"/>
      <c r="U422" s="64"/>
      <c r="V422" s="64"/>
      <c r="W422" s="64"/>
      <c r="X422" s="64"/>
      <c r="Y422" s="64"/>
    </row>
    <row r="423">
      <c r="A423" s="64"/>
      <c r="B423" s="64"/>
      <c r="C423" s="64"/>
      <c r="D423" s="64"/>
      <c r="E423" s="64"/>
      <c r="F423" s="64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64"/>
      <c r="S423" s="64"/>
      <c r="T423" s="64"/>
      <c r="U423" s="64"/>
      <c r="V423" s="64"/>
      <c r="W423" s="64"/>
      <c r="X423" s="64"/>
      <c r="Y423" s="64"/>
    </row>
    <row r="424">
      <c r="A424" s="64"/>
      <c r="B424" s="64"/>
      <c r="C424" s="64"/>
      <c r="D424" s="64"/>
      <c r="E424" s="64"/>
      <c r="F424" s="64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64"/>
      <c r="S424" s="64"/>
      <c r="T424" s="64"/>
      <c r="U424" s="64"/>
      <c r="V424" s="64"/>
      <c r="W424" s="64"/>
      <c r="X424" s="64"/>
      <c r="Y424" s="64"/>
    </row>
    <row r="425">
      <c r="A425" s="64"/>
      <c r="B425" s="64"/>
      <c r="C425" s="64"/>
      <c r="D425" s="64"/>
      <c r="E425" s="64"/>
      <c r="F425" s="64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64"/>
      <c r="S425" s="64"/>
      <c r="T425" s="64"/>
      <c r="U425" s="64"/>
      <c r="V425" s="64"/>
      <c r="W425" s="64"/>
      <c r="X425" s="64"/>
      <c r="Y425" s="64"/>
    </row>
    <row r="426">
      <c r="A426" s="64"/>
      <c r="B426" s="64"/>
      <c r="C426" s="64"/>
      <c r="D426" s="64"/>
      <c r="E426" s="64"/>
      <c r="F426" s="64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64"/>
      <c r="S426" s="64"/>
      <c r="T426" s="64"/>
      <c r="U426" s="64"/>
      <c r="V426" s="64"/>
      <c r="W426" s="64"/>
      <c r="X426" s="64"/>
      <c r="Y426" s="64"/>
    </row>
    <row r="427">
      <c r="A427" s="64"/>
      <c r="B427" s="64"/>
      <c r="C427" s="64"/>
      <c r="D427" s="64"/>
      <c r="E427" s="64"/>
      <c r="F427" s="64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64"/>
      <c r="S427" s="64"/>
      <c r="T427" s="64"/>
      <c r="U427" s="64"/>
      <c r="V427" s="64"/>
      <c r="W427" s="64"/>
      <c r="X427" s="64"/>
      <c r="Y427" s="64"/>
    </row>
    <row r="428">
      <c r="A428" s="64"/>
      <c r="B428" s="64"/>
      <c r="C428" s="64"/>
      <c r="D428" s="64"/>
      <c r="E428" s="64"/>
      <c r="F428" s="64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64"/>
      <c r="S428" s="64"/>
      <c r="T428" s="64"/>
      <c r="U428" s="64"/>
      <c r="V428" s="64"/>
      <c r="W428" s="64"/>
      <c r="X428" s="64"/>
      <c r="Y428" s="64"/>
    </row>
    <row r="429">
      <c r="A429" s="64"/>
      <c r="B429" s="64"/>
      <c r="C429" s="64"/>
      <c r="D429" s="64"/>
      <c r="E429" s="64"/>
      <c r="F429" s="64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64"/>
      <c r="S429" s="64"/>
      <c r="T429" s="64"/>
      <c r="U429" s="64"/>
      <c r="V429" s="64"/>
      <c r="W429" s="64"/>
      <c r="X429" s="64"/>
      <c r="Y429" s="64"/>
    </row>
    <row r="430">
      <c r="A430" s="64"/>
      <c r="B430" s="64"/>
      <c r="C430" s="64"/>
      <c r="D430" s="64"/>
      <c r="E430" s="64"/>
      <c r="F430" s="64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64"/>
      <c r="S430" s="64"/>
      <c r="T430" s="64"/>
      <c r="U430" s="64"/>
      <c r="V430" s="64"/>
      <c r="W430" s="64"/>
      <c r="X430" s="64"/>
      <c r="Y430" s="64"/>
    </row>
    <row r="431">
      <c r="A431" s="64"/>
      <c r="B431" s="64"/>
      <c r="C431" s="64"/>
      <c r="D431" s="64"/>
      <c r="E431" s="64"/>
      <c r="F431" s="64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64"/>
      <c r="S431" s="64"/>
      <c r="T431" s="64"/>
      <c r="U431" s="64"/>
      <c r="V431" s="64"/>
      <c r="W431" s="64"/>
      <c r="X431" s="64"/>
      <c r="Y431" s="64"/>
    </row>
    <row r="432">
      <c r="A432" s="64"/>
      <c r="B432" s="64"/>
      <c r="C432" s="64"/>
      <c r="D432" s="64"/>
      <c r="E432" s="64"/>
      <c r="F432" s="64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64"/>
      <c r="S432" s="64"/>
      <c r="T432" s="64"/>
      <c r="U432" s="64"/>
      <c r="V432" s="64"/>
      <c r="W432" s="64"/>
      <c r="X432" s="64"/>
      <c r="Y432" s="64"/>
    </row>
    <row r="433">
      <c r="A433" s="64"/>
      <c r="B433" s="64"/>
      <c r="C433" s="64"/>
      <c r="D433" s="64"/>
      <c r="E433" s="64"/>
      <c r="F433" s="64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64"/>
      <c r="S433" s="64"/>
      <c r="T433" s="64"/>
      <c r="U433" s="64"/>
      <c r="V433" s="64"/>
      <c r="W433" s="64"/>
      <c r="X433" s="64"/>
      <c r="Y433" s="64"/>
    </row>
    <row r="434">
      <c r="A434" s="64"/>
      <c r="B434" s="64"/>
      <c r="C434" s="64"/>
      <c r="D434" s="64"/>
      <c r="E434" s="64"/>
      <c r="F434" s="64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64"/>
      <c r="S434" s="64"/>
      <c r="T434" s="64"/>
      <c r="U434" s="64"/>
      <c r="V434" s="64"/>
      <c r="W434" s="64"/>
      <c r="X434" s="64"/>
      <c r="Y434" s="64"/>
    </row>
    <row r="435">
      <c r="A435" s="64"/>
      <c r="B435" s="64"/>
      <c r="C435" s="64"/>
      <c r="D435" s="64"/>
      <c r="E435" s="64"/>
      <c r="F435" s="64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64"/>
      <c r="S435" s="64"/>
      <c r="T435" s="64"/>
      <c r="U435" s="64"/>
      <c r="V435" s="64"/>
      <c r="W435" s="64"/>
      <c r="X435" s="64"/>
      <c r="Y435" s="64"/>
    </row>
    <row r="436">
      <c r="A436" s="64"/>
      <c r="B436" s="64"/>
      <c r="C436" s="64"/>
      <c r="D436" s="64"/>
      <c r="E436" s="64"/>
      <c r="F436" s="64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64"/>
      <c r="S436" s="64"/>
      <c r="T436" s="64"/>
      <c r="U436" s="64"/>
      <c r="V436" s="64"/>
      <c r="W436" s="64"/>
      <c r="X436" s="64"/>
      <c r="Y436" s="64"/>
    </row>
    <row r="437">
      <c r="A437" s="64"/>
      <c r="B437" s="64"/>
      <c r="C437" s="64"/>
      <c r="D437" s="64"/>
      <c r="E437" s="64"/>
      <c r="F437" s="64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64"/>
      <c r="S437" s="64"/>
      <c r="T437" s="64"/>
      <c r="U437" s="64"/>
      <c r="V437" s="64"/>
      <c r="W437" s="64"/>
      <c r="X437" s="64"/>
      <c r="Y437" s="64"/>
    </row>
    <row r="438">
      <c r="A438" s="64"/>
      <c r="B438" s="64"/>
      <c r="C438" s="64"/>
      <c r="D438" s="64"/>
      <c r="E438" s="64"/>
      <c r="F438" s="64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64"/>
      <c r="S438" s="64"/>
      <c r="T438" s="64"/>
      <c r="U438" s="64"/>
      <c r="V438" s="64"/>
      <c r="W438" s="64"/>
      <c r="X438" s="64"/>
      <c r="Y438" s="64"/>
    </row>
    <row r="439">
      <c r="A439" s="64"/>
      <c r="B439" s="64"/>
      <c r="C439" s="64"/>
      <c r="D439" s="64"/>
      <c r="E439" s="64"/>
      <c r="F439" s="64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64"/>
      <c r="S439" s="64"/>
      <c r="T439" s="64"/>
      <c r="U439" s="64"/>
      <c r="V439" s="64"/>
      <c r="W439" s="64"/>
      <c r="X439" s="64"/>
      <c r="Y439" s="64"/>
    </row>
    <row r="440">
      <c r="A440" s="64"/>
      <c r="B440" s="64"/>
      <c r="C440" s="64"/>
      <c r="D440" s="64"/>
      <c r="E440" s="64"/>
      <c r="F440" s="64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64"/>
      <c r="S440" s="64"/>
      <c r="T440" s="64"/>
      <c r="U440" s="64"/>
      <c r="V440" s="64"/>
      <c r="W440" s="64"/>
      <c r="X440" s="64"/>
      <c r="Y440" s="64"/>
    </row>
    <row r="441">
      <c r="A441" s="64"/>
      <c r="B441" s="64"/>
      <c r="C441" s="64"/>
      <c r="D441" s="64"/>
      <c r="E441" s="64"/>
      <c r="F441" s="64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64"/>
      <c r="S441" s="64"/>
      <c r="T441" s="64"/>
      <c r="U441" s="64"/>
      <c r="V441" s="64"/>
      <c r="W441" s="64"/>
      <c r="X441" s="64"/>
      <c r="Y441" s="64"/>
    </row>
    <row r="442">
      <c r="A442" s="64"/>
      <c r="B442" s="64"/>
      <c r="C442" s="64"/>
      <c r="D442" s="64"/>
      <c r="E442" s="64"/>
      <c r="F442" s="64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64"/>
      <c r="S442" s="64"/>
      <c r="T442" s="64"/>
      <c r="U442" s="64"/>
      <c r="V442" s="64"/>
      <c r="W442" s="64"/>
      <c r="X442" s="64"/>
      <c r="Y442" s="64"/>
    </row>
    <row r="443">
      <c r="A443" s="64"/>
      <c r="B443" s="64"/>
      <c r="C443" s="64"/>
      <c r="D443" s="64"/>
      <c r="E443" s="64"/>
      <c r="F443" s="64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64"/>
      <c r="S443" s="64"/>
      <c r="T443" s="64"/>
      <c r="U443" s="64"/>
      <c r="V443" s="64"/>
      <c r="W443" s="64"/>
      <c r="X443" s="64"/>
      <c r="Y443" s="64"/>
    </row>
    <row r="444">
      <c r="A444" s="64"/>
      <c r="B444" s="64"/>
      <c r="C444" s="64"/>
      <c r="D444" s="64"/>
      <c r="E444" s="64"/>
      <c r="F444" s="64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64"/>
      <c r="S444" s="64"/>
      <c r="T444" s="64"/>
      <c r="U444" s="64"/>
      <c r="V444" s="64"/>
      <c r="W444" s="64"/>
      <c r="X444" s="64"/>
      <c r="Y444" s="64"/>
    </row>
    <row r="445">
      <c r="A445" s="64"/>
      <c r="B445" s="64"/>
      <c r="C445" s="64"/>
      <c r="D445" s="64"/>
      <c r="E445" s="64"/>
      <c r="F445" s="64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64"/>
      <c r="S445" s="64"/>
      <c r="T445" s="64"/>
      <c r="U445" s="64"/>
      <c r="V445" s="64"/>
      <c r="W445" s="64"/>
      <c r="X445" s="64"/>
      <c r="Y445" s="64"/>
    </row>
    <row r="446">
      <c r="A446" s="64"/>
      <c r="B446" s="64"/>
      <c r="C446" s="64"/>
      <c r="D446" s="64"/>
      <c r="E446" s="64"/>
      <c r="F446" s="64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64"/>
      <c r="S446" s="64"/>
      <c r="T446" s="64"/>
      <c r="U446" s="64"/>
      <c r="V446" s="64"/>
      <c r="W446" s="64"/>
      <c r="X446" s="64"/>
      <c r="Y446" s="64"/>
    </row>
    <row r="447">
      <c r="A447" s="64"/>
      <c r="B447" s="64"/>
      <c r="C447" s="64"/>
      <c r="D447" s="64"/>
      <c r="E447" s="64"/>
      <c r="F447" s="64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64"/>
      <c r="S447" s="64"/>
      <c r="T447" s="64"/>
      <c r="U447" s="64"/>
      <c r="V447" s="64"/>
      <c r="W447" s="64"/>
      <c r="X447" s="64"/>
      <c r="Y447" s="64"/>
    </row>
    <row r="448">
      <c r="A448" s="64"/>
      <c r="B448" s="64"/>
      <c r="C448" s="64"/>
      <c r="D448" s="64"/>
      <c r="E448" s="64"/>
      <c r="F448" s="64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64"/>
      <c r="S448" s="64"/>
      <c r="T448" s="64"/>
      <c r="U448" s="64"/>
      <c r="V448" s="64"/>
      <c r="W448" s="64"/>
      <c r="X448" s="64"/>
      <c r="Y448" s="64"/>
    </row>
    <row r="449">
      <c r="A449" s="64"/>
      <c r="B449" s="64"/>
      <c r="C449" s="64"/>
      <c r="D449" s="64"/>
      <c r="E449" s="64"/>
      <c r="F449" s="64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64"/>
      <c r="S449" s="64"/>
      <c r="T449" s="64"/>
      <c r="U449" s="64"/>
      <c r="V449" s="64"/>
      <c r="W449" s="64"/>
      <c r="X449" s="64"/>
      <c r="Y449" s="64"/>
    </row>
    <row r="450">
      <c r="A450" s="64"/>
      <c r="B450" s="64"/>
      <c r="C450" s="64"/>
      <c r="D450" s="64"/>
      <c r="E450" s="64"/>
      <c r="F450" s="64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64"/>
      <c r="S450" s="64"/>
      <c r="T450" s="64"/>
      <c r="U450" s="64"/>
      <c r="V450" s="64"/>
      <c r="W450" s="64"/>
      <c r="X450" s="64"/>
      <c r="Y450" s="64"/>
    </row>
    <row r="451">
      <c r="A451" s="64"/>
      <c r="B451" s="64"/>
      <c r="C451" s="64"/>
      <c r="D451" s="64"/>
      <c r="E451" s="64"/>
      <c r="F451" s="64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64"/>
      <c r="S451" s="64"/>
      <c r="T451" s="64"/>
      <c r="U451" s="64"/>
      <c r="V451" s="64"/>
      <c r="W451" s="64"/>
      <c r="X451" s="64"/>
      <c r="Y451" s="64"/>
    </row>
    <row r="452">
      <c r="A452" s="64"/>
      <c r="B452" s="64"/>
      <c r="C452" s="64"/>
      <c r="D452" s="64"/>
      <c r="E452" s="64"/>
      <c r="F452" s="64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64"/>
      <c r="S452" s="64"/>
      <c r="T452" s="64"/>
      <c r="U452" s="64"/>
      <c r="V452" s="64"/>
      <c r="W452" s="64"/>
      <c r="X452" s="64"/>
      <c r="Y452" s="64"/>
    </row>
    <row r="453">
      <c r="A453" s="64"/>
      <c r="B453" s="64"/>
      <c r="C453" s="64"/>
      <c r="D453" s="64"/>
      <c r="E453" s="64"/>
      <c r="F453" s="64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64"/>
      <c r="S453" s="64"/>
      <c r="T453" s="64"/>
      <c r="U453" s="64"/>
      <c r="V453" s="64"/>
      <c r="W453" s="64"/>
      <c r="X453" s="64"/>
      <c r="Y453" s="64"/>
    </row>
    <row r="454">
      <c r="A454" s="64"/>
      <c r="B454" s="64"/>
      <c r="C454" s="64"/>
      <c r="D454" s="64"/>
      <c r="E454" s="64"/>
      <c r="F454" s="64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64"/>
      <c r="S454" s="64"/>
      <c r="T454" s="64"/>
      <c r="U454" s="64"/>
      <c r="V454" s="64"/>
      <c r="W454" s="64"/>
      <c r="X454" s="64"/>
      <c r="Y454" s="64"/>
    </row>
    <row r="455">
      <c r="A455" s="64"/>
      <c r="B455" s="64"/>
      <c r="C455" s="64"/>
      <c r="D455" s="64"/>
      <c r="E455" s="64"/>
      <c r="F455" s="64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64"/>
      <c r="S455" s="64"/>
      <c r="T455" s="64"/>
      <c r="U455" s="64"/>
      <c r="V455" s="64"/>
      <c r="W455" s="64"/>
      <c r="X455" s="64"/>
      <c r="Y455" s="64"/>
    </row>
    <row r="456">
      <c r="A456" s="64"/>
      <c r="B456" s="64"/>
      <c r="C456" s="64"/>
      <c r="D456" s="64"/>
      <c r="E456" s="64"/>
      <c r="F456" s="64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64"/>
      <c r="S456" s="64"/>
      <c r="T456" s="64"/>
      <c r="U456" s="64"/>
      <c r="V456" s="64"/>
      <c r="W456" s="64"/>
      <c r="X456" s="64"/>
      <c r="Y456" s="64"/>
    </row>
    <row r="457">
      <c r="A457" s="64"/>
      <c r="B457" s="64"/>
      <c r="C457" s="64"/>
      <c r="D457" s="64"/>
      <c r="E457" s="64"/>
      <c r="F457" s="64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64"/>
      <c r="S457" s="64"/>
      <c r="T457" s="64"/>
      <c r="U457" s="64"/>
      <c r="V457" s="64"/>
      <c r="W457" s="64"/>
      <c r="X457" s="64"/>
      <c r="Y457" s="64"/>
    </row>
    <row r="458">
      <c r="A458" s="64"/>
      <c r="B458" s="64"/>
      <c r="C458" s="64"/>
      <c r="D458" s="64"/>
      <c r="E458" s="64"/>
      <c r="F458" s="64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64"/>
      <c r="S458" s="64"/>
      <c r="T458" s="64"/>
      <c r="U458" s="64"/>
      <c r="V458" s="64"/>
      <c r="W458" s="64"/>
      <c r="X458" s="64"/>
      <c r="Y458" s="64"/>
    </row>
    <row r="459">
      <c r="A459" s="64"/>
      <c r="B459" s="64"/>
      <c r="C459" s="64"/>
      <c r="D459" s="64"/>
      <c r="E459" s="64"/>
      <c r="F459" s="64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64"/>
      <c r="S459" s="64"/>
      <c r="T459" s="64"/>
      <c r="U459" s="64"/>
      <c r="V459" s="64"/>
      <c r="W459" s="64"/>
      <c r="X459" s="64"/>
      <c r="Y459" s="64"/>
    </row>
    <row r="460">
      <c r="A460" s="64"/>
      <c r="B460" s="64"/>
      <c r="C460" s="64"/>
      <c r="D460" s="64"/>
      <c r="E460" s="64"/>
      <c r="F460" s="64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64"/>
      <c r="S460" s="64"/>
      <c r="T460" s="64"/>
      <c r="U460" s="64"/>
      <c r="V460" s="64"/>
      <c r="W460" s="64"/>
      <c r="X460" s="64"/>
      <c r="Y460" s="64"/>
    </row>
    <row r="461">
      <c r="A461" s="64"/>
      <c r="B461" s="64"/>
      <c r="C461" s="64"/>
      <c r="D461" s="64"/>
      <c r="E461" s="64"/>
      <c r="F461" s="64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64"/>
      <c r="S461" s="64"/>
      <c r="T461" s="64"/>
      <c r="U461" s="64"/>
      <c r="V461" s="64"/>
      <c r="W461" s="64"/>
      <c r="X461" s="64"/>
      <c r="Y461" s="64"/>
    </row>
    <row r="462">
      <c r="A462" s="64"/>
      <c r="B462" s="64"/>
      <c r="C462" s="64"/>
      <c r="D462" s="64"/>
      <c r="E462" s="64"/>
      <c r="F462" s="64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64"/>
      <c r="S462" s="64"/>
      <c r="T462" s="64"/>
      <c r="U462" s="64"/>
      <c r="V462" s="64"/>
      <c r="W462" s="64"/>
      <c r="X462" s="64"/>
      <c r="Y462" s="64"/>
    </row>
    <row r="463">
      <c r="A463" s="64"/>
      <c r="B463" s="64"/>
      <c r="C463" s="64"/>
      <c r="D463" s="64"/>
      <c r="E463" s="64"/>
      <c r="F463" s="64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64"/>
      <c r="S463" s="64"/>
      <c r="T463" s="64"/>
      <c r="U463" s="64"/>
      <c r="V463" s="64"/>
      <c r="W463" s="64"/>
      <c r="X463" s="64"/>
      <c r="Y463" s="64"/>
    </row>
    <row r="464">
      <c r="A464" s="64"/>
      <c r="B464" s="64"/>
      <c r="C464" s="64"/>
      <c r="D464" s="64"/>
      <c r="E464" s="64"/>
      <c r="F464" s="64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64"/>
      <c r="S464" s="64"/>
      <c r="T464" s="64"/>
      <c r="U464" s="64"/>
      <c r="V464" s="64"/>
      <c r="W464" s="64"/>
      <c r="X464" s="64"/>
      <c r="Y464" s="64"/>
    </row>
    <row r="465">
      <c r="A465" s="64"/>
      <c r="B465" s="64"/>
      <c r="C465" s="64"/>
      <c r="D465" s="64"/>
      <c r="E465" s="64"/>
      <c r="F465" s="64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64"/>
      <c r="S465" s="64"/>
      <c r="T465" s="64"/>
      <c r="U465" s="64"/>
      <c r="V465" s="64"/>
      <c r="W465" s="64"/>
      <c r="X465" s="64"/>
      <c r="Y465" s="64"/>
    </row>
    <row r="466">
      <c r="A466" s="64"/>
      <c r="B466" s="64"/>
      <c r="C466" s="64"/>
      <c r="D466" s="64"/>
      <c r="E466" s="64"/>
      <c r="F466" s="64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64"/>
      <c r="S466" s="64"/>
      <c r="T466" s="64"/>
      <c r="U466" s="64"/>
      <c r="V466" s="64"/>
      <c r="W466" s="64"/>
      <c r="X466" s="64"/>
      <c r="Y466" s="64"/>
    </row>
    <row r="467">
      <c r="A467" s="64"/>
      <c r="B467" s="64"/>
      <c r="C467" s="64"/>
      <c r="D467" s="64"/>
      <c r="E467" s="64"/>
      <c r="F467" s="64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64"/>
      <c r="S467" s="64"/>
      <c r="T467" s="64"/>
      <c r="U467" s="64"/>
      <c r="V467" s="64"/>
      <c r="W467" s="64"/>
      <c r="X467" s="64"/>
      <c r="Y467" s="64"/>
    </row>
    <row r="468">
      <c r="A468" s="64"/>
      <c r="B468" s="64"/>
      <c r="C468" s="64"/>
      <c r="D468" s="64"/>
      <c r="E468" s="64"/>
      <c r="F468" s="64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64"/>
      <c r="S468" s="64"/>
      <c r="T468" s="64"/>
      <c r="U468" s="64"/>
      <c r="V468" s="64"/>
      <c r="W468" s="64"/>
      <c r="X468" s="64"/>
      <c r="Y468" s="64"/>
    </row>
    <row r="469">
      <c r="A469" s="64"/>
      <c r="B469" s="64"/>
      <c r="C469" s="64"/>
      <c r="D469" s="64"/>
      <c r="E469" s="64"/>
      <c r="F469" s="64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64"/>
      <c r="S469" s="64"/>
      <c r="T469" s="64"/>
      <c r="U469" s="64"/>
      <c r="V469" s="64"/>
      <c r="W469" s="64"/>
      <c r="X469" s="64"/>
      <c r="Y469" s="64"/>
    </row>
    <row r="470">
      <c r="A470" s="64"/>
      <c r="B470" s="64"/>
      <c r="C470" s="64"/>
      <c r="D470" s="64"/>
      <c r="E470" s="64"/>
      <c r="F470" s="64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64"/>
      <c r="S470" s="64"/>
      <c r="T470" s="64"/>
      <c r="U470" s="64"/>
      <c r="V470" s="64"/>
      <c r="W470" s="64"/>
      <c r="X470" s="64"/>
      <c r="Y470" s="64"/>
    </row>
    <row r="471">
      <c r="A471" s="64"/>
      <c r="B471" s="64"/>
      <c r="C471" s="64"/>
      <c r="D471" s="64"/>
      <c r="E471" s="64"/>
      <c r="F471" s="64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64"/>
      <c r="S471" s="64"/>
      <c r="T471" s="64"/>
      <c r="U471" s="64"/>
      <c r="V471" s="64"/>
      <c r="W471" s="64"/>
      <c r="X471" s="64"/>
      <c r="Y471" s="64"/>
    </row>
    <row r="472">
      <c r="A472" s="64"/>
      <c r="B472" s="64"/>
      <c r="C472" s="64"/>
      <c r="D472" s="64"/>
      <c r="E472" s="64"/>
      <c r="F472" s="64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64"/>
      <c r="S472" s="64"/>
      <c r="T472" s="64"/>
      <c r="U472" s="64"/>
      <c r="V472" s="64"/>
      <c r="W472" s="64"/>
      <c r="X472" s="64"/>
      <c r="Y472" s="64"/>
    </row>
    <row r="473">
      <c r="A473" s="64"/>
      <c r="B473" s="64"/>
      <c r="C473" s="64"/>
      <c r="D473" s="64"/>
      <c r="E473" s="64"/>
      <c r="F473" s="64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64"/>
      <c r="S473" s="64"/>
      <c r="T473" s="64"/>
      <c r="U473" s="64"/>
      <c r="V473" s="64"/>
      <c r="W473" s="64"/>
      <c r="X473" s="64"/>
      <c r="Y473" s="64"/>
    </row>
    <row r="474">
      <c r="A474" s="64"/>
      <c r="B474" s="64"/>
      <c r="C474" s="64"/>
      <c r="D474" s="64"/>
      <c r="E474" s="64"/>
      <c r="F474" s="64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64"/>
      <c r="S474" s="64"/>
      <c r="T474" s="64"/>
      <c r="U474" s="64"/>
      <c r="V474" s="64"/>
      <c r="W474" s="64"/>
      <c r="X474" s="64"/>
      <c r="Y474" s="64"/>
    </row>
    <row r="475">
      <c r="A475" s="64"/>
      <c r="B475" s="64"/>
      <c r="C475" s="64"/>
      <c r="D475" s="64"/>
      <c r="E475" s="64"/>
      <c r="F475" s="64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64"/>
      <c r="S475" s="64"/>
      <c r="T475" s="64"/>
      <c r="U475" s="64"/>
      <c r="V475" s="64"/>
      <c r="W475" s="64"/>
      <c r="X475" s="64"/>
      <c r="Y475" s="64"/>
    </row>
    <row r="476">
      <c r="A476" s="64"/>
      <c r="B476" s="64"/>
      <c r="C476" s="64"/>
      <c r="D476" s="64"/>
      <c r="E476" s="64"/>
      <c r="F476" s="64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64"/>
      <c r="S476" s="64"/>
      <c r="T476" s="64"/>
      <c r="U476" s="64"/>
      <c r="V476" s="64"/>
      <c r="W476" s="64"/>
      <c r="X476" s="64"/>
      <c r="Y476" s="64"/>
    </row>
    <row r="477">
      <c r="A477" s="64"/>
      <c r="B477" s="64"/>
      <c r="C477" s="64"/>
      <c r="D477" s="64"/>
      <c r="E477" s="64"/>
      <c r="F477" s="64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64"/>
      <c r="S477" s="64"/>
      <c r="T477" s="64"/>
      <c r="U477" s="64"/>
      <c r="V477" s="64"/>
      <c r="W477" s="64"/>
      <c r="X477" s="64"/>
      <c r="Y477" s="64"/>
    </row>
    <row r="478">
      <c r="A478" s="64"/>
      <c r="B478" s="64"/>
      <c r="C478" s="64"/>
      <c r="D478" s="64"/>
      <c r="E478" s="64"/>
      <c r="F478" s="64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64"/>
      <c r="S478" s="64"/>
      <c r="T478" s="64"/>
      <c r="U478" s="64"/>
      <c r="V478" s="64"/>
      <c r="W478" s="64"/>
      <c r="X478" s="64"/>
      <c r="Y478" s="64"/>
    </row>
    <row r="479">
      <c r="A479" s="64"/>
      <c r="B479" s="64"/>
      <c r="C479" s="64"/>
      <c r="D479" s="64"/>
      <c r="E479" s="64"/>
      <c r="F479" s="64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64"/>
      <c r="S479" s="64"/>
      <c r="T479" s="64"/>
      <c r="U479" s="64"/>
      <c r="V479" s="64"/>
      <c r="W479" s="64"/>
      <c r="X479" s="64"/>
      <c r="Y479" s="64"/>
    </row>
    <row r="480">
      <c r="A480" s="64"/>
      <c r="B480" s="64"/>
      <c r="C480" s="64"/>
      <c r="D480" s="64"/>
      <c r="E480" s="64"/>
      <c r="F480" s="64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64"/>
      <c r="S480" s="64"/>
      <c r="T480" s="64"/>
      <c r="U480" s="64"/>
      <c r="V480" s="64"/>
      <c r="W480" s="64"/>
      <c r="X480" s="64"/>
      <c r="Y480" s="64"/>
    </row>
    <row r="481">
      <c r="A481" s="64"/>
      <c r="B481" s="64"/>
      <c r="C481" s="64"/>
      <c r="D481" s="64"/>
      <c r="E481" s="64"/>
      <c r="F481" s="64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64"/>
      <c r="S481" s="64"/>
      <c r="T481" s="64"/>
      <c r="U481" s="64"/>
      <c r="V481" s="64"/>
      <c r="W481" s="64"/>
      <c r="X481" s="64"/>
      <c r="Y481" s="64"/>
    </row>
    <row r="482">
      <c r="A482" s="64"/>
      <c r="B482" s="64"/>
      <c r="C482" s="64"/>
      <c r="D482" s="64"/>
      <c r="E482" s="64"/>
      <c r="F482" s="64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64"/>
      <c r="S482" s="64"/>
      <c r="T482" s="64"/>
      <c r="U482" s="64"/>
      <c r="V482" s="64"/>
      <c r="W482" s="64"/>
      <c r="X482" s="64"/>
      <c r="Y482" s="64"/>
    </row>
    <row r="483">
      <c r="A483" s="64"/>
      <c r="B483" s="64"/>
      <c r="C483" s="64"/>
      <c r="D483" s="64"/>
      <c r="E483" s="64"/>
      <c r="F483" s="64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64"/>
      <c r="S483" s="64"/>
      <c r="T483" s="64"/>
      <c r="U483" s="64"/>
      <c r="V483" s="64"/>
      <c r="W483" s="64"/>
      <c r="X483" s="64"/>
      <c r="Y483" s="64"/>
    </row>
    <row r="484">
      <c r="A484" s="64"/>
      <c r="B484" s="64"/>
      <c r="C484" s="64"/>
      <c r="D484" s="64"/>
      <c r="E484" s="64"/>
      <c r="F484" s="64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64"/>
      <c r="S484" s="64"/>
      <c r="T484" s="64"/>
      <c r="U484" s="64"/>
      <c r="V484" s="64"/>
      <c r="W484" s="64"/>
      <c r="X484" s="64"/>
      <c r="Y484" s="64"/>
    </row>
    <row r="485">
      <c r="A485" s="64"/>
      <c r="B485" s="64"/>
      <c r="C485" s="64"/>
      <c r="D485" s="64"/>
      <c r="E485" s="64"/>
      <c r="F485" s="64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64"/>
      <c r="S485" s="64"/>
      <c r="T485" s="64"/>
      <c r="U485" s="64"/>
      <c r="V485" s="64"/>
      <c r="W485" s="64"/>
      <c r="X485" s="64"/>
      <c r="Y485" s="64"/>
    </row>
    <row r="486">
      <c r="A486" s="64"/>
      <c r="B486" s="64"/>
      <c r="C486" s="64"/>
      <c r="D486" s="64"/>
      <c r="E486" s="64"/>
      <c r="F486" s="64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64"/>
      <c r="S486" s="64"/>
      <c r="T486" s="64"/>
      <c r="U486" s="64"/>
      <c r="V486" s="64"/>
      <c r="W486" s="64"/>
      <c r="X486" s="64"/>
      <c r="Y486" s="64"/>
    </row>
    <row r="487">
      <c r="A487" s="64"/>
      <c r="B487" s="64"/>
      <c r="C487" s="64"/>
      <c r="D487" s="64"/>
      <c r="E487" s="64"/>
      <c r="F487" s="64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64"/>
      <c r="S487" s="64"/>
      <c r="T487" s="64"/>
      <c r="U487" s="64"/>
      <c r="V487" s="64"/>
      <c r="W487" s="64"/>
      <c r="X487" s="64"/>
      <c r="Y487" s="64"/>
    </row>
    <row r="488">
      <c r="A488" s="64"/>
      <c r="B488" s="64"/>
      <c r="C488" s="64"/>
      <c r="D488" s="64"/>
      <c r="E488" s="64"/>
      <c r="F488" s="64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64"/>
      <c r="S488" s="64"/>
      <c r="T488" s="64"/>
      <c r="U488" s="64"/>
      <c r="V488" s="64"/>
      <c r="W488" s="64"/>
      <c r="X488" s="64"/>
      <c r="Y488" s="64"/>
    </row>
    <row r="489">
      <c r="A489" s="64"/>
      <c r="B489" s="64"/>
      <c r="C489" s="64"/>
      <c r="D489" s="64"/>
      <c r="E489" s="64"/>
      <c r="F489" s="64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64"/>
      <c r="S489" s="64"/>
      <c r="T489" s="64"/>
      <c r="U489" s="64"/>
      <c r="V489" s="64"/>
      <c r="W489" s="64"/>
      <c r="X489" s="64"/>
      <c r="Y489" s="64"/>
    </row>
    <row r="490">
      <c r="A490" s="64"/>
      <c r="B490" s="64"/>
      <c r="C490" s="64"/>
      <c r="D490" s="64"/>
      <c r="E490" s="64"/>
      <c r="F490" s="64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64"/>
      <c r="S490" s="64"/>
      <c r="T490" s="64"/>
      <c r="U490" s="64"/>
      <c r="V490" s="64"/>
      <c r="W490" s="64"/>
      <c r="X490" s="64"/>
      <c r="Y490" s="64"/>
    </row>
    <row r="491">
      <c r="A491" s="64"/>
      <c r="B491" s="64"/>
      <c r="C491" s="64"/>
      <c r="D491" s="64"/>
      <c r="E491" s="64"/>
      <c r="F491" s="64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64"/>
      <c r="S491" s="64"/>
      <c r="T491" s="64"/>
      <c r="U491" s="64"/>
      <c r="V491" s="64"/>
      <c r="W491" s="64"/>
      <c r="X491" s="64"/>
      <c r="Y491" s="64"/>
    </row>
    <row r="492">
      <c r="A492" s="64"/>
      <c r="B492" s="64"/>
      <c r="C492" s="64"/>
      <c r="D492" s="64"/>
      <c r="E492" s="64"/>
      <c r="F492" s="64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64"/>
      <c r="S492" s="64"/>
      <c r="T492" s="64"/>
      <c r="U492" s="64"/>
      <c r="V492" s="64"/>
      <c r="W492" s="64"/>
      <c r="X492" s="64"/>
      <c r="Y492" s="64"/>
    </row>
    <row r="493">
      <c r="A493" s="64"/>
      <c r="B493" s="64"/>
      <c r="C493" s="64"/>
      <c r="D493" s="64"/>
      <c r="E493" s="64"/>
      <c r="F493" s="64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64"/>
      <c r="S493" s="64"/>
      <c r="T493" s="64"/>
      <c r="U493" s="64"/>
      <c r="V493" s="64"/>
      <c r="W493" s="64"/>
      <c r="X493" s="64"/>
      <c r="Y493" s="64"/>
    </row>
    <row r="494">
      <c r="A494" s="64"/>
      <c r="B494" s="64"/>
      <c r="C494" s="64"/>
      <c r="D494" s="64"/>
      <c r="E494" s="64"/>
      <c r="F494" s="64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64"/>
      <c r="S494" s="64"/>
      <c r="T494" s="64"/>
      <c r="U494" s="64"/>
      <c r="V494" s="64"/>
      <c r="W494" s="64"/>
      <c r="X494" s="64"/>
      <c r="Y494" s="64"/>
    </row>
    <row r="495">
      <c r="A495" s="64"/>
      <c r="B495" s="64"/>
      <c r="C495" s="64"/>
      <c r="D495" s="64"/>
      <c r="E495" s="64"/>
      <c r="F495" s="64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64"/>
      <c r="S495" s="64"/>
      <c r="T495" s="64"/>
      <c r="U495" s="64"/>
      <c r="V495" s="64"/>
      <c r="W495" s="64"/>
      <c r="X495" s="64"/>
      <c r="Y495" s="64"/>
    </row>
    <row r="496">
      <c r="A496" s="64"/>
      <c r="B496" s="64"/>
      <c r="C496" s="64"/>
      <c r="D496" s="64"/>
      <c r="E496" s="64"/>
      <c r="F496" s="64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64"/>
      <c r="S496" s="64"/>
      <c r="T496" s="64"/>
      <c r="U496" s="64"/>
      <c r="V496" s="64"/>
      <c r="W496" s="64"/>
      <c r="X496" s="64"/>
      <c r="Y496" s="64"/>
    </row>
    <row r="497">
      <c r="A497" s="64"/>
      <c r="B497" s="64"/>
      <c r="C497" s="64"/>
      <c r="D497" s="64"/>
      <c r="E497" s="64"/>
      <c r="F497" s="64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64"/>
      <c r="S497" s="64"/>
      <c r="T497" s="64"/>
      <c r="U497" s="64"/>
      <c r="V497" s="64"/>
      <c r="W497" s="64"/>
      <c r="X497" s="64"/>
      <c r="Y497" s="64"/>
    </row>
    <row r="498">
      <c r="A498" s="64"/>
      <c r="B498" s="64"/>
      <c r="C498" s="64"/>
      <c r="D498" s="64"/>
      <c r="E498" s="64"/>
      <c r="F498" s="64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64"/>
      <c r="S498" s="64"/>
      <c r="T498" s="64"/>
      <c r="U498" s="64"/>
      <c r="V498" s="64"/>
      <c r="W498" s="64"/>
      <c r="X498" s="64"/>
      <c r="Y498" s="64"/>
    </row>
    <row r="499">
      <c r="A499" s="64"/>
      <c r="B499" s="64"/>
      <c r="C499" s="64"/>
      <c r="D499" s="64"/>
      <c r="E499" s="64"/>
      <c r="F499" s="64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64"/>
      <c r="S499" s="64"/>
      <c r="T499" s="64"/>
      <c r="U499" s="64"/>
      <c r="V499" s="64"/>
      <c r="W499" s="64"/>
      <c r="X499" s="64"/>
      <c r="Y499" s="64"/>
    </row>
    <row r="500">
      <c r="A500" s="64"/>
      <c r="B500" s="64"/>
      <c r="C500" s="64"/>
      <c r="D500" s="64"/>
      <c r="E500" s="64"/>
      <c r="F500" s="64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64"/>
      <c r="S500" s="64"/>
      <c r="T500" s="64"/>
      <c r="U500" s="64"/>
      <c r="V500" s="64"/>
      <c r="W500" s="64"/>
      <c r="X500" s="64"/>
      <c r="Y500" s="64"/>
    </row>
    <row r="501">
      <c r="A501" s="64"/>
      <c r="B501" s="64"/>
      <c r="C501" s="64"/>
      <c r="D501" s="64"/>
      <c r="E501" s="64"/>
      <c r="F501" s="64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64"/>
      <c r="S501" s="64"/>
      <c r="T501" s="64"/>
      <c r="U501" s="64"/>
      <c r="V501" s="64"/>
      <c r="W501" s="64"/>
      <c r="X501" s="64"/>
      <c r="Y501" s="64"/>
    </row>
    <row r="502">
      <c r="A502" s="64"/>
      <c r="B502" s="64"/>
      <c r="C502" s="64"/>
      <c r="D502" s="64"/>
      <c r="E502" s="64"/>
      <c r="F502" s="64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64"/>
      <c r="S502" s="64"/>
      <c r="T502" s="64"/>
      <c r="U502" s="64"/>
      <c r="V502" s="64"/>
      <c r="W502" s="64"/>
      <c r="X502" s="64"/>
      <c r="Y502" s="64"/>
    </row>
    <row r="503">
      <c r="A503" s="64"/>
      <c r="B503" s="64"/>
      <c r="C503" s="64"/>
      <c r="D503" s="64"/>
      <c r="E503" s="64"/>
      <c r="F503" s="64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64"/>
      <c r="S503" s="64"/>
      <c r="T503" s="64"/>
      <c r="U503" s="64"/>
      <c r="V503" s="64"/>
      <c r="W503" s="64"/>
      <c r="X503" s="64"/>
      <c r="Y503" s="64"/>
    </row>
    <row r="504">
      <c r="A504" s="64"/>
      <c r="B504" s="64"/>
      <c r="C504" s="64"/>
      <c r="D504" s="64"/>
      <c r="E504" s="64"/>
      <c r="F504" s="64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64"/>
      <c r="S504" s="64"/>
      <c r="T504" s="64"/>
      <c r="U504" s="64"/>
      <c r="V504" s="64"/>
      <c r="W504" s="64"/>
      <c r="X504" s="64"/>
      <c r="Y504" s="64"/>
    </row>
    <row r="505">
      <c r="A505" s="64"/>
      <c r="B505" s="64"/>
      <c r="C505" s="64"/>
      <c r="D505" s="64"/>
      <c r="E505" s="64"/>
      <c r="F505" s="64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64"/>
      <c r="S505" s="64"/>
      <c r="T505" s="64"/>
      <c r="U505" s="64"/>
      <c r="V505" s="64"/>
      <c r="W505" s="64"/>
      <c r="X505" s="64"/>
      <c r="Y505" s="64"/>
    </row>
    <row r="506">
      <c r="A506" s="64"/>
      <c r="B506" s="64"/>
      <c r="C506" s="64"/>
      <c r="D506" s="64"/>
      <c r="E506" s="64"/>
      <c r="F506" s="64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64"/>
      <c r="S506" s="64"/>
      <c r="T506" s="64"/>
      <c r="U506" s="64"/>
      <c r="V506" s="64"/>
      <c r="W506" s="64"/>
      <c r="X506" s="64"/>
      <c r="Y506" s="64"/>
    </row>
    <row r="507">
      <c r="A507" s="64"/>
      <c r="B507" s="64"/>
      <c r="C507" s="64"/>
      <c r="D507" s="64"/>
      <c r="E507" s="64"/>
      <c r="F507" s="64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64"/>
      <c r="S507" s="64"/>
      <c r="T507" s="64"/>
      <c r="U507" s="64"/>
      <c r="V507" s="64"/>
      <c r="W507" s="64"/>
      <c r="X507" s="64"/>
      <c r="Y507" s="64"/>
    </row>
    <row r="508">
      <c r="A508" s="64"/>
      <c r="B508" s="64"/>
      <c r="C508" s="64"/>
      <c r="D508" s="64"/>
      <c r="E508" s="64"/>
      <c r="F508" s="64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64"/>
      <c r="S508" s="64"/>
      <c r="T508" s="64"/>
      <c r="U508" s="64"/>
      <c r="V508" s="64"/>
      <c r="W508" s="64"/>
      <c r="X508" s="64"/>
      <c r="Y508" s="64"/>
    </row>
    <row r="509">
      <c r="A509" s="64"/>
      <c r="B509" s="64"/>
      <c r="C509" s="64"/>
      <c r="D509" s="64"/>
      <c r="E509" s="64"/>
      <c r="F509" s="64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64"/>
      <c r="S509" s="64"/>
      <c r="T509" s="64"/>
      <c r="U509" s="64"/>
      <c r="V509" s="64"/>
      <c r="W509" s="64"/>
      <c r="X509" s="64"/>
      <c r="Y509" s="64"/>
    </row>
    <row r="510">
      <c r="A510" s="64"/>
      <c r="B510" s="64"/>
      <c r="C510" s="64"/>
      <c r="D510" s="64"/>
      <c r="E510" s="64"/>
      <c r="F510" s="64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64"/>
      <c r="S510" s="64"/>
      <c r="T510" s="64"/>
      <c r="U510" s="64"/>
      <c r="V510" s="64"/>
      <c r="W510" s="64"/>
      <c r="X510" s="64"/>
      <c r="Y510" s="64"/>
    </row>
    <row r="511">
      <c r="A511" s="64"/>
      <c r="B511" s="64"/>
      <c r="C511" s="64"/>
      <c r="D511" s="64"/>
      <c r="E511" s="64"/>
      <c r="F511" s="64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64"/>
      <c r="S511" s="64"/>
      <c r="T511" s="64"/>
      <c r="U511" s="64"/>
      <c r="V511" s="64"/>
      <c r="W511" s="64"/>
      <c r="X511" s="64"/>
      <c r="Y511" s="64"/>
    </row>
    <row r="512">
      <c r="A512" s="64"/>
      <c r="B512" s="64"/>
      <c r="C512" s="64"/>
      <c r="D512" s="64"/>
      <c r="E512" s="64"/>
      <c r="F512" s="64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64"/>
      <c r="S512" s="64"/>
      <c r="T512" s="64"/>
      <c r="U512" s="64"/>
      <c r="V512" s="64"/>
      <c r="W512" s="64"/>
      <c r="X512" s="64"/>
      <c r="Y512" s="64"/>
    </row>
    <row r="513">
      <c r="A513" s="64"/>
      <c r="B513" s="64"/>
      <c r="C513" s="64"/>
      <c r="D513" s="64"/>
      <c r="E513" s="64"/>
      <c r="F513" s="64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64"/>
      <c r="S513" s="64"/>
      <c r="T513" s="64"/>
      <c r="U513" s="64"/>
      <c r="V513" s="64"/>
      <c r="W513" s="64"/>
      <c r="X513" s="64"/>
      <c r="Y513" s="64"/>
    </row>
    <row r="514">
      <c r="A514" s="64"/>
      <c r="B514" s="64"/>
      <c r="C514" s="64"/>
      <c r="D514" s="64"/>
      <c r="E514" s="64"/>
      <c r="F514" s="64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64"/>
      <c r="S514" s="64"/>
      <c r="T514" s="64"/>
      <c r="U514" s="64"/>
      <c r="V514" s="64"/>
      <c r="W514" s="64"/>
      <c r="X514" s="64"/>
      <c r="Y514" s="64"/>
    </row>
    <row r="515">
      <c r="A515" s="64"/>
      <c r="B515" s="64"/>
      <c r="C515" s="64"/>
      <c r="D515" s="64"/>
      <c r="E515" s="64"/>
      <c r="F515" s="64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64"/>
      <c r="S515" s="64"/>
      <c r="T515" s="64"/>
      <c r="U515" s="64"/>
      <c r="V515" s="64"/>
      <c r="W515" s="64"/>
      <c r="X515" s="64"/>
      <c r="Y515" s="64"/>
    </row>
    <row r="516">
      <c r="A516" s="64"/>
      <c r="B516" s="64"/>
      <c r="C516" s="64"/>
      <c r="D516" s="64"/>
      <c r="E516" s="64"/>
      <c r="F516" s="64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64"/>
      <c r="S516" s="64"/>
      <c r="T516" s="64"/>
      <c r="U516" s="64"/>
      <c r="V516" s="64"/>
      <c r="W516" s="64"/>
      <c r="X516" s="64"/>
      <c r="Y516" s="64"/>
    </row>
    <row r="517">
      <c r="A517" s="64"/>
      <c r="B517" s="64"/>
      <c r="C517" s="64"/>
      <c r="D517" s="64"/>
      <c r="E517" s="64"/>
      <c r="F517" s="64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64"/>
      <c r="S517" s="64"/>
      <c r="T517" s="64"/>
      <c r="U517" s="64"/>
      <c r="V517" s="64"/>
      <c r="W517" s="64"/>
      <c r="X517" s="64"/>
      <c r="Y517" s="64"/>
    </row>
    <row r="518">
      <c r="A518" s="64"/>
      <c r="B518" s="64"/>
      <c r="C518" s="64"/>
      <c r="D518" s="64"/>
      <c r="E518" s="64"/>
      <c r="F518" s="64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64"/>
      <c r="S518" s="64"/>
      <c r="T518" s="64"/>
      <c r="U518" s="64"/>
      <c r="V518" s="64"/>
      <c r="W518" s="64"/>
      <c r="X518" s="64"/>
      <c r="Y518" s="64"/>
    </row>
    <row r="519">
      <c r="A519" s="64"/>
      <c r="B519" s="64"/>
      <c r="C519" s="64"/>
      <c r="D519" s="64"/>
      <c r="E519" s="64"/>
      <c r="F519" s="64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64"/>
      <c r="S519" s="64"/>
      <c r="T519" s="64"/>
      <c r="U519" s="64"/>
      <c r="V519" s="64"/>
      <c r="W519" s="64"/>
      <c r="X519" s="64"/>
      <c r="Y519" s="64"/>
    </row>
    <row r="520">
      <c r="A520" s="64"/>
      <c r="B520" s="64"/>
      <c r="C520" s="64"/>
      <c r="D520" s="64"/>
      <c r="E520" s="64"/>
      <c r="F520" s="64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64"/>
      <c r="S520" s="64"/>
      <c r="T520" s="64"/>
      <c r="U520" s="64"/>
      <c r="V520" s="64"/>
      <c r="W520" s="64"/>
      <c r="X520" s="64"/>
      <c r="Y520" s="64"/>
    </row>
    <row r="521">
      <c r="A521" s="64"/>
      <c r="B521" s="64"/>
      <c r="C521" s="64"/>
      <c r="D521" s="64"/>
      <c r="E521" s="64"/>
      <c r="F521" s="64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64"/>
      <c r="S521" s="64"/>
      <c r="T521" s="64"/>
      <c r="U521" s="64"/>
      <c r="V521" s="64"/>
      <c r="W521" s="64"/>
      <c r="X521" s="64"/>
      <c r="Y521" s="64"/>
    </row>
    <row r="522">
      <c r="A522" s="64"/>
      <c r="B522" s="64"/>
      <c r="C522" s="64"/>
      <c r="D522" s="64"/>
      <c r="E522" s="64"/>
      <c r="F522" s="64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64"/>
      <c r="S522" s="64"/>
      <c r="T522" s="64"/>
      <c r="U522" s="64"/>
      <c r="V522" s="64"/>
      <c r="W522" s="64"/>
      <c r="X522" s="64"/>
      <c r="Y522" s="64"/>
    </row>
    <row r="523">
      <c r="A523" s="64"/>
      <c r="B523" s="64"/>
      <c r="C523" s="64"/>
      <c r="D523" s="64"/>
      <c r="E523" s="64"/>
      <c r="F523" s="64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64"/>
      <c r="S523" s="64"/>
      <c r="T523" s="64"/>
      <c r="U523" s="64"/>
      <c r="V523" s="64"/>
      <c r="W523" s="64"/>
      <c r="X523" s="64"/>
      <c r="Y523" s="64"/>
    </row>
    <row r="524">
      <c r="A524" s="64"/>
      <c r="B524" s="64"/>
      <c r="C524" s="64"/>
      <c r="D524" s="64"/>
      <c r="E524" s="64"/>
      <c r="F524" s="64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64"/>
      <c r="S524" s="64"/>
      <c r="T524" s="64"/>
      <c r="U524" s="64"/>
      <c r="V524" s="64"/>
      <c r="W524" s="64"/>
      <c r="X524" s="64"/>
      <c r="Y524" s="64"/>
    </row>
    <row r="525">
      <c r="A525" s="64"/>
      <c r="B525" s="64"/>
      <c r="C525" s="64"/>
      <c r="D525" s="64"/>
      <c r="E525" s="64"/>
      <c r="F525" s="64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64"/>
      <c r="S525" s="64"/>
      <c r="T525" s="64"/>
      <c r="U525" s="64"/>
      <c r="V525" s="64"/>
      <c r="W525" s="64"/>
      <c r="X525" s="64"/>
      <c r="Y525" s="64"/>
    </row>
    <row r="526">
      <c r="A526" s="64"/>
      <c r="B526" s="64"/>
      <c r="C526" s="64"/>
      <c r="D526" s="64"/>
      <c r="E526" s="64"/>
      <c r="F526" s="64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64"/>
      <c r="S526" s="64"/>
      <c r="T526" s="64"/>
      <c r="U526" s="64"/>
      <c r="V526" s="64"/>
      <c r="W526" s="64"/>
      <c r="X526" s="64"/>
      <c r="Y526" s="64"/>
    </row>
    <row r="527">
      <c r="A527" s="64"/>
      <c r="B527" s="64"/>
      <c r="C527" s="64"/>
      <c r="D527" s="64"/>
      <c r="E527" s="64"/>
      <c r="F527" s="64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64"/>
      <c r="S527" s="64"/>
      <c r="T527" s="64"/>
      <c r="U527" s="64"/>
      <c r="V527" s="64"/>
      <c r="W527" s="64"/>
      <c r="X527" s="64"/>
      <c r="Y527" s="64"/>
    </row>
    <row r="528">
      <c r="A528" s="64"/>
      <c r="B528" s="64"/>
      <c r="C528" s="64"/>
      <c r="D528" s="64"/>
      <c r="E528" s="64"/>
      <c r="F528" s="64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64"/>
      <c r="S528" s="64"/>
      <c r="T528" s="64"/>
      <c r="U528" s="64"/>
      <c r="V528" s="64"/>
      <c r="W528" s="64"/>
      <c r="X528" s="64"/>
      <c r="Y528" s="64"/>
    </row>
    <row r="529">
      <c r="A529" s="64"/>
      <c r="B529" s="64"/>
      <c r="C529" s="64"/>
      <c r="D529" s="64"/>
      <c r="E529" s="64"/>
      <c r="F529" s="64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64"/>
      <c r="S529" s="64"/>
      <c r="T529" s="64"/>
      <c r="U529" s="64"/>
      <c r="V529" s="64"/>
      <c r="W529" s="64"/>
      <c r="X529" s="64"/>
      <c r="Y529" s="64"/>
    </row>
    <row r="530">
      <c r="A530" s="64"/>
      <c r="B530" s="64"/>
      <c r="C530" s="64"/>
      <c r="D530" s="64"/>
      <c r="E530" s="64"/>
      <c r="F530" s="64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64"/>
      <c r="S530" s="64"/>
      <c r="T530" s="64"/>
      <c r="U530" s="64"/>
      <c r="V530" s="64"/>
      <c r="W530" s="64"/>
      <c r="X530" s="64"/>
      <c r="Y530" s="64"/>
    </row>
    <row r="531">
      <c r="A531" s="64"/>
      <c r="B531" s="64"/>
      <c r="C531" s="64"/>
      <c r="D531" s="64"/>
      <c r="E531" s="64"/>
      <c r="F531" s="64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64"/>
      <c r="S531" s="64"/>
      <c r="T531" s="64"/>
      <c r="U531" s="64"/>
      <c r="V531" s="64"/>
      <c r="W531" s="64"/>
      <c r="X531" s="64"/>
      <c r="Y531" s="64"/>
    </row>
    <row r="532">
      <c r="A532" s="64"/>
      <c r="B532" s="64"/>
      <c r="C532" s="64"/>
      <c r="D532" s="64"/>
      <c r="E532" s="64"/>
      <c r="F532" s="64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64"/>
      <c r="S532" s="64"/>
      <c r="T532" s="64"/>
      <c r="U532" s="64"/>
      <c r="V532" s="64"/>
      <c r="W532" s="64"/>
      <c r="X532" s="64"/>
      <c r="Y532" s="64"/>
    </row>
    <row r="533">
      <c r="A533" s="64"/>
      <c r="B533" s="64"/>
      <c r="C533" s="64"/>
      <c r="D533" s="64"/>
      <c r="E533" s="64"/>
      <c r="F533" s="64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64"/>
      <c r="S533" s="64"/>
      <c r="T533" s="64"/>
      <c r="U533" s="64"/>
      <c r="V533" s="64"/>
      <c r="W533" s="64"/>
      <c r="X533" s="64"/>
      <c r="Y533" s="64"/>
    </row>
    <row r="534">
      <c r="A534" s="64"/>
      <c r="B534" s="64"/>
      <c r="C534" s="64"/>
      <c r="D534" s="64"/>
      <c r="E534" s="64"/>
      <c r="F534" s="64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64"/>
      <c r="S534" s="64"/>
      <c r="T534" s="64"/>
      <c r="U534" s="64"/>
      <c r="V534" s="64"/>
      <c r="W534" s="64"/>
      <c r="X534" s="64"/>
      <c r="Y534" s="64"/>
    </row>
    <row r="535">
      <c r="A535" s="64"/>
      <c r="B535" s="64"/>
      <c r="C535" s="64"/>
      <c r="D535" s="64"/>
      <c r="E535" s="64"/>
      <c r="F535" s="64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64"/>
      <c r="S535" s="64"/>
      <c r="T535" s="64"/>
      <c r="U535" s="64"/>
      <c r="V535" s="64"/>
      <c r="W535" s="64"/>
      <c r="X535" s="64"/>
      <c r="Y535" s="64"/>
    </row>
    <row r="536">
      <c r="A536" s="64"/>
      <c r="B536" s="64"/>
      <c r="C536" s="64"/>
      <c r="D536" s="64"/>
      <c r="E536" s="64"/>
      <c r="F536" s="64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64"/>
      <c r="S536" s="64"/>
      <c r="T536" s="64"/>
      <c r="U536" s="64"/>
      <c r="V536" s="64"/>
      <c r="W536" s="64"/>
      <c r="X536" s="64"/>
      <c r="Y536" s="64"/>
    </row>
    <row r="537">
      <c r="A537" s="64"/>
      <c r="B537" s="64"/>
      <c r="C537" s="64"/>
      <c r="D537" s="64"/>
      <c r="E537" s="64"/>
      <c r="F537" s="64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64"/>
      <c r="S537" s="64"/>
      <c r="T537" s="64"/>
      <c r="U537" s="64"/>
      <c r="V537" s="64"/>
      <c r="W537" s="64"/>
      <c r="X537" s="64"/>
      <c r="Y537" s="64"/>
    </row>
    <row r="538">
      <c r="A538" s="64"/>
      <c r="B538" s="64"/>
      <c r="C538" s="64"/>
      <c r="D538" s="64"/>
      <c r="E538" s="64"/>
      <c r="F538" s="64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64"/>
      <c r="S538" s="64"/>
      <c r="T538" s="64"/>
      <c r="U538" s="64"/>
      <c r="V538" s="64"/>
      <c r="W538" s="64"/>
      <c r="X538" s="64"/>
      <c r="Y538" s="64"/>
    </row>
    <row r="539">
      <c r="A539" s="64"/>
      <c r="B539" s="64"/>
      <c r="C539" s="64"/>
      <c r="D539" s="64"/>
      <c r="E539" s="64"/>
      <c r="F539" s="64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64"/>
      <c r="S539" s="64"/>
      <c r="T539" s="64"/>
      <c r="U539" s="64"/>
      <c r="V539" s="64"/>
      <c r="W539" s="64"/>
      <c r="X539" s="64"/>
      <c r="Y539" s="64"/>
    </row>
    <row r="540">
      <c r="A540" s="64"/>
      <c r="B540" s="64"/>
      <c r="C540" s="64"/>
      <c r="D540" s="64"/>
      <c r="E540" s="64"/>
      <c r="F540" s="64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64"/>
      <c r="S540" s="64"/>
      <c r="T540" s="64"/>
      <c r="U540" s="64"/>
      <c r="V540" s="64"/>
      <c r="W540" s="64"/>
      <c r="X540" s="64"/>
      <c r="Y540" s="64"/>
    </row>
    <row r="541">
      <c r="A541" s="64"/>
      <c r="B541" s="64"/>
      <c r="C541" s="64"/>
      <c r="D541" s="64"/>
      <c r="E541" s="64"/>
      <c r="F541" s="64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64"/>
      <c r="S541" s="64"/>
      <c r="T541" s="64"/>
      <c r="U541" s="64"/>
      <c r="V541" s="64"/>
      <c r="W541" s="64"/>
      <c r="X541" s="64"/>
      <c r="Y541" s="64"/>
    </row>
    <row r="542">
      <c r="A542" s="64"/>
      <c r="B542" s="64"/>
      <c r="C542" s="64"/>
      <c r="D542" s="64"/>
      <c r="E542" s="64"/>
      <c r="F542" s="64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64"/>
      <c r="S542" s="64"/>
      <c r="T542" s="64"/>
      <c r="U542" s="64"/>
      <c r="V542" s="64"/>
      <c r="W542" s="64"/>
      <c r="X542" s="64"/>
      <c r="Y542" s="64"/>
    </row>
    <row r="543">
      <c r="A543" s="64"/>
      <c r="B543" s="64"/>
      <c r="C543" s="64"/>
      <c r="D543" s="64"/>
      <c r="E543" s="64"/>
      <c r="F543" s="64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64"/>
      <c r="S543" s="64"/>
      <c r="T543" s="64"/>
      <c r="U543" s="64"/>
      <c r="V543" s="64"/>
      <c r="W543" s="64"/>
      <c r="X543" s="64"/>
      <c r="Y543" s="64"/>
    </row>
    <row r="544">
      <c r="A544" s="64"/>
      <c r="B544" s="64"/>
      <c r="C544" s="64"/>
      <c r="D544" s="64"/>
      <c r="E544" s="64"/>
      <c r="F544" s="64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64"/>
      <c r="S544" s="64"/>
      <c r="T544" s="64"/>
      <c r="U544" s="64"/>
      <c r="V544" s="64"/>
      <c r="W544" s="64"/>
      <c r="X544" s="64"/>
      <c r="Y544" s="64"/>
    </row>
    <row r="545">
      <c r="A545" s="64"/>
      <c r="B545" s="64"/>
      <c r="C545" s="64"/>
      <c r="D545" s="64"/>
      <c r="E545" s="64"/>
      <c r="F545" s="64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64"/>
      <c r="S545" s="64"/>
      <c r="T545" s="64"/>
      <c r="U545" s="64"/>
      <c r="V545" s="64"/>
      <c r="W545" s="64"/>
      <c r="X545" s="64"/>
      <c r="Y545" s="64"/>
    </row>
    <row r="546">
      <c r="A546" s="64"/>
      <c r="B546" s="64"/>
      <c r="C546" s="64"/>
      <c r="D546" s="64"/>
      <c r="E546" s="64"/>
      <c r="F546" s="64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64"/>
      <c r="S546" s="64"/>
      <c r="T546" s="64"/>
      <c r="U546" s="64"/>
      <c r="V546" s="64"/>
      <c r="W546" s="64"/>
      <c r="X546" s="64"/>
      <c r="Y546" s="64"/>
    </row>
    <row r="547">
      <c r="A547" s="64"/>
      <c r="B547" s="64"/>
      <c r="C547" s="64"/>
      <c r="D547" s="64"/>
      <c r="E547" s="64"/>
      <c r="F547" s="64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64"/>
      <c r="S547" s="64"/>
      <c r="T547" s="64"/>
      <c r="U547" s="64"/>
      <c r="V547" s="64"/>
      <c r="W547" s="64"/>
      <c r="X547" s="64"/>
      <c r="Y547" s="64"/>
    </row>
    <row r="548">
      <c r="A548" s="64"/>
      <c r="B548" s="64"/>
      <c r="C548" s="64"/>
      <c r="D548" s="64"/>
      <c r="E548" s="64"/>
      <c r="F548" s="64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64"/>
      <c r="S548" s="64"/>
      <c r="T548" s="64"/>
      <c r="U548" s="64"/>
      <c r="V548" s="64"/>
      <c r="W548" s="64"/>
      <c r="X548" s="64"/>
      <c r="Y548" s="64"/>
    </row>
    <row r="549">
      <c r="A549" s="64"/>
      <c r="B549" s="64"/>
      <c r="C549" s="64"/>
      <c r="D549" s="64"/>
      <c r="E549" s="64"/>
      <c r="F549" s="64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64"/>
      <c r="S549" s="64"/>
      <c r="T549" s="64"/>
      <c r="U549" s="64"/>
      <c r="V549" s="64"/>
      <c r="W549" s="64"/>
      <c r="X549" s="64"/>
      <c r="Y549" s="64"/>
    </row>
    <row r="550">
      <c r="A550" s="64"/>
      <c r="B550" s="64"/>
      <c r="C550" s="64"/>
      <c r="D550" s="64"/>
      <c r="E550" s="64"/>
      <c r="F550" s="64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64"/>
      <c r="S550" s="64"/>
      <c r="T550" s="64"/>
      <c r="U550" s="64"/>
      <c r="V550" s="64"/>
      <c r="W550" s="64"/>
      <c r="X550" s="64"/>
      <c r="Y550" s="64"/>
    </row>
    <row r="551">
      <c r="A551" s="64"/>
      <c r="B551" s="64"/>
      <c r="C551" s="64"/>
      <c r="D551" s="64"/>
      <c r="E551" s="64"/>
      <c r="F551" s="64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64"/>
      <c r="S551" s="64"/>
      <c r="T551" s="64"/>
      <c r="U551" s="64"/>
      <c r="V551" s="64"/>
      <c r="W551" s="64"/>
      <c r="X551" s="64"/>
      <c r="Y551" s="64"/>
    </row>
    <row r="552">
      <c r="A552" s="64"/>
      <c r="B552" s="64"/>
      <c r="C552" s="64"/>
      <c r="D552" s="64"/>
      <c r="E552" s="64"/>
      <c r="F552" s="64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64"/>
      <c r="S552" s="64"/>
      <c r="T552" s="64"/>
      <c r="U552" s="64"/>
      <c r="V552" s="64"/>
      <c r="W552" s="64"/>
      <c r="X552" s="64"/>
      <c r="Y552" s="64"/>
    </row>
    <row r="553">
      <c r="A553" s="64"/>
      <c r="B553" s="64"/>
      <c r="C553" s="64"/>
      <c r="D553" s="64"/>
      <c r="E553" s="64"/>
      <c r="F553" s="64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64"/>
      <c r="S553" s="64"/>
      <c r="T553" s="64"/>
      <c r="U553" s="64"/>
      <c r="V553" s="64"/>
      <c r="W553" s="64"/>
      <c r="X553" s="64"/>
      <c r="Y553" s="64"/>
    </row>
    <row r="554">
      <c r="A554" s="64"/>
      <c r="B554" s="64"/>
      <c r="C554" s="64"/>
      <c r="D554" s="64"/>
      <c r="E554" s="64"/>
      <c r="F554" s="64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64"/>
      <c r="S554" s="64"/>
      <c r="T554" s="64"/>
      <c r="U554" s="64"/>
      <c r="V554" s="64"/>
      <c r="W554" s="64"/>
      <c r="X554" s="64"/>
      <c r="Y554" s="64"/>
    </row>
    <row r="555">
      <c r="A555" s="64"/>
      <c r="B555" s="64"/>
      <c r="C555" s="64"/>
      <c r="D555" s="64"/>
      <c r="E555" s="64"/>
      <c r="F555" s="64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64"/>
      <c r="S555" s="64"/>
      <c r="T555" s="64"/>
      <c r="U555" s="64"/>
      <c r="V555" s="64"/>
      <c r="W555" s="64"/>
      <c r="X555" s="64"/>
      <c r="Y555" s="64"/>
    </row>
    <row r="556">
      <c r="A556" s="64"/>
      <c r="B556" s="64"/>
      <c r="C556" s="64"/>
      <c r="D556" s="64"/>
      <c r="E556" s="64"/>
      <c r="F556" s="64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64"/>
      <c r="S556" s="64"/>
      <c r="T556" s="64"/>
      <c r="U556" s="64"/>
      <c r="V556" s="64"/>
      <c r="W556" s="64"/>
      <c r="X556" s="64"/>
      <c r="Y556" s="64"/>
    </row>
    <row r="557">
      <c r="A557" s="64"/>
      <c r="B557" s="64"/>
      <c r="C557" s="64"/>
      <c r="D557" s="64"/>
      <c r="E557" s="64"/>
      <c r="F557" s="64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64"/>
      <c r="S557" s="64"/>
      <c r="T557" s="64"/>
      <c r="U557" s="64"/>
      <c r="V557" s="64"/>
      <c r="W557" s="64"/>
      <c r="X557" s="64"/>
      <c r="Y557" s="64"/>
    </row>
    <row r="558">
      <c r="A558" s="64"/>
      <c r="B558" s="64"/>
      <c r="C558" s="64"/>
      <c r="D558" s="64"/>
      <c r="E558" s="64"/>
      <c r="F558" s="64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64"/>
      <c r="S558" s="64"/>
      <c r="T558" s="64"/>
      <c r="U558" s="64"/>
      <c r="V558" s="64"/>
      <c r="W558" s="64"/>
      <c r="X558" s="64"/>
      <c r="Y558" s="64"/>
    </row>
    <row r="559">
      <c r="A559" s="64"/>
      <c r="B559" s="64"/>
      <c r="C559" s="64"/>
      <c r="D559" s="64"/>
      <c r="E559" s="64"/>
      <c r="F559" s="64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64"/>
      <c r="S559" s="64"/>
      <c r="T559" s="64"/>
      <c r="U559" s="64"/>
      <c r="V559" s="64"/>
      <c r="W559" s="64"/>
      <c r="X559" s="64"/>
      <c r="Y559" s="64"/>
    </row>
    <row r="560">
      <c r="A560" s="64"/>
      <c r="B560" s="64"/>
      <c r="C560" s="64"/>
      <c r="D560" s="64"/>
      <c r="E560" s="64"/>
      <c r="F560" s="64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64"/>
      <c r="S560" s="64"/>
      <c r="T560" s="64"/>
      <c r="U560" s="64"/>
      <c r="V560" s="64"/>
      <c r="W560" s="64"/>
      <c r="X560" s="64"/>
      <c r="Y560" s="64"/>
    </row>
    <row r="561">
      <c r="A561" s="64"/>
      <c r="B561" s="64"/>
      <c r="C561" s="64"/>
      <c r="D561" s="64"/>
      <c r="E561" s="64"/>
      <c r="F561" s="64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64"/>
      <c r="S561" s="64"/>
      <c r="T561" s="64"/>
      <c r="U561" s="64"/>
      <c r="V561" s="64"/>
      <c r="W561" s="64"/>
      <c r="X561" s="64"/>
      <c r="Y561" s="64"/>
    </row>
    <row r="562">
      <c r="A562" s="64"/>
      <c r="B562" s="64"/>
      <c r="C562" s="64"/>
      <c r="D562" s="64"/>
      <c r="E562" s="64"/>
      <c r="F562" s="64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64"/>
      <c r="S562" s="64"/>
      <c r="T562" s="64"/>
      <c r="U562" s="64"/>
      <c r="V562" s="64"/>
      <c r="W562" s="64"/>
      <c r="X562" s="64"/>
      <c r="Y562" s="64"/>
    </row>
    <row r="563">
      <c r="A563" s="64"/>
      <c r="B563" s="64"/>
      <c r="C563" s="64"/>
      <c r="D563" s="64"/>
      <c r="E563" s="64"/>
      <c r="F563" s="64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64"/>
      <c r="S563" s="64"/>
      <c r="T563" s="64"/>
      <c r="U563" s="64"/>
      <c r="V563" s="64"/>
      <c r="W563" s="64"/>
      <c r="X563" s="64"/>
      <c r="Y563" s="64"/>
    </row>
    <row r="564">
      <c r="A564" s="64"/>
      <c r="B564" s="64"/>
      <c r="C564" s="64"/>
      <c r="D564" s="64"/>
      <c r="E564" s="64"/>
      <c r="F564" s="64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64"/>
      <c r="S564" s="64"/>
      <c r="T564" s="64"/>
      <c r="U564" s="64"/>
      <c r="V564" s="64"/>
      <c r="W564" s="64"/>
      <c r="X564" s="64"/>
      <c r="Y564" s="64"/>
    </row>
    <row r="565">
      <c r="A565" s="64"/>
      <c r="B565" s="64"/>
      <c r="C565" s="64"/>
      <c r="D565" s="64"/>
      <c r="E565" s="64"/>
      <c r="F565" s="64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64"/>
      <c r="S565" s="64"/>
      <c r="T565" s="64"/>
      <c r="U565" s="64"/>
      <c r="V565" s="64"/>
      <c r="W565" s="64"/>
      <c r="X565" s="64"/>
      <c r="Y565" s="64"/>
    </row>
    <row r="566">
      <c r="A566" s="64"/>
      <c r="B566" s="64"/>
      <c r="C566" s="64"/>
      <c r="D566" s="64"/>
      <c r="E566" s="64"/>
      <c r="F566" s="64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64"/>
      <c r="S566" s="64"/>
      <c r="T566" s="64"/>
      <c r="U566" s="64"/>
      <c r="V566" s="64"/>
      <c r="W566" s="64"/>
      <c r="X566" s="64"/>
      <c r="Y566" s="64"/>
    </row>
    <row r="567">
      <c r="A567" s="64"/>
      <c r="B567" s="64"/>
      <c r="C567" s="64"/>
      <c r="D567" s="64"/>
      <c r="E567" s="64"/>
      <c r="F567" s="64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64"/>
      <c r="S567" s="64"/>
      <c r="T567" s="64"/>
      <c r="U567" s="64"/>
      <c r="V567" s="64"/>
      <c r="W567" s="64"/>
      <c r="X567" s="64"/>
      <c r="Y567" s="64"/>
    </row>
    <row r="568">
      <c r="A568" s="64"/>
      <c r="B568" s="64"/>
      <c r="C568" s="64"/>
      <c r="D568" s="64"/>
      <c r="E568" s="64"/>
      <c r="F568" s="64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64"/>
      <c r="S568" s="64"/>
      <c r="T568" s="64"/>
      <c r="U568" s="64"/>
      <c r="V568" s="64"/>
      <c r="W568" s="64"/>
      <c r="X568" s="64"/>
      <c r="Y568" s="64"/>
    </row>
    <row r="569">
      <c r="A569" s="64"/>
      <c r="B569" s="64"/>
      <c r="C569" s="64"/>
      <c r="D569" s="64"/>
      <c r="E569" s="64"/>
      <c r="F569" s="64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64"/>
      <c r="S569" s="64"/>
      <c r="T569" s="64"/>
      <c r="U569" s="64"/>
      <c r="V569" s="64"/>
      <c r="W569" s="64"/>
      <c r="X569" s="64"/>
      <c r="Y569" s="64"/>
    </row>
    <row r="570">
      <c r="A570" s="64"/>
      <c r="B570" s="64"/>
      <c r="C570" s="64"/>
      <c r="D570" s="64"/>
      <c r="E570" s="64"/>
      <c r="F570" s="64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64"/>
      <c r="S570" s="64"/>
      <c r="T570" s="64"/>
      <c r="U570" s="64"/>
      <c r="V570" s="64"/>
      <c r="W570" s="64"/>
      <c r="X570" s="64"/>
      <c r="Y570" s="64"/>
    </row>
    <row r="571">
      <c r="A571" s="64"/>
      <c r="B571" s="64"/>
      <c r="C571" s="64"/>
      <c r="D571" s="64"/>
      <c r="E571" s="64"/>
      <c r="F571" s="64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64"/>
      <c r="S571" s="64"/>
      <c r="T571" s="64"/>
      <c r="U571" s="64"/>
      <c r="V571" s="64"/>
      <c r="W571" s="64"/>
      <c r="X571" s="64"/>
      <c r="Y571" s="64"/>
    </row>
    <row r="572">
      <c r="A572" s="64"/>
      <c r="B572" s="64"/>
      <c r="C572" s="64"/>
      <c r="D572" s="64"/>
      <c r="E572" s="64"/>
      <c r="F572" s="64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64"/>
      <c r="S572" s="64"/>
      <c r="T572" s="64"/>
      <c r="U572" s="64"/>
      <c r="V572" s="64"/>
      <c r="W572" s="64"/>
      <c r="X572" s="64"/>
      <c r="Y572" s="64"/>
    </row>
    <row r="573">
      <c r="A573" s="64"/>
      <c r="B573" s="64"/>
      <c r="C573" s="64"/>
      <c r="D573" s="64"/>
      <c r="E573" s="64"/>
      <c r="F573" s="64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64"/>
      <c r="S573" s="64"/>
      <c r="T573" s="64"/>
      <c r="U573" s="64"/>
      <c r="V573" s="64"/>
      <c r="W573" s="64"/>
      <c r="X573" s="64"/>
      <c r="Y573" s="64"/>
    </row>
    <row r="574">
      <c r="A574" s="64"/>
      <c r="B574" s="64"/>
      <c r="C574" s="64"/>
      <c r="D574" s="64"/>
      <c r="E574" s="64"/>
      <c r="F574" s="64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64"/>
      <c r="S574" s="64"/>
      <c r="T574" s="64"/>
      <c r="U574" s="64"/>
      <c r="V574" s="64"/>
      <c r="W574" s="64"/>
      <c r="X574" s="64"/>
      <c r="Y574" s="64"/>
    </row>
    <row r="575">
      <c r="A575" s="64"/>
      <c r="B575" s="64"/>
      <c r="C575" s="64"/>
      <c r="D575" s="64"/>
      <c r="E575" s="64"/>
      <c r="F575" s="64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64"/>
      <c r="S575" s="64"/>
      <c r="T575" s="64"/>
      <c r="U575" s="64"/>
      <c r="V575" s="64"/>
      <c r="W575" s="64"/>
      <c r="X575" s="64"/>
      <c r="Y575" s="64"/>
    </row>
    <row r="576">
      <c r="A576" s="64"/>
      <c r="B576" s="64"/>
      <c r="C576" s="64"/>
      <c r="D576" s="64"/>
      <c r="E576" s="64"/>
      <c r="F576" s="64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64"/>
      <c r="S576" s="64"/>
      <c r="T576" s="64"/>
      <c r="U576" s="64"/>
      <c r="V576" s="64"/>
      <c r="W576" s="64"/>
      <c r="X576" s="64"/>
      <c r="Y576" s="64"/>
    </row>
    <row r="577">
      <c r="A577" s="64"/>
      <c r="B577" s="64"/>
      <c r="C577" s="64"/>
      <c r="D577" s="64"/>
      <c r="E577" s="64"/>
      <c r="F577" s="64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64"/>
      <c r="S577" s="64"/>
      <c r="T577" s="64"/>
      <c r="U577" s="64"/>
      <c r="V577" s="64"/>
      <c r="W577" s="64"/>
      <c r="X577" s="64"/>
      <c r="Y577" s="64"/>
    </row>
    <row r="578">
      <c r="A578" s="64"/>
      <c r="B578" s="64"/>
      <c r="C578" s="64"/>
      <c r="D578" s="64"/>
      <c r="E578" s="64"/>
      <c r="F578" s="64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64"/>
      <c r="S578" s="64"/>
      <c r="T578" s="64"/>
      <c r="U578" s="64"/>
      <c r="V578" s="64"/>
      <c r="W578" s="64"/>
      <c r="X578" s="64"/>
      <c r="Y578" s="64"/>
    </row>
    <row r="579">
      <c r="A579" s="64"/>
      <c r="B579" s="64"/>
      <c r="C579" s="64"/>
      <c r="D579" s="64"/>
      <c r="E579" s="64"/>
      <c r="F579" s="64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64"/>
      <c r="S579" s="64"/>
      <c r="T579" s="64"/>
      <c r="U579" s="64"/>
      <c r="V579" s="64"/>
      <c r="W579" s="64"/>
      <c r="X579" s="64"/>
      <c r="Y579" s="64"/>
    </row>
    <row r="580">
      <c r="A580" s="64"/>
      <c r="B580" s="64"/>
      <c r="C580" s="64"/>
      <c r="D580" s="64"/>
      <c r="E580" s="64"/>
      <c r="F580" s="64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64"/>
      <c r="S580" s="64"/>
      <c r="T580" s="64"/>
      <c r="U580" s="64"/>
      <c r="V580" s="64"/>
      <c r="W580" s="64"/>
      <c r="X580" s="64"/>
      <c r="Y580" s="64"/>
    </row>
    <row r="581">
      <c r="A581" s="64"/>
      <c r="B581" s="64"/>
      <c r="C581" s="64"/>
      <c r="D581" s="64"/>
      <c r="E581" s="64"/>
      <c r="F581" s="64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64"/>
      <c r="S581" s="64"/>
      <c r="T581" s="64"/>
      <c r="U581" s="64"/>
      <c r="V581" s="64"/>
      <c r="W581" s="64"/>
      <c r="X581" s="64"/>
      <c r="Y581" s="64"/>
    </row>
    <row r="582">
      <c r="A582" s="64"/>
      <c r="B582" s="64"/>
      <c r="C582" s="64"/>
      <c r="D582" s="64"/>
      <c r="E582" s="64"/>
      <c r="F582" s="64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64"/>
      <c r="S582" s="64"/>
      <c r="T582" s="64"/>
      <c r="U582" s="64"/>
      <c r="V582" s="64"/>
      <c r="W582" s="64"/>
      <c r="X582" s="64"/>
      <c r="Y582" s="64"/>
    </row>
    <row r="583">
      <c r="A583" s="64"/>
      <c r="B583" s="64"/>
      <c r="C583" s="64"/>
      <c r="D583" s="64"/>
      <c r="E583" s="64"/>
      <c r="F583" s="64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64"/>
      <c r="S583" s="64"/>
      <c r="T583" s="64"/>
      <c r="U583" s="64"/>
      <c r="V583" s="64"/>
      <c r="W583" s="64"/>
      <c r="X583" s="64"/>
      <c r="Y583" s="64"/>
    </row>
    <row r="584">
      <c r="A584" s="64"/>
      <c r="B584" s="64"/>
      <c r="C584" s="64"/>
      <c r="D584" s="64"/>
      <c r="E584" s="64"/>
      <c r="F584" s="64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64"/>
      <c r="S584" s="64"/>
      <c r="T584" s="64"/>
      <c r="U584" s="64"/>
      <c r="V584" s="64"/>
      <c r="W584" s="64"/>
      <c r="X584" s="64"/>
      <c r="Y584" s="64"/>
    </row>
    <row r="585">
      <c r="A585" s="64"/>
      <c r="B585" s="64"/>
      <c r="C585" s="64"/>
      <c r="D585" s="64"/>
      <c r="E585" s="64"/>
      <c r="F585" s="64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64"/>
      <c r="S585" s="64"/>
      <c r="T585" s="64"/>
      <c r="U585" s="64"/>
      <c r="V585" s="64"/>
      <c r="W585" s="64"/>
      <c r="X585" s="64"/>
      <c r="Y585" s="64"/>
    </row>
    <row r="586">
      <c r="A586" s="64"/>
      <c r="B586" s="64"/>
      <c r="C586" s="64"/>
      <c r="D586" s="64"/>
      <c r="E586" s="64"/>
      <c r="F586" s="64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64"/>
      <c r="S586" s="64"/>
      <c r="T586" s="64"/>
      <c r="U586" s="64"/>
      <c r="V586" s="64"/>
      <c r="W586" s="64"/>
      <c r="X586" s="64"/>
      <c r="Y586" s="64"/>
    </row>
    <row r="587">
      <c r="A587" s="64"/>
      <c r="B587" s="64"/>
      <c r="C587" s="64"/>
      <c r="D587" s="64"/>
      <c r="E587" s="64"/>
      <c r="F587" s="64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64"/>
      <c r="S587" s="64"/>
      <c r="T587" s="64"/>
      <c r="U587" s="64"/>
      <c r="V587" s="64"/>
      <c r="W587" s="64"/>
      <c r="X587" s="64"/>
      <c r="Y587" s="64"/>
    </row>
    <row r="588">
      <c r="A588" s="64"/>
      <c r="B588" s="64"/>
      <c r="C588" s="64"/>
      <c r="D588" s="64"/>
      <c r="E588" s="64"/>
      <c r="F588" s="64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64"/>
      <c r="S588" s="64"/>
      <c r="T588" s="64"/>
      <c r="U588" s="64"/>
      <c r="V588" s="64"/>
      <c r="W588" s="64"/>
      <c r="X588" s="64"/>
      <c r="Y588" s="64"/>
    </row>
    <row r="589">
      <c r="A589" s="64"/>
      <c r="B589" s="64"/>
      <c r="C589" s="64"/>
      <c r="D589" s="64"/>
      <c r="E589" s="64"/>
      <c r="F589" s="64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64"/>
      <c r="S589" s="64"/>
      <c r="T589" s="64"/>
      <c r="U589" s="64"/>
      <c r="V589" s="64"/>
      <c r="W589" s="64"/>
      <c r="X589" s="64"/>
      <c r="Y589" s="64"/>
    </row>
    <row r="590">
      <c r="A590" s="64"/>
      <c r="B590" s="64"/>
      <c r="C590" s="64"/>
      <c r="D590" s="64"/>
      <c r="E590" s="64"/>
      <c r="F590" s="64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64"/>
      <c r="S590" s="64"/>
      <c r="T590" s="64"/>
      <c r="U590" s="64"/>
      <c r="V590" s="64"/>
      <c r="W590" s="64"/>
      <c r="X590" s="64"/>
      <c r="Y590" s="64"/>
    </row>
    <row r="591">
      <c r="A591" s="64"/>
      <c r="B591" s="64"/>
      <c r="C591" s="64"/>
      <c r="D591" s="64"/>
      <c r="E591" s="64"/>
      <c r="F591" s="64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64"/>
      <c r="S591" s="64"/>
      <c r="T591" s="64"/>
      <c r="U591" s="64"/>
      <c r="V591" s="64"/>
      <c r="W591" s="64"/>
      <c r="X591" s="64"/>
      <c r="Y591" s="64"/>
    </row>
    <row r="592">
      <c r="A592" s="64"/>
      <c r="B592" s="64"/>
      <c r="C592" s="64"/>
      <c r="D592" s="64"/>
      <c r="E592" s="64"/>
      <c r="F592" s="64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64"/>
      <c r="S592" s="64"/>
      <c r="T592" s="64"/>
      <c r="U592" s="64"/>
      <c r="V592" s="64"/>
      <c r="W592" s="64"/>
      <c r="X592" s="64"/>
      <c r="Y592" s="64"/>
    </row>
    <row r="593">
      <c r="A593" s="64"/>
      <c r="B593" s="64"/>
      <c r="C593" s="64"/>
      <c r="D593" s="64"/>
      <c r="E593" s="64"/>
      <c r="F593" s="64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64"/>
      <c r="S593" s="64"/>
      <c r="T593" s="64"/>
      <c r="U593" s="64"/>
      <c r="V593" s="64"/>
      <c r="W593" s="64"/>
      <c r="X593" s="64"/>
      <c r="Y593" s="64"/>
    </row>
    <row r="594">
      <c r="A594" s="64"/>
      <c r="B594" s="64"/>
      <c r="C594" s="64"/>
      <c r="D594" s="64"/>
      <c r="E594" s="64"/>
      <c r="F594" s="64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64"/>
      <c r="S594" s="64"/>
      <c r="T594" s="64"/>
      <c r="U594" s="64"/>
      <c r="V594" s="64"/>
      <c r="W594" s="64"/>
      <c r="X594" s="64"/>
      <c r="Y594" s="64"/>
    </row>
    <row r="595">
      <c r="A595" s="64"/>
      <c r="B595" s="64"/>
      <c r="C595" s="64"/>
      <c r="D595" s="64"/>
      <c r="E595" s="64"/>
      <c r="F595" s="64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64"/>
      <c r="S595" s="64"/>
      <c r="T595" s="64"/>
      <c r="U595" s="64"/>
      <c r="V595" s="64"/>
      <c r="W595" s="64"/>
      <c r="X595" s="64"/>
      <c r="Y595" s="64"/>
    </row>
    <row r="596">
      <c r="A596" s="64"/>
      <c r="B596" s="64"/>
      <c r="C596" s="64"/>
      <c r="D596" s="64"/>
      <c r="E596" s="64"/>
      <c r="F596" s="64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64"/>
      <c r="S596" s="64"/>
      <c r="T596" s="64"/>
      <c r="U596" s="64"/>
      <c r="V596" s="64"/>
      <c r="W596" s="64"/>
      <c r="X596" s="64"/>
      <c r="Y596" s="64"/>
    </row>
    <row r="597">
      <c r="A597" s="64"/>
      <c r="B597" s="64"/>
      <c r="C597" s="64"/>
      <c r="D597" s="64"/>
      <c r="E597" s="64"/>
      <c r="F597" s="64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64"/>
      <c r="S597" s="64"/>
      <c r="T597" s="64"/>
      <c r="U597" s="64"/>
      <c r="V597" s="64"/>
      <c r="W597" s="64"/>
      <c r="X597" s="64"/>
      <c r="Y597" s="64"/>
    </row>
    <row r="598">
      <c r="A598" s="64"/>
      <c r="B598" s="64"/>
      <c r="C598" s="64"/>
      <c r="D598" s="64"/>
      <c r="E598" s="64"/>
      <c r="F598" s="64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64"/>
      <c r="S598" s="64"/>
      <c r="T598" s="64"/>
      <c r="U598" s="64"/>
      <c r="V598" s="64"/>
      <c r="W598" s="64"/>
      <c r="X598" s="64"/>
      <c r="Y598" s="64"/>
    </row>
    <row r="599">
      <c r="A599" s="64"/>
      <c r="B599" s="64"/>
      <c r="C599" s="64"/>
      <c r="D599" s="64"/>
      <c r="E599" s="64"/>
      <c r="F599" s="64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64"/>
      <c r="S599" s="64"/>
      <c r="T599" s="64"/>
      <c r="U599" s="64"/>
      <c r="V599" s="64"/>
      <c r="W599" s="64"/>
      <c r="X599" s="64"/>
      <c r="Y599" s="64"/>
    </row>
    <row r="600">
      <c r="A600" s="64"/>
      <c r="B600" s="64"/>
      <c r="C600" s="64"/>
      <c r="D600" s="64"/>
      <c r="E600" s="64"/>
      <c r="F600" s="64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64"/>
      <c r="S600" s="64"/>
      <c r="T600" s="64"/>
      <c r="U600" s="64"/>
      <c r="V600" s="64"/>
      <c r="W600" s="64"/>
      <c r="X600" s="64"/>
      <c r="Y600" s="64"/>
    </row>
    <row r="601">
      <c r="A601" s="64"/>
      <c r="B601" s="64"/>
      <c r="C601" s="64"/>
      <c r="D601" s="64"/>
      <c r="E601" s="64"/>
      <c r="F601" s="64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64"/>
      <c r="S601" s="64"/>
      <c r="T601" s="64"/>
      <c r="U601" s="64"/>
      <c r="V601" s="64"/>
      <c r="W601" s="64"/>
      <c r="X601" s="64"/>
      <c r="Y601" s="64"/>
    </row>
    <row r="602">
      <c r="A602" s="64"/>
      <c r="B602" s="64"/>
      <c r="C602" s="64"/>
      <c r="D602" s="64"/>
      <c r="E602" s="64"/>
      <c r="F602" s="64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64"/>
      <c r="S602" s="64"/>
      <c r="T602" s="64"/>
      <c r="U602" s="64"/>
      <c r="V602" s="64"/>
      <c r="W602" s="64"/>
      <c r="X602" s="64"/>
      <c r="Y602" s="64"/>
    </row>
    <row r="603">
      <c r="A603" s="64"/>
      <c r="B603" s="64"/>
      <c r="C603" s="64"/>
      <c r="D603" s="64"/>
      <c r="E603" s="64"/>
      <c r="F603" s="64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64"/>
      <c r="S603" s="64"/>
      <c r="T603" s="64"/>
      <c r="U603" s="64"/>
      <c r="V603" s="64"/>
      <c r="W603" s="64"/>
      <c r="X603" s="64"/>
      <c r="Y603" s="64"/>
    </row>
    <row r="604">
      <c r="A604" s="64"/>
      <c r="B604" s="64"/>
      <c r="C604" s="64"/>
      <c r="D604" s="64"/>
      <c r="E604" s="64"/>
      <c r="F604" s="64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64"/>
      <c r="S604" s="64"/>
      <c r="T604" s="64"/>
      <c r="U604" s="64"/>
      <c r="V604" s="64"/>
      <c r="W604" s="64"/>
      <c r="X604" s="64"/>
      <c r="Y604" s="64"/>
    </row>
    <row r="605">
      <c r="A605" s="64"/>
      <c r="B605" s="64"/>
      <c r="C605" s="64"/>
      <c r="D605" s="64"/>
      <c r="E605" s="64"/>
      <c r="F605" s="64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64"/>
      <c r="S605" s="64"/>
      <c r="T605" s="64"/>
      <c r="U605" s="64"/>
      <c r="V605" s="64"/>
      <c r="W605" s="64"/>
      <c r="X605" s="64"/>
      <c r="Y605" s="64"/>
    </row>
    <row r="606">
      <c r="A606" s="64"/>
      <c r="B606" s="64"/>
      <c r="C606" s="64"/>
      <c r="D606" s="64"/>
      <c r="E606" s="64"/>
      <c r="F606" s="64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64"/>
      <c r="S606" s="64"/>
      <c r="T606" s="64"/>
      <c r="U606" s="64"/>
      <c r="V606" s="64"/>
      <c r="W606" s="64"/>
      <c r="X606" s="64"/>
      <c r="Y606" s="64"/>
    </row>
    <row r="607">
      <c r="A607" s="64"/>
      <c r="B607" s="64"/>
      <c r="C607" s="64"/>
      <c r="D607" s="64"/>
      <c r="E607" s="64"/>
      <c r="F607" s="64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64"/>
      <c r="S607" s="64"/>
      <c r="T607" s="64"/>
      <c r="U607" s="64"/>
      <c r="V607" s="64"/>
      <c r="W607" s="64"/>
      <c r="X607" s="64"/>
      <c r="Y607" s="64"/>
    </row>
    <row r="608">
      <c r="A608" s="64"/>
      <c r="B608" s="64"/>
      <c r="C608" s="64"/>
      <c r="D608" s="64"/>
      <c r="E608" s="64"/>
      <c r="F608" s="64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64"/>
      <c r="S608" s="64"/>
      <c r="T608" s="64"/>
      <c r="U608" s="64"/>
      <c r="V608" s="64"/>
      <c r="W608" s="64"/>
      <c r="X608" s="64"/>
      <c r="Y608" s="64"/>
    </row>
    <row r="609">
      <c r="A609" s="64"/>
      <c r="B609" s="64"/>
      <c r="C609" s="64"/>
      <c r="D609" s="64"/>
      <c r="E609" s="64"/>
      <c r="F609" s="64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64"/>
      <c r="S609" s="64"/>
      <c r="T609" s="64"/>
      <c r="U609" s="64"/>
      <c r="V609" s="64"/>
      <c r="W609" s="64"/>
      <c r="X609" s="64"/>
      <c r="Y609" s="64"/>
    </row>
    <row r="610">
      <c r="A610" s="64"/>
      <c r="B610" s="64"/>
      <c r="C610" s="64"/>
      <c r="D610" s="64"/>
      <c r="E610" s="64"/>
      <c r="F610" s="64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64"/>
      <c r="S610" s="64"/>
      <c r="T610" s="64"/>
      <c r="U610" s="64"/>
      <c r="V610" s="64"/>
      <c r="W610" s="64"/>
      <c r="X610" s="64"/>
      <c r="Y610" s="64"/>
    </row>
    <row r="611">
      <c r="A611" s="64"/>
      <c r="B611" s="64"/>
      <c r="C611" s="64"/>
      <c r="D611" s="64"/>
      <c r="E611" s="64"/>
      <c r="F611" s="64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64"/>
      <c r="S611" s="64"/>
      <c r="T611" s="64"/>
      <c r="U611" s="64"/>
      <c r="V611" s="64"/>
      <c r="W611" s="64"/>
      <c r="X611" s="64"/>
      <c r="Y611" s="64"/>
    </row>
    <row r="612">
      <c r="A612" s="64"/>
      <c r="B612" s="64"/>
      <c r="C612" s="64"/>
      <c r="D612" s="64"/>
      <c r="E612" s="64"/>
      <c r="F612" s="64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64"/>
      <c r="S612" s="64"/>
      <c r="T612" s="64"/>
      <c r="U612" s="64"/>
      <c r="V612" s="64"/>
      <c r="W612" s="64"/>
      <c r="X612" s="64"/>
      <c r="Y612" s="64"/>
    </row>
    <row r="613">
      <c r="A613" s="64"/>
      <c r="B613" s="64"/>
      <c r="C613" s="64"/>
      <c r="D613" s="64"/>
      <c r="E613" s="64"/>
      <c r="F613" s="64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64"/>
      <c r="S613" s="64"/>
      <c r="T613" s="64"/>
      <c r="U613" s="64"/>
      <c r="V613" s="64"/>
      <c r="W613" s="64"/>
      <c r="X613" s="64"/>
      <c r="Y613" s="64"/>
    </row>
    <row r="614">
      <c r="A614" s="64"/>
      <c r="B614" s="64"/>
      <c r="C614" s="64"/>
      <c r="D614" s="64"/>
      <c r="E614" s="64"/>
      <c r="F614" s="64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64"/>
      <c r="S614" s="64"/>
      <c r="T614" s="64"/>
      <c r="U614" s="64"/>
      <c r="V614" s="64"/>
      <c r="W614" s="64"/>
      <c r="X614" s="64"/>
      <c r="Y614" s="64"/>
    </row>
    <row r="615">
      <c r="A615" s="64"/>
      <c r="B615" s="64"/>
      <c r="C615" s="64"/>
      <c r="D615" s="64"/>
      <c r="E615" s="64"/>
      <c r="F615" s="64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64"/>
      <c r="S615" s="64"/>
      <c r="T615" s="64"/>
      <c r="U615" s="64"/>
      <c r="V615" s="64"/>
      <c r="W615" s="64"/>
      <c r="X615" s="64"/>
      <c r="Y615" s="64"/>
    </row>
    <row r="616">
      <c r="A616" s="64"/>
      <c r="B616" s="64"/>
      <c r="C616" s="64"/>
      <c r="D616" s="64"/>
      <c r="E616" s="64"/>
      <c r="F616" s="64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64"/>
      <c r="S616" s="64"/>
      <c r="T616" s="64"/>
      <c r="U616" s="64"/>
      <c r="V616" s="64"/>
      <c r="W616" s="64"/>
      <c r="X616" s="64"/>
      <c r="Y616" s="64"/>
    </row>
    <row r="617">
      <c r="A617" s="64"/>
      <c r="B617" s="64"/>
      <c r="C617" s="64"/>
      <c r="D617" s="64"/>
      <c r="E617" s="64"/>
      <c r="F617" s="64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64"/>
      <c r="S617" s="64"/>
      <c r="T617" s="64"/>
      <c r="U617" s="64"/>
      <c r="V617" s="64"/>
      <c r="W617" s="64"/>
      <c r="X617" s="64"/>
      <c r="Y617" s="64"/>
    </row>
    <row r="618">
      <c r="A618" s="64"/>
      <c r="B618" s="64"/>
      <c r="C618" s="64"/>
      <c r="D618" s="64"/>
      <c r="E618" s="64"/>
      <c r="F618" s="64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64"/>
      <c r="S618" s="64"/>
      <c r="T618" s="64"/>
      <c r="U618" s="64"/>
      <c r="V618" s="64"/>
      <c r="W618" s="64"/>
      <c r="X618" s="64"/>
      <c r="Y618" s="64"/>
    </row>
    <row r="619">
      <c r="A619" s="64"/>
      <c r="B619" s="64"/>
      <c r="C619" s="64"/>
      <c r="D619" s="64"/>
      <c r="E619" s="64"/>
      <c r="F619" s="64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64"/>
      <c r="S619" s="64"/>
      <c r="T619" s="64"/>
      <c r="U619" s="64"/>
      <c r="V619" s="64"/>
      <c r="W619" s="64"/>
      <c r="X619" s="64"/>
      <c r="Y619" s="64"/>
    </row>
    <row r="620">
      <c r="A620" s="64"/>
      <c r="B620" s="64"/>
      <c r="C620" s="64"/>
      <c r="D620" s="64"/>
      <c r="E620" s="64"/>
      <c r="F620" s="64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64"/>
      <c r="S620" s="64"/>
      <c r="T620" s="64"/>
      <c r="U620" s="64"/>
      <c r="V620" s="64"/>
      <c r="W620" s="64"/>
      <c r="X620" s="64"/>
      <c r="Y620" s="64"/>
    </row>
    <row r="621">
      <c r="A621" s="64"/>
      <c r="B621" s="64"/>
      <c r="C621" s="64"/>
      <c r="D621" s="64"/>
      <c r="E621" s="64"/>
      <c r="F621" s="64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64"/>
      <c r="S621" s="64"/>
      <c r="T621" s="64"/>
      <c r="U621" s="64"/>
      <c r="V621" s="64"/>
      <c r="W621" s="64"/>
      <c r="X621" s="64"/>
      <c r="Y621" s="64"/>
    </row>
    <row r="622">
      <c r="A622" s="64"/>
      <c r="B622" s="64"/>
      <c r="C622" s="64"/>
      <c r="D622" s="64"/>
      <c r="E622" s="64"/>
      <c r="F622" s="64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64"/>
      <c r="S622" s="64"/>
      <c r="T622" s="64"/>
      <c r="U622" s="64"/>
      <c r="V622" s="64"/>
      <c r="W622" s="64"/>
      <c r="X622" s="64"/>
      <c r="Y622" s="64"/>
    </row>
    <row r="623">
      <c r="A623" s="64"/>
      <c r="B623" s="64"/>
      <c r="C623" s="64"/>
      <c r="D623" s="64"/>
      <c r="E623" s="64"/>
      <c r="F623" s="64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64"/>
      <c r="S623" s="64"/>
      <c r="T623" s="64"/>
      <c r="U623" s="64"/>
      <c r="V623" s="64"/>
      <c r="W623" s="64"/>
      <c r="X623" s="64"/>
      <c r="Y623" s="64"/>
    </row>
    <row r="624">
      <c r="A624" s="64"/>
      <c r="B624" s="64"/>
      <c r="C624" s="64"/>
      <c r="D624" s="64"/>
      <c r="E624" s="64"/>
      <c r="F624" s="64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64"/>
      <c r="S624" s="64"/>
      <c r="T624" s="64"/>
      <c r="U624" s="64"/>
      <c r="V624" s="64"/>
      <c r="W624" s="64"/>
      <c r="X624" s="64"/>
      <c r="Y624" s="64"/>
    </row>
    <row r="625">
      <c r="A625" s="64"/>
      <c r="B625" s="64"/>
      <c r="C625" s="64"/>
      <c r="D625" s="64"/>
      <c r="E625" s="64"/>
      <c r="F625" s="64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64"/>
      <c r="S625" s="64"/>
      <c r="T625" s="64"/>
      <c r="U625" s="64"/>
      <c r="V625" s="64"/>
      <c r="W625" s="64"/>
      <c r="X625" s="64"/>
      <c r="Y625" s="64"/>
    </row>
    <row r="626">
      <c r="A626" s="64"/>
      <c r="B626" s="64"/>
      <c r="C626" s="64"/>
      <c r="D626" s="64"/>
      <c r="E626" s="64"/>
      <c r="F626" s="64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64"/>
      <c r="S626" s="64"/>
      <c r="T626" s="64"/>
      <c r="U626" s="64"/>
      <c r="V626" s="64"/>
      <c r="W626" s="64"/>
      <c r="X626" s="64"/>
      <c r="Y626" s="64"/>
    </row>
    <row r="627">
      <c r="A627" s="64"/>
      <c r="B627" s="64"/>
      <c r="C627" s="64"/>
      <c r="D627" s="64"/>
      <c r="E627" s="64"/>
      <c r="F627" s="64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64"/>
      <c r="S627" s="64"/>
      <c r="T627" s="64"/>
      <c r="U627" s="64"/>
      <c r="V627" s="64"/>
      <c r="W627" s="64"/>
      <c r="X627" s="64"/>
      <c r="Y627" s="64"/>
    </row>
    <row r="628">
      <c r="A628" s="64"/>
      <c r="B628" s="64"/>
      <c r="C628" s="64"/>
      <c r="D628" s="64"/>
      <c r="E628" s="64"/>
      <c r="F628" s="64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64"/>
      <c r="S628" s="64"/>
      <c r="T628" s="64"/>
      <c r="U628" s="64"/>
      <c r="V628" s="64"/>
      <c r="W628" s="64"/>
      <c r="X628" s="64"/>
      <c r="Y628" s="64"/>
    </row>
    <row r="629">
      <c r="A629" s="64"/>
      <c r="B629" s="64"/>
      <c r="C629" s="64"/>
      <c r="D629" s="64"/>
      <c r="E629" s="64"/>
      <c r="F629" s="64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64"/>
      <c r="S629" s="64"/>
      <c r="T629" s="64"/>
      <c r="U629" s="64"/>
      <c r="V629" s="64"/>
      <c r="W629" s="64"/>
      <c r="X629" s="64"/>
      <c r="Y629" s="64"/>
    </row>
    <row r="630">
      <c r="A630" s="64"/>
      <c r="B630" s="64"/>
      <c r="C630" s="64"/>
      <c r="D630" s="64"/>
      <c r="E630" s="64"/>
      <c r="F630" s="64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64"/>
      <c r="S630" s="64"/>
      <c r="T630" s="64"/>
      <c r="U630" s="64"/>
      <c r="V630" s="64"/>
      <c r="W630" s="64"/>
      <c r="X630" s="64"/>
      <c r="Y630" s="64"/>
    </row>
    <row r="631">
      <c r="A631" s="64"/>
      <c r="B631" s="64"/>
      <c r="C631" s="64"/>
      <c r="D631" s="64"/>
      <c r="E631" s="64"/>
      <c r="F631" s="64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64"/>
      <c r="S631" s="64"/>
      <c r="T631" s="64"/>
      <c r="U631" s="64"/>
      <c r="V631" s="64"/>
      <c r="W631" s="64"/>
      <c r="X631" s="64"/>
      <c r="Y631" s="64"/>
    </row>
    <row r="632">
      <c r="A632" s="64"/>
      <c r="B632" s="64"/>
      <c r="C632" s="64"/>
      <c r="D632" s="64"/>
      <c r="E632" s="64"/>
      <c r="F632" s="64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64"/>
      <c r="S632" s="64"/>
      <c r="T632" s="64"/>
      <c r="U632" s="64"/>
      <c r="V632" s="64"/>
      <c r="W632" s="64"/>
      <c r="X632" s="64"/>
      <c r="Y632" s="64"/>
    </row>
    <row r="633">
      <c r="A633" s="64"/>
      <c r="B633" s="64"/>
      <c r="C633" s="64"/>
      <c r="D633" s="64"/>
      <c r="E633" s="64"/>
      <c r="F633" s="64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64"/>
      <c r="S633" s="64"/>
      <c r="T633" s="64"/>
      <c r="U633" s="64"/>
      <c r="V633" s="64"/>
      <c r="W633" s="64"/>
      <c r="X633" s="64"/>
      <c r="Y633" s="64"/>
    </row>
    <row r="634">
      <c r="A634" s="64"/>
      <c r="B634" s="64"/>
      <c r="C634" s="64"/>
      <c r="D634" s="64"/>
      <c r="E634" s="64"/>
      <c r="F634" s="64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64"/>
      <c r="S634" s="64"/>
      <c r="T634" s="64"/>
      <c r="U634" s="64"/>
      <c r="V634" s="64"/>
      <c r="W634" s="64"/>
      <c r="X634" s="64"/>
      <c r="Y634" s="64"/>
    </row>
    <row r="635">
      <c r="A635" s="64"/>
      <c r="B635" s="64"/>
      <c r="C635" s="64"/>
      <c r="D635" s="64"/>
      <c r="E635" s="64"/>
      <c r="F635" s="64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64"/>
      <c r="S635" s="64"/>
      <c r="T635" s="64"/>
      <c r="U635" s="64"/>
      <c r="V635" s="64"/>
      <c r="W635" s="64"/>
      <c r="X635" s="64"/>
      <c r="Y635" s="64"/>
    </row>
    <row r="636">
      <c r="A636" s="64"/>
      <c r="B636" s="64"/>
      <c r="C636" s="64"/>
      <c r="D636" s="64"/>
      <c r="E636" s="64"/>
      <c r="F636" s="64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64"/>
      <c r="S636" s="64"/>
      <c r="T636" s="64"/>
      <c r="U636" s="64"/>
      <c r="V636" s="64"/>
      <c r="W636" s="64"/>
      <c r="X636" s="64"/>
      <c r="Y636" s="64"/>
    </row>
    <row r="637">
      <c r="A637" s="64"/>
      <c r="B637" s="64"/>
      <c r="C637" s="64"/>
      <c r="D637" s="64"/>
      <c r="E637" s="64"/>
      <c r="F637" s="64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64"/>
      <c r="S637" s="64"/>
      <c r="T637" s="64"/>
      <c r="U637" s="64"/>
      <c r="V637" s="64"/>
      <c r="W637" s="64"/>
      <c r="X637" s="64"/>
      <c r="Y637" s="64"/>
    </row>
    <row r="638">
      <c r="A638" s="64"/>
      <c r="B638" s="64"/>
      <c r="C638" s="64"/>
      <c r="D638" s="64"/>
      <c r="E638" s="64"/>
      <c r="F638" s="64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64"/>
      <c r="S638" s="64"/>
      <c r="T638" s="64"/>
      <c r="U638" s="64"/>
      <c r="V638" s="64"/>
      <c r="W638" s="64"/>
      <c r="X638" s="64"/>
      <c r="Y638" s="64"/>
    </row>
    <row r="639">
      <c r="A639" s="64"/>
      <c r="B639" s="64"/>
      <c r="C639" s="64"/>
      <c r="D639" s="64"/>
      <c r="E639" s="64"/>
      <c r="F639" s="64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64"/>
      <c r="S639" s="64"/>
      <c r="T639" s="64"/>
      <c r="U639" s="64"/>
      <c r="V639" s="64"/>
      <c r="W639" s="64"/>
      <c r="X639" s="64"/>
      <c r="Y639" s="64"/>
    </row>
    <row r="640">
      <c r="A640" s="64"/>
      <c r="B640" s="64"/>
      <c r="C640" s="64"/>
      <c r="D640" s="64"/>
      <c r="E640" s="64"/>
      <c r="F640" s="64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64"/>
      <c r="S640" s="64"/>
      <c r="T640" s="64"/>
      <c r="U640" s="64"/>
      <c r="V640" s="64"/>
      <c r="W640" s="64"/>
      <c r="X640" s="64"/>
      <c r="Y640" s="64"/>
    </row>
    <row r="641">
      <c r="A641" s="64"/>
      <c r="B641" s="64"/>
      <c r="C641" s="64"/>
      <c r="D641" s="64"/>
      <c r="E641" s="64"/>
      <c r="F641" s="64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64"/>
      <c r="S641" s="64"/>
      <c r="T641" s="64"/>
      <c r="U641" s="64"/>
      <c r="V641" s="64"/>
      <c r="W641" s="64"/>
      <c r="X641" s="64"/>
      <c r="Y641" s="64"/>
    </row>
    <row r="642">
      <c r="A642" s="64"/>
      <c r="B642" s="64"/>
      <c r="C642" s="64"/>
      <c r="D642" s="64"/>
      <c r="E642" s="64"/>
      <c r="F642" s="64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64"/>
      <c r="S642" s="64"/>
      <c r="T642" s="64"/>
      <c r="U642" s="64"/>
      <c r="V642" s="64"/>
      <c r="W642" s="64"/>
      <c r="X642" s="64"/>
      <c r="Y642" s="64"/>
    </row>
    <row r="643">
      <c r="A643" s="64"/>
      <c r="B643" s="64"/>
      <c r="C643" s="64"/>
      <c r="D643" s="64"/>
      <c r="E643" s="64"/>
      <c r="F643" s="64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64"/>
      <c r="S643" s="64"/>
      <c r="T643" s="64"/>
      <c r="U643" s="64"/>
      <c r="V643" s="64"/>
      <c r="W643" s="64"/>
      <c r="X643" s="64"/>
      <c r="Y643" s="64"/>
    </row>
    <row r="644">
      <c r="A644" s="64"/>
      <c r="B644" s="64"/>
      <c r="C644" s="64"/>
      <c r="D644" s="64"/>
      <c r="E644" s="64"/>
      <c r="F644" s="64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64"/>
      <c r="S644" s="64"/>
      <c r="T644" s="64"/>
      <c r="U644" s="64"/>
      <c r="V644" s="64"/>
      <c r="W644" s="64"/>
      <c r="X644" s="64"/>
      <c r="Y644" s="64"/>
    </row>
    <row r="645">
      <c r="A645" s="64"/>
      <c r="B645" s="64"/>
      <c r="C645" s="64"/>
      <c r="D645" s="64"/>
      <c r="E645" s="64"/>
      <c r="F645" s="64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64"/>
      <c r="S645" s="64"/>
      <c r="T645" s="64"/>
      <c r="U645" s="64"/>
      <c r="V645" s="64"/>
      <c r="W645" s="64"/>
      <c r="X645" s="64"/>
      <c r="Y645" s="64"/>
    </row>
    <row r="646">
      <c r="A646" s="64"/>
      <c r="B646" s="64"/>
      <c r="C646" s="64"/>
      <c r="D646" s="64"/>
      <c r="E646" s="64"/>
      <c r="F646" s="64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64"/>
      <c r="S646" s="64"/>
      <c r="T646" s="64"/>
      <c r="U646" s="64"/>
      <c r="V646" s="64"/>
      <c r="W646" s="64"/>
      <c r="X646" s="64"/>
      <c r="Y646" s="64"/>
    </row>
    <row r="647">
      <c r="A647" s="64"/>
      <c r="B647" s="64"/>
      <c r="C647" s="64"/>
      <c r="D647" s="64"/>
      <c r="E647" s="64"/>
      <c r="F647" s="64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64"/>
      <c r="S647" s="64"/>
      <c r="T647" s="64"/>
      <c r="U647" s="64"/>
      <c r="V647" s="64"/>
      <c r="W647" s="64"/>
      <c r="X647" s="64"/>
      <c r="Y647" s="64"/>
    </row>
    <row r="648">
      <c r="A648" s="64"/>
      <c r="B648" s="64"/>
      <c r="C648" s="64"/>
      <c r="D648" s="64"/>
      <c r="E648" s="64"/>
      <c r="F648" s="64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64"/>
      <c r="S648" s="64"/>
      <c r="T648" s="64"/>
      <c r="U648" s="64"/>
      <c r="V648" s="64"/>
      <c r="W648" s="64"/>
      <c r="X648" s="64"/>
      <c r="Y648" s="64"/>
    </row>
    <row r="649">
      <c r="A649" s="64"/>
      <c r="B649" s="64"/>
      <c r="C649" s="64"/>
      <c r="D649" s="64"/>
      <c r="E649" s="64"/>
      <c r="F649" s="64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64"/>
      <c r="S649" s="64"/>
      <c r="T649" s="64"/>
      <c r="U649" s="64"/>
      <c r="V649" s="64"/>
      <c r="W649" s="64"/>
      <c r="X649" s="64"/>
      <c r="Y649" s="64"/>
    </row>
    <row r="650">
      <c r="A650" s="64"/>
      <c r="B650" s="64"/>
      <c r="C650" s="64"/>
      <c r="D650" s="64"/>
      <c r="E650" s="64"/>
      <c r="F650" s="64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64"/>
      <c r="S650" s="64"/>
      <c r="T650" s="64"/>
      <c r="U650" s="64"/>
      <c r="V650" s="64"/>
      <c r="W650" s="64"/>
      <c r="X650" s="64"/>
      <c r="Y650" s="64"/>
    </row>
    <row r="651">
      <c r="A651" s="64"/>
      <c r="B651" s="64"/>
      <c r="C651" s="64"/>
      <c r="D651" s="64"/>
      <c r="E651" s="64"/>
      <c r="F651" s="64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64"/>
      <c r="S651" s="64"/>
      <c r="T651" s="64"/>
      <c r="U651" s="64"/>
      <c r="V651" s="64"/>
      <c r="W651" s="64"/>
      <c r="X651" s="64"/>
      <c r="Y651" s="64"/>
    </row>
    <row r="652">
      <c r="A652" s="64"/>
      <c r="B652" s="64"/>
      <c r="C652" s="64"/>
      <c r="D652" s="64"/>
      <c r="E652" s="64"/>
      <c r="F652" s="64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64"/>
      <c r="S652" s="64"/>
      <c r="T652" s="64"/>
      <c r="U652" s="64"/>
      <c r="V652" s="64"/>
      <c r="W652" s="64"/>
      <c r="X652" s="64"/>
      <c r="Y652" s="64"/>
    </row>
    <row r="653">
      <c r="A653" s="64"/>
      <c r="B653" s="64"/>
      <c r="C653" s="64"/>
      <c r="D653" s="64"/>
      <c r="E653" s="64"/>
      <c r="F653" s="64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64"/>
      <c r="S653" s="64"/>
      <c r="T653" s="64"/>
      <c r="U653" s="64"/>
      <c r="V653" s="64"/>
      <c r="W653" s="64"/>
      <c r="X653" s="64"/>
      <c r="Y653" s="64"/>
    </row>
    <row r="654">
      <c r="A654" s="64"/>
      <c r="B654" s="64"/>
      <c r="C654" s="64"/>
      <c r="D654" s="64"/>
      <c r="E654" s="64"/>
      <c r="F654" s="64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64"/>
      <c r="S654" s="64"/>
      <c r="T654" s="64"/>
      <c r="U654" s="64"/>
      <c r="V654" s="64"/>
      <c r="W654" s="64"/>
      <c r="X654" s="64"/>
      <c r="Y654" s="64"/>
    </row>
    <row r="655">
      <c r="A655" s="64"/>
      <c r="B655" s="64"/>
      <c r="C655" s="64"/>
      <c r="D655" s="64"/>
      <c r="E655" s="64"/>
      <c r="F655" s="64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64"/>
      <c r="S655" s="64"/>
      <c r="T655" s="64"/>
      <c r="U655" s="64"/>
      <c r="V655" s="64"/>
      <c r="W655" s="64"/>
      <c r="X655" s="64"/>
      <c r="Y655" s="64"/>
    </row>
    <row r="656">
      <c r="A656" s="64"/>
      <c r="B656" s="64"/>
      <c r="C656" s="64"/>
      <c r="D656" s="64"/>
      <c r="E656" s="64"/>
      <c r="F656" s="64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64"/>
      <c r="S656" s="64"/>
      <c r="T656" s="64"/>
      <c r="U656" s="64"/>
      <c r="V656" s="64"/>
      <c r="W656" s="64"/>
      <c r="X656" s="64"/>
      <c r="Y656" s="64"/>
    </row>
    <row r="657">
      <c r="A657" s="64"/>
      <c r="B657" s="64"/>
      <c r="C657" s="64"/>
      <c r="D657" s="64"/>
      <c r="E657" s="64"/>
      <c r="F657" s="64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64"/>
      <c r="S657" s="64"/>
      <c r="T657" s="64"/>
      <c r="U657" s="64"/>
      <c r="V657" s="64"/>
      <c r="W657" s="64"/>
      <c r="X657" s="64"/>
      <c r="Y657" s="64"/>
    </row>
    <row r="658">
      <c r="A658" s="64"/>
      <c r="B658" s="64"/>
      <c r="C658" s="64"/>
      <c r="D658" s="64"/>
      <c r="E658" s="64"/>
      <c r="F658" s="64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64"/>
      <c r="S658" s="64"/>
      <c r="T658" s="64"/>
      <c r="U658" s="64"/>
      <c r="V658" s="64"/>
      <c r="W658" s="64"/>
      <c r="X658" s="64"/>
      <c r="Y658" s="64"/>
    </row>
    <row r="659">
      <c r="A659" s="64"/>
      <c r="B659" s="64"/>
      <c r="C659" s="64"/>
      <c r="D659" s="64"/>
      <c r="E659" s="64"/>
      <c r="F659" s="64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64"/>
      <c r="S659" s="64"/>
      <c r="T659" s="64"/>
      <c r="U659" s="64"/>
      <c r="V659" s="64"/>
      <c r="W659" s="64"/>
      <c r="X659" s="64"/>
      <c r="Y659" s="64"/>
    </row>
    <row r="660">
      <c r="A660" s="64"/>
      <c r="B660" s="64"/>
      <c r="C660" s="64"/>
      <c r="D660" s="64"/>
      <c r="E660" s="64"/>
      <c r="F660" s="64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64"/>
      <c r="S660" s="64"/>
      <c r="T660" s="64"/>
      <c r="U660" s="64"/>
      <c r="V660" s="64"/>
      <c r="W660" s="64"/>
      <c r="X660" s="64"/>
      <c r="Y660" s="64"/>
    </row>
    <row r="661">
      <c r="A661" s="64"/>
      <c r="B661" s="64"/>
      <c r="C661" s="64"/>
      <c r="D661" s="64"/>
      <c r="E661" s="64"/>
      <c r="F661" s="64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64"/>
      <c r="S661" s="64"/>
      <c r="T661" s="64"/>
      <c r="U661" s="64"/>
      <c r="V661" s="64"/>
      <c r="W661" s="64"/>
      <c r="X661" s="64"/>
      <c r="Y661" s="64"/>
    </row>
    <row r="662">
      <c r="A662" s="64"/>
      <c r="B662" s="64"/>
      <c r="C662" s="64"/>
      <c r="D662" s="64"/>
      <c r="E662" s="64"/>
      <c r="F662" s="64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64"/>
      <c r="S662" s="64"/>
      <c r="T662" s="64"/>
      <c r="U662" s="64"/>
      <c r="V662" s="64"/>
      <c r="W662" s="64"/>
      <c r="X662" s="64"/>
      <c r="Y662" s="64"/>
    </row>
    <row r="663">
      <c r="A663" s="64"/>
      <c r="B663" s="64"/>
      <c r="C663" s="64"/>
      <c r="D663" s="64"/>
      <c r="E663" s="64"/>
      <c r="F663" s="64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64"/>
      <c r="S663" s="64"/>
      <c r="T663" s="64"/>
      <c r="U663" s="64"/>
      <c r="V663" s="64"/>
      <c r="W663" s="64"/>
      <c r="X663" s="64"/>
      <c r="Y663" s="64"/>
    </row>
    <row r="664">
      <c r="A664" s="64"/>
      <c r="B664" s="64"/>
      <c r="C664" s="64"/>
      <c r="D664" s="64"/>
      <c r="E664" s="64"/>
      <c r="F664" s="64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64"/>
      <c r="S664" s="64"/>
      <c r="T664" s="64"/>
      <c r="U664" s="64"/>
      <c r="V664" s="64"/>
      <c r="W664" s="64"/>
      <c r="X664" s="64"/>
      <c r="Y664" s="64"/>
    </row>
    <row r="665">
      <c r="A665" s="64"/>
      <c r="B665" s="64"/>
      <c r="C665" s="64"/>
      <c r="D665" s="64"/>
      <c r="E665" s="64"/>
      <c r="F665" s="64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64"/>
      <c r="S665" s="64"/>
      <c r="T665" s="64"/>
      <c r="U665" s="64"/>
      <c r="V665" s="64"/>
      <c r="W665" s="64"/>
      <c r="X665" s="64"/>
      <c r="Y665" s="64"/>
    </row>
    <row r="666">
      <c r="A666" s="64"/>
      <c r="B666" s="64"/>
      <c r="C666" s="64"/>
      <c r="D666" s="64"/>
      <c r="E666" s="64"/>
      <c r="F666" s="64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64"/>
      <c r="S666" s="64"/>
      <c r="T666" s="64"/>
      <c r="U666" s="64"/>
      <c r="V666" s="64"/>
      <c r="W666" s="64"/>
      <c r="X666" s="64"/>
      <c r="Y666" s="64"/>
    </row>
    <row r="667">
      <c r="A667" s="64"/>
      <c r="B667" s="64"/>
      <c r="C667" s="64"/>
      <c r="D667" s="64"/>
      <c r="E667" s="64"/>
      <c r="F667" s="64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64"/>
      <c r="S667" s="64"/>
      <c r="T667" s="64"/>
      <c r="U667" s="64"/>
      <c r="V667" s="64"/>
      <c r="W667" s="64"/>
      <c r="X667" s="64"/>
      <c r="Y667" s="64"/>
    </row>
    <row r="668">
      <c r="A668" s="64"/>
      <c r="B668" s="64"/>
      <c r="C668" s="64"/>
      <c r="D668" s="64"/>
      <c r="E668" s="64"/>
      <c r="F668" s="64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64"/>
      <c r="S668" s="64"/>
      <c r="T668" s="64"/>
      <c r="U668" s="64"/>
      <c r="V668" s="64"/>
      <c r="W668" s="64"/>
      <c r="X668" s="64"/>
      <c r="Y668" s="64"/>
    </row>
    <row r="669">
      <c r="A669" s="64"/>
      <c r="B669" s="64"/>
      <c r="C669" s="64"/>
      <c r="D669" s="64"/>
      <c r="E669" s="64"/>
      <c r="F669" s="64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64"/>
      <c r="S669" s="64"/>
      <c r="T669" s="64"/>
      <c r="U669" s="64"/>
      <c r="V669" s="64"/>
      <c r="W669" s="64"/>
      <c r="X669" s="64"/>
      <c r="Y669" s="64"/>
    </row>
    <row r="670">
      <c r="A670" s="64"/>
      <c r="B670" s="64"/>
      <c r="C670" s="64"/>
      <c r="D670" s="64"/>
      <c r="E670" s="64"/>
      <c r="F670" s="64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64"/>
      <c r="S670" s="64"/>
      <c r="T670" s="64"/>
      <c r="U670" s="64"/>
      <c r="V670" s="64"/>
      <c r="W670" s="64"/>
      <c r="X670" s="64"/>
      <c r="Y670" s="64"/>
    </row>
    <row r="671">
      <c r="A671" s="64"/>
      <c r="B671" s="64"/>
      <c r="C671" s="64"/>
      <c r="D671" s="64"/>
      <c r="E671" s="64"/>
      <c r="F671" s="64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64"/>
      <c r="S671" s="64"/>
      <c r="T671" s="64"/>
      <c r="U671" s="64"/>
      <c r="V671" s="64"/>
      <c r="W671" s="64"/>
      <c r="X671" s="64"/>
      <c r="Y671" s="64"/>
    </row>
    <row r="672">
      <c r="A672" s="64"/>
      <c r="B672" s="64"/>
      <c r="C672" s="64"/>
      <c r="D672" s="64"/>
      <c r="E672" s="64"/>
      <c r="F672" s="64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64"/>
      <c r="S672" s="64"/>
      <c r="T672" s="64"/>
      <c r="U672" s="64"/>
      <c r="V672" s="64"/>
      <c r="W672" s="64"/>
      <c r="X672" s="64"/>
      <c r="Y672" s="64"/>
    </row>
    <row r="673">
      <c r="A673" s="64"/>
      <c r="B673" s="64"/>
      <c r="C673" s="64"/>
      <c r="D673" s="64"/>
      <c r="E673" s="64"/>
      <c r="F673" s="64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64"/>
      <c r="S673" s="64"/>
      <c r="T673" s="64"/>
      <c r="U673" s="64"/>
      <c r="V673" s="64"/>
      <c r="W673" s="64"/>
      <c r="X673" s="64"/>
      <c r="Y673" s="64"/>
    </row>
    <row r="674">
      <c r="A674" s="64"/>
      <c r="B674" s="64"/>
      <c r="C674" s="64"/>
      <c r="D674" s="64"/>
      <c r="E674" s="64"/>
      <c r="F674" s="64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64"/>
      <c r="S674" s="64"/>
      <c r="T674" s="64"/>
      <c r="U674" s="64"/>
      <c r="V674" s="64"/>
      <c r="W674" s="64"/>
      <c r="X674" s="64"/>
      <c r="Y674" s="64"/>
    </row>
    <row r="675">
      <c r="A675" s="64"/>
      <c r="B675" s="64"/>
      <c r="C675" s="64"/>
      <c r="D675" s="64"/>
      <c r="E675" s="64"/>
      <c r="F675" s="64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64"/>
      <c r="S675" s="64"/>
      <c r="T675" s="64"/>
      <c r="U675" s="64"/>
      <c r="V675" s="64"/>
      <c r="W675" s="64"/>
      <c r="X675" s="64"/>
      <c r="Y675" s="64"/>
    </row>
    <row r="676">
      <c r="A676" s="64"/>
      <c r="B676" s="64"/>
      <c r="C676" s="64"/>
      <c r="D676" s="64"/>
      <c r="E676" s="64"/>
      <c r="F676" s="64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64"/>
      <c r="S676" s="64"/>
      <c r="T676" s="64"/>
      <c r="U676" s="64"/>
      <c r="V676" s="64"/>
      <c r="W676" s="64"/>
      <c r="X676" s="64"/>
      <c r="Y676" s="64"/>
    </row>
    <row r="677">
      <c r="A677" s="64"/>
      <c r="B677" s="64"/>
      <c r="C677" s="64"/>
      <c r="D677" s="64"/>
      <c r="E677" s="64"/>
      <c r="F677" s="64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64"/>
      <c r="S677" s="64"/>
      <c r="T677" s="64"/>
      <c r="U677" s="64"/>
      <c r="V677" s="64"/>
      <c r="W677" s="64"/>
      <c r="X677" s="64"/>
      <c r="Y677" s="64"/>
    </row>
    <row r="678">
      <c r="A678" s="64"/>
      <c r="B678" s="64"/>
      <c r="C678" s="64"/>
      <c r="D678" s="64"/>
      <c r="E678" s="64"/>
      <c r="F678" s="64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64"/>
      <c r="S678" s="64"/>
      <c r="T678" s="64"/>
      <c r="U678" s="64"/>
      <c r="V678" s="64"/>
      <c r="W678" s="64"/>
      <c r="X678" s="64"/>
      <c r="Y678" s="64"/>
    </row>
    <row r="679">
      <c r="A679" s="64"/>
      <c r="B679" s="64"/>
      <c r="C679" s="64"/>
      <c r="D679" s="64"/>
      <c r="E679" s="64"/>
      <c r="F679" s="64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64"/>
      <c r="S679" s="64"/>
      <c r="T679" s="64"/>
      <c r="U679" s="64"/>
      <c r="V679" s="64"/>
      <c r="W679" s="64"/>
      <c r="X679" s="64"/>
      <c r="Y679" s="64"/>
    </row>
    <row r="680">
      <c r="A680" s="64"/>
      <c r="B680" s="64"/>
      <c r="C680" s="64"/>
      <c r="D680" s="64"/>
      <c r="E680" s="64"/>
      <c r="F680" s="64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64"/>
      <c r="S680" s="64"/>
      <c r="T680" s="64"/>
      <c r="U680" s="64"/>
      <c r="V680" s="64"/>
      <c r="W680" s="64"/>
      <c r="X680" s="64"/>
      <c r="Y680" s="64"/>
    </row>
    <row r="681">
      <c r="A681" s="64"/>
      <c r="B681" s="64"/>
      <c r="C681" s="64"/>
      <c r="D681" s="64"/>
      <c r="E681" s="64"/>
      <c r="F681" s="64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64"/>
      <c r="S681" s="64"/>
      <c r="T681" s="64"/>
      <c r="U681" s="64"/>
      <c r="V681" s="64"/>
      <c r="W681" s="64"/>
      <c r="X681" s="64"/>
      <c r="Y681" s="64"/>
    </row>
    <row r="682">
      <c r="A682" s="64"/>
      <c r="B682" s="64"/>
      <c r="C682" s="64"/>
      <c r="D682" s="64"/>
      <c r="E682" s="64"/>
      <c r="F682" s="64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64"/>
      <c r="S682" s="64"/>
      <c r="T682" s="64"/>
      <c r="U682" s="64"/>
      <c r="V682" s="64"/>
      <c r="W682" s="64"/>
      <c r="X682" s="64"/>
      <c r="Y682" s="64"/>
    </row>
    <row r="683">
      <c r="A683" s="64"/>
      <c r="B683" s="64"/>
      <c r="C683" s="64"/>
      <c r="D683" s="64"/>
      <c r="E683" s="64"/>
      <c r="F683" s="64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64"/>
      <c r="S683" s="64"/>
      <c r="T683" s="64"/>
      <c r="U683" s="64"/>
      <c r="V683" s="64"/>
      <c r="W683" s="64"/>
      <c r="X683" s="64"/>
      <c r="Y683" s="64"/>
    </row>
    <row r="684">
      <c r="A684" s="64"/>
      <c r="B684" s="64"/>
      <c r="C684" s="64"/>
      <c r="D684" s="64"/>
      <c r="E684" s="64"/>
      <c r="F684" s="64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64"/>
      <c r="S684" s="64"/>
      <c r="T684" s="64"/>
      <c r="U684" s="64"/>
      <c r="V684" s="64"/>
      <c r="W684" s="64"/>
      <c r="X684" s="64"/>
      <c r="Y684" s="64"/>
    </row>
    <row r="685">
      <c r="A685" s="64"/>
      <c r="B685" s="64"/>
      <c r="C685" s="64"/>
      <c r="D685" s="64"/>
      <c r="E685" s="64"/>
      <c r="F685" s="64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64"/>
      <c r="S685" s="64"/>
      <c r="T685" s="64"/>
      <c r="U685" s="64"/>
      <c r="V685" s="64"/>
      <c r="W685" s="64"/>
      <c r="X685" s="64"/>
      <c r="Y685" s="64"/>
    </row>
    <row r="686">
      <c r="A686" s="64"/>
      <c r="B686" s="64"/>
      <c r="C686" s="64"/>
      <c r="D686" s="64"/>
      <c r="E686" s="64"/>
      <c r="F686" s="64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64"/>
      <c r="S686" s="64"/>
      <c r="T686" s="64"/>
      <c r="U686" s="64"/>
      <c r="V686" s="64"/>
      <c r="W686" s="64"/>
      <c r="X686" s="64"/>
      <c r="Y686" s="64"/>
    </row>
    <row r="687">
      <c r="A687" s="64"/>
      <c r="B687" s="64"/>
      <c r="C687" s="64"/>
      <c r="D687" s="64"/>
      <c r="E687" s="64"/>
      <c r="F687" s="64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64"/>
      <c r="S687" s="64"/>
      <c r="T687" s="64"/>
      <c r="U687" s="64"/>
      <c r="V687" s="64"/>
      <c r="W687" s="64"/>
      <c r="X687" s="64"/>
      <c r="Y687" s="64"/>
    </row>
    <row r="688">
      <c r="A688" s="64"/>
      <c r="B688" s="64"/>
      <c r="C688" s="64"/>
      <c r="D688" s="64"/>
      <c r="E688" s="64"/>
      <c r="F688" s="64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64"/>
      <c r="S688" s="64"/>
      <c r="T688" s="64"/>
      <c r="U688" s="64"/>
      <c r="V688" s="64"/>
      <c r="W688" s="64"/>
      <c r="X688" s="64"/>
      <c r="Y688" s="64"/>
    </row>
    <row r="689">
      <c r="A689" s="64"/>
      <c r="B689" s="64"/>
      <c r="C689" s="64"/>
      <c r="D689" s="64"/>
      <c r="E689" s="64"/>
      <c r="F689" s="64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64"/>
      <c r="S689" s="64"/>
      <c r="T689" s="64"/>
      <c r="U689" s="64"/>
      <c r="V689" s="64"/>
      <c r="W689" s="64"/>
      <c r="X689" s="64"/>
      <c r="Y689" s="64"/>
    </row>
    <row r="690">
      <c r="A690" s="64"/>
      <c r="B690" s="64"/>
      <c r="C690" s="64"/>
      <c r="D690" s="64"/>
      <c r="E690" s="64"/>
      <c r="F690" s="64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64"/>
      <c r="S690" s="64"/>
      <c r="T690" s="64"/>
      <c r="U690" s="64"/>
      <c r="V690" s="64"/>
      <c r="W690" s="64"/>
      <c r="X690" s="64"/>
      <c r="Y690" s="64"/>
    </row>
    <row r="691">
      <c r="A691" s="64"/>
      <c r="B691" s="64"/>
      <c r="C691" s="64"/>
      <c r="D691" s="64"/>
      <c r="E691" s="64"/>
      <c r="F691" s="64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64"/>
      <c r="S691" s="64"/>
      <c r="T691" s="64"/>
      <c r="U691" s="64"/>
      <c r="V691" s="64"/>
      <c r="W691" s="64"/>
      <c r="X691" s="64"/>
      <c r="Y691" s="64"/>
    </row>
    <row r="692">
      <c r="A692" s="64"/>
      <c r="B692" s="64"/>
      <c r="C692" s="64"/>
      <c r="D692" s="64"/>
      <c r="E692" s="64"/>
      <c r="F692" s="64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64"/>
      <c r="S692" s="64"/>
      <c r="T692" s="64"/>
      <c r="U692" s="64"/>
      <c r="V692" s="64"/>
      <c r="W692" s="64"/>
      <c r="X692" s="64"/>
      <c r="Y692" s="64"/>
    </row>
    <row r="693">
      <c r="A693" s="64"/>
      <c r="B693" s="64"/>
      <c r="C693" s="64"/>
      <c r="D693" s="64"/>
      <c r="E693" s="64"/>
      <c r="F693" s="64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64"/>
      <c r="S693" s="64"/>
      <c r="T693" s="64"/>
      <c r="U693" s="64"/>
      <c r="V693" s="64"/>
      <c r="W693" s="64"/>
      <c r="X693" s="64"/>
      <c r="Y693" s="64"/>
    </row>
    <row r="694">
      <c r="A694" s="64"/>
      <c r="B694" s="64"/>
      <c r="C694" s="64"/>
      <c r="D694" s="64"/>
      <c r="E694" s="64"/>
      <c r="F694" s="64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64"/>
      <c r="S694" s="64"/>
      <c r="T694" s="64"/>
      <c r="U694" s="64"/>
      <c r="V694" s="64"/>
      <c r="W694" s="64"/>
      <c r="X694" s="64"/>
      <c r="Y694" s="64"/>
    </row>
    <row r="695">
      <c r="A695" s="64"/>
      <c r="B695" s="64"/>
      <c r="C695" s="64"/>
      <c r="D695" s="64"/>
      <c r="E695" s="64"/>
      <c r="F695" s="64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64"/>
      <c r="S695" s="64"/>
      <c r="T695" s="64"/>
      <c r="U695" s="64"/>
      <c r="V695" s="64"/>
      <c r="W695" s="64"/>
      <c r="X695" s="64"/>
      <c r="Y695" s="64"/>
    </row>
    <row r="696">
      <c r="A696" s="64"/>
      <c r="B696" s="64"/>
      <c r="C696" s="64"/>
      <c r="D696" s="64"/>
      <c r="E696" s="64"/>
      <c r="F696" s="64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64"/>
      <c r="S696" s="64"/>
      <c r="T696" s="64"/>
      <c r="U696" s="64"/>
      <c r="V696" s="64"/>
      <c r="W696" s="64"/>
      <c r="X696" s="64"/>
      <c r="Y696" s="64"/>
    </row>
    <row r="697">
      <c r="A697" s="64"/>
      <c r="B697" s="64"/>
      <c r="C697" s="64"/>
      <c r="D697" s="64"/>
      <c r="E697" s="64"/>
      <c r="F697" s="64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64"/>
      <c r="S697" s="64"/>
      <c r="T697" s="64"/>
      <c r="U697" s="64"/>
      <c r="V697" s="64"/>
      <c r="W697" s="64"/>
      <c r="X697" s="64"/>
      <c r="Y697" s="64"/>
    </row>
    <row r="698">
      <c r="A698" s="64"/>
      <c r="B698" s="64"/>
      <c r="C698" s="64"/>
      <c r="D698" s="64"/>
      <c r="E698" s="64"/>
      <c r="F698" s="64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64"/>
      <c r="S698" s="64"/>
      <c r="T698" s="64"/>
      <c r="U698" s="64"/>
      <c r="V698" s="64"/>
      <c r="W698" s="64"/>
      <c r="X698" s="64"/>
      <c r="Y698" s="64"/>
    </row>
    <row r="699">
      <c r="A699" s="64"/>
      <c r="B699" s="64"/>
      <c r="C699" s="64"/>
      <c r="D699" s="64"/>
      <c r="E699" s="64"/>
      <c r="F699" s="64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64"/>
      <c r="S699" s="64"/>
      <c r="T699" s="64"/>
      <c r="U699" s="64"/>
      <c r="V699" s="64"/>
      <c r="W699" s="64"/>
      <c r="X699" s="64"/>
      <c r="Y699" s="64"/>
    </row>
    <row r="700">
      <c r="A700" s="64"/>
      <c r="B700" s="64"/>
      <c r="C700" s="64"/>
      <c r="D700" s="64"/>
      <c r="E700" s="64"/>
      <c r="F700" s="64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64"/>
      <c r="S700" s="64"/>
      <c r="T700" s="64"/>
      <c r="U700" s="64"/>
      <c r="V700" s="64"/>
      <c r="W700" s="64"/>
      <c r="X700" s="64"/>
      <c r="Y700" s="64"/>
    </row>
    <row r="701">
      <c r="A701" s="64"/>
      <c r="B701" s="64"/>
      <c r="C701" s="64"/>
      <c r="D701" s="64"/>
      <c r="E701" s="64"/>
      <c r="F701" s="64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64"/>
      <c r="S701" s="64"/>
      <c r="T701" s="64"/>
      <c r="U701" s="64"/>
      <c r="V701" s="64"/>
      <c r="W701" s="64"/>
      <c r="X701" s="64"/>
      <c r="Y701" s="64"/>
    </row>
    <row r="702">
      <c r="A702" s="64"/>
      <c r="B702" s="64"/>
      <c r="C702" s="64"/>
      <c r="D702" s="64"/>
      <c r="E702" s="64"/>
      <c r="F702" s="64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64"/>
      <c r="S702" s="64"/>
      <c r="T702" s="64"/>
      <c r="U702" s="64"/>
      <c r="V702" s="64"/>
      <c r="W702" s="64"/>
      <c r="X702" s="64"/>
      <c r="Y702" s="64"/>
    </row>
    <row r="703">
      <c r="A703" s="64"/>
      <c r="B703" s="64"/>
      <c r="C703" s="64"/>
      <c r="D703" s="64"/>
      <c r="E703" s="64"/>
      <c r="F703" s="64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64"/>
      <c r="S703" s="64"/>
      <c r="T703" s="64"/>
      <c r="U703" s="64"/>
      <c r="V703" s="64"/>
      <c r="W703" s="64"/>
      <c r="X703" s="64"/>
      <c r="Y703" s="64"/>
    </row>
    <row r="704">
      <c r="A704" s="64"/>
      <c r="B704" s="64"/>
      <c r="C704" s="64"/>
      <c r="D704" s="64"/>
      <c r="E704" s="64"/>
      <c r="F704" s="64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64"/>
      <c r="S704" s="64"/>
      <c r="T704" s="64"/>
      <c r="U704" s="64"/>
      <c r="V704" s="64"/>
      <c r="W704" s="64"/>
      <c r="X704" s="64"/>
      <c r="Y704" s="64"/>
    </row>
    <row r="705">
      <c r="A705" s="64"/>
      <c r="B705" s="64"/>
      <c r="C705" s="64"/>
      <c r="D705" s="64"/>
      <c r="E705" s="64"/>
      <c r="F705" s="64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64"/>
      <c r="S705" s="64"/>
      <c r="T705" s="64"/>
      <c r="U705" s="64"/>
      <c r="V705" s="64"/>
      <c r="W705" s="64"/>
      <c r="X705" s="64"/>
      <c r="Y705" s="64"/>
    </row>
    <row r="706">
      <c r="A706" s="64"/>
      <c r="B706" s="64"/>
      <c r="C706" s="64"/>
      <c r="D706" s="64"/>
      <c r="E706" s="64"/>
      <c r="F706" s="64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64"/>
      <c r="S706" s="64"/>
      <c r="T706" s="64"/>
      <c r="U706" s="64"/>
      <c r="V706" s="64"/>
      <c r="W706" s="64"/>
      <c r="X706" s="64"/>
      <c r="Y706" s="64"/>
    </row>
    <row r="707">
      <c r="A707" s="64"/>
      <c r="B707" s="64"/>
      <c r="C707" s="64"/>
      <c r="D707" s="64"/>
      <c r="E707" s="64"/>
      <c r="F707" s="64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64"/>
      <c r="S707" s="64"/>
      <c r="T707" s="64"/>
      <c r="U707" s="64"/>
      <c r="V707" s="64"/>
      <c r="W707" s="64"/>
      <c r="X707" s="64"/>
      <c r="Y707" s="64"/>
    </row>
    <row r="708">
      <c r="A708" s="64"/>
      <c r="B708" s="64"/>
      <c r="C708" s="64"/>
      <c r="D708" s="64"/>
      <c r="E708" s="64"/>
      <c r="F708" s="64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64"/>
      <c r="S708" s="64"/>
      <c r="T708" s="64"/>
      <c r="U708" s="64"/>
      <c r="V708" s="64"/>
      <c r="W708" s="64"/>
      <c r="X708" s="64"/>
      <c r="Y708" s="64"/>
    </row>
    <row r="709">
      <c r="A709" s="64"/>
      <c r="B709" s="64"/>
      <c r="C709" s="64"/>
      <c r="D709" s="64"/>
      <c r="E709" s="64"/>
      <c r="F709" s="64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64"/>
      <c r="S709" s="64"/>
      <c r="T709" s="64"/>
      <c r="U709" s="64"/>
      <c r="V709" s="64"/>
      <c r="W709" s="64"/>
      <c r="X709" s="64"/>
      <c r="Y709" s="64"/>
    </row>
    <row r="710">
      <c r="A710" s="64"/>
      <c r="B710" s="64"/>
      <c r="C710" s="64"/>
      <c r="D710" s="64"/>
      <c r="E710" s="64"/>
      <c r="F710" s="64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64"/>
      <c r="S710" s="64"/>
      <c r="T710" s="64"/>
      <c r="U710" s="64"/>
      <c r="V710" s="64"/>
      <c r="W710" s="64"/>
      <c r="X710" s="64"/>
      <c r="Y710" s="64"/>
    </row>
    <row r="711">
      <c r="A711" s="64"/>
      <c r="B711" s="64"/>
      <c r="C711" s="64"/>
      <c r="D711" s="64"/>
      <c r="E711" s="64"/>
      <c r="F711" s="64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64"/>
      <c r="S711" s="64"/>
      <c r="T711" s="64"/>
      <c r="U711" s="64"/>
      <c r="V711" s="64"/>
      <c r="W711" s="64"/>
      <c r="X711" s="64"/>
      <c r="Y711" s="64"/>
    </row>
    <row r="712">
      <c r="A712" s="64"/>
      <c r="B712" s="64"/>
      <c r="C712" s="64"/>
      <c r="D712" s="64"/>
      <c r="E712" s="64"/>
      <c r="F712" s="64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64"/>
      <c r="S712" s="64"/>
      <c r="T712" s="64"/>
      <c r="U712" s="64"/>
      <c r="V712" s="64"/>
      <c r="W712" s="64"/>
      <c r="X712" s="64"/>
      <c r="Y712" s="64"/>
    </row>
    <row r="713">
      <c r="A713" s="64"/>
      <c r="B713" s="64"/>
      <c r="C713" s="64"/>
      <c r="D713" s="64"/>
      <c r="E713" s="64"/>
      <c r="F713" s="64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64"/>
      <c r="S713" s="64"/>
      <c r="T713" s="64"/>
      <c r="U713" s="64"/>
      <c r="V713" s="64"/>
      <c r="W713" s="64"/>
      <c r="X713" s="64"/>
      <c r="Y713" s="64"/>
    </row>
    <row r="714">
      <c r="A714" s="64"/>
      <c r="B714" s="64"/>
      <c r="C714" s="64"/>
      <c r="D714" s="64"/>
      <c r="E714" s="64"/>
      <c r="F714" s="64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64"/>
      <c r="S714" s="64"/>
      <c r="T714" s="64"/>
      <c r="U714" s="64"/>
      <c r="V714" s="64"/>
      <c r="W714" s="64"/>
      <c r="X714" s="64"/>
      <c r="Y714" s="64"/>
    </row>
    <row r="715">
      <c r="A715" s="64"/>
      <c r="B715" s="64"/>
      <c r="C715" s="64"/>
      <c r="D715" s="64"/>
      <c r="E715" s="64"/>
      <c r="F715" s="64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64"/>
      <c r="S715" s="64"/>
      <c r="T715" s="64"/>
      <c r="U715" s="64"/>
      <c r="V715" s="64"/>
      <c r="W715" s="64"/>
      <c r="X715" s="64"/>
      <c r="Y715" s="64"/>
    </row>
    <row r="716">
      <c r="A716" s="64"/>
      <c r="B716" s="64"/>
      <c r="C716" s="64"/>
      <c r="D716" s="64"/>
      <c r="E716" s="64"/>
      <c r="F716" s="64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64"/>
      <c r="S716" s="64"/>
      <c r="T716" s="64"/>
      <c r="U716" s="64"/>
      <c r="V716" s="64"/>
      <c r="W716" s="64"/>
      <c r="X716" s="64"/>
      <c r="Y716" s="64"/>
    </row>
    <row r="717">
      <c r="A717" s="64"/>
      <c r="B717" s="64"/>
      <c r="C717" s="64"/>
      <c r="D717" s="64"/>
      <c r="E717" s="64"/>
      <c r="F717" s="64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64"/>
      <c r="S717" s="64"/>
      <c r="T717" s="64"/>
      <c r="U717" s="64"/>
      <c r="V717" s="64"/>
      <c r="W717" s="64"/>
      <c r="X717" s="64"/>
      <c r="Y717" s="64"/>
    </row>
    <row r="718">
      <c r="A718" s="64"/>
      <c r="B718" s="64"/>
      <c r="C718" s="64"/>
      <c r="D718" s="64"/>
      <c r="E718" s="64"/>
      <c r="F718" s="64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64"/>
      <c r="S718" s="64"/>
      <c r="T718" s="64"/>
      <c r="U718" s="64"/>
      <c r="V718" s="64"/>
      <c r="W718" s="64"/>
      <c r="X718" s="64"/>
      <c r="Y718" s="64"/>
    </row>
    <row r="719">
      <c r="A719" s="64"/>
      <c r="B719" s="64"/>
      <c r="C719" s="64"/>
      <c r="D719" s="64"/>
      <c r="E719" s="64"/>
      <c r="F719" s="64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64"/>
      <c r="S719" s="64"/>
      <c r="T719" s="64"/>
      <c r="U719" s="64"/>
      <c r="V719" s="64"/>
      <c r="W719" s="64"/>
      <c r="X719" s="64"/>
      <c r="Y719" s="64"/>
    </row>
    <row r="720">
      <c r="A720" s="64"/>
      <c r="B720" s="64"/>
      <c r="C720" s="64"/>
      <c r="D720" s="64"/>
      <c r="E720" s="64"/>
      <c r="F720" s="64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64"/>
      <c r="S720" s="64"/>
      <c r="T720" s="64"/>
      <c r="U720" s="64"/>
      <c r="V720" s="64"/>
      <c r="W720" s="64"/>
      <c r="X720" s="64"/>
      <c r="Y720" s="64"/>
    </row>
    <row r="721">
      <c r="A721" s="64"/>
      <c r="B721" s="64"/>
      <c r="C721" s="64"/>
      <c r="D721" s="64"/>
      <c r="E721" s="64"/>
      <c r="F721" s="64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64"/>
      <c r="S721" s="64"/>
      <c r="T721" s="64"/>
      <c r="U721" s="64"/>
      <c r="V721" s="64"/>
      <c r="W721" s="64"/>
      <c r="X721" s="64"/>
      <c r="Y721" s="64"/>
    </row>
    <row r="722">
      <c r="A722" s="64"/>
      <c r="B722" s="64"/>
      <c r="C722" s="64"/>
      <c r="D722" s="64"/>
      <c r="E722" s="64"/>
      <c r="F722" s="64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64"/>
      <c r="S722" s="64"/>
      <c r="T722" s="64"/>
      <c r="U722" s="64"/>
      <c r="V722" s="64"/>
      <c r="W722" s="64"/>
      <c r="X722" s="64"/>
      <c r="Y722" s="64"/>
    </row>
    <row r="723">
      <c r="A723" s="64"/>
      <c r="B723" s="64"/>
      <c r="C723" s="64"/>
      <c r="D723" s="64"/>
      <c r="E723" s="64"/>
      <c r="F723" s="64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64"/>
      <c r="S723" s="64"/>
      <c r="T723" s="64"/>
      <c r="U723" s="64"/>
      <c r="V723" s="64"/>
      <c r="W723" s="64"/>
      <c r="X723" s="64"/>
      <c r="Y723" s="64"/>
    </row>
    <row r="724">
      <c r="A724" s="64"/>
      <c r="B724" s="64"/>
      <c r="C724" s="64"/>
      <c r="D724" s="64"/>
      <c r="E724" s="64"/>
      <c r="F724" s="64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64"/>
      <c r="S724" s="64"/>
      <c r="T724" s="64"/>
      <c r="U724" s="64"/>
      <c r="V724" s="64"/>
      <c r="W724" s="64"/>
      <c r="X724" s="64"/>
      <c r="Y724" s="64"/>
    </row>
    <row r="725">
      <c r="A725" s="64"/>
      <c r="B725" s="64"/>
      <c r="C725" s="64"/>
      <c r="D725" s="64"/>
      <c r="E725" s="64"/>
      <c r="F725" s="64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64"/>
      <c r="S725" s="64"/>
      <c r="T725" s="64"/>
      <c r="U725" s="64"/>
      <c r="V725" s="64"/>
      <c r="W725" s="64"/>
      <c r="X725" s="64"/>
      <c r="Y725" s="64"/>
    </row>
    <row r="726">
      <c r="A726" s="64"/>
      <c r="B726" s="64"/>
      <c r="C726" s="64"/>
      <c r="D726" s="64"/>
      <c r="E726" s="64"/>
      <c r="F726" s="64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64"/>
      <c r="S726" s="64"/>
      <c r="T726" s="64"/>
      <c r="U726" s="64"/>
      <c r="V726" s="64"/>
      <c r="W726" s="64"/>
      <c r="X726" s="64"/>
      <c r="Y726" s="64"/>
    </row>
  </sheetData>
  <dataValidations>
    <dataValidation type="list" allowBlank="1" sqref="C5:C15 C18:C31 C33:C48 C50:C55 C57:C63 C66:C79 C82:C91 C93">
      <formula1>Menu!$B$2:$B$16</formula1>
    </dataValidation>
    <dataValidation type="list" allowBlank="1" sqref="F5:F6 F8:F11 F13:F15 F18:F24 F28:F37 F39:F41 F44 F46:F48 F50 F53:F62 F64:F67 F82:F84 F86:F88">
      <formula1>Menu!$B$73:$B$84</formula1>
    </dataValidation>
    <dataValidation type="list" allowBlank="1" sqref="D5:D7 D9 D14 D18:D19 D21 D23:D27 D29 D34 D36:D38 D41:D42 D44:D45 D47:D49 D58 D62:D63 D67:D68 D85 D90:D91">
      <formula1>Menu!$B$19:$B$27</formula1>
    </dataValidation>
    <dataValidation type="list" allowBlank="1" sqref="H7:H11 H13:H15 H18:H22 H25:H68">
      <formula1>Menu!$A$1</formula1>
    </dataValidation>
    <dataValidation type="list" allowBlank="1" sqref="C32 C49 C64:C65 C92">
      <formula1>Menu!$B$2:$B$15</formula1>
    </dataValidation>
    <dataValidation type="list" allowBlank="1" sqref="D8 D10:D13 D15 D20 D22 D28 D30:D33 D35 D39:D40 D43 D46 D50:D55 D57 D59:D61 D64:D66 D82:D84 D86:D89 D92:D93">
      <formula1>Menu!$B$19:$B$26</formula1>
    </dataValidation>
    <dataValidation type="list" allowBlank="1" sqref="H23:H24">
      <formula1>#REF!</formula1>
    </dataValidation>
    <dataValidation type="list" allowBlank="1" sqref="E5:E15 E18:E55 E57:E68 E82:E93">
      <formula1>Menu!$B$36:$B$58</formula1>
    </dataValidation>
    <dataValidation type="list" allowBlank="1" sqref="F7 F12 F25:F27 F38 F42:F43 F45 F49 F51:F52 F63 F68 F85 F89:F91">
      <formula1>Menu!$B$73:$B$86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5.38"/>
    <col customWidth="1" min="3" max="3" width="15.25"/>
    <col customWidth="1" min="4" max="4" width="16.75"/>
    <col customWidth="1" min="5" max="5" width="18.38"/>
    <col customWidth="1" min="6" max="6" width="15.38"/>
    <col customWidth="1" min="7" max="7" width="25.5"/>
    <col customWidth="1" min="9" max="9" width="21.63"/>
  </cols>
  <sheetData>
    <row r="1" ht="30.0" customHeight="1">
      <c r="A1" s="1" t="s">
        <v>0</v>
      </c>
      <c r="B1" s="1"/>
      <c r="C1" s="1"/>
      <c r="D1" s="1"/>
      <c r="E1" s="1"/>
      <c r="F1" s="1"/>
      <c r="G1" s="5"/>
      <c r="H1" s="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2"/>
      <c r="W1" s="12"/>
      <c r="X1" s="12"/>
      <c r="Y1" s="12"/>
    </row>
    <row r="2" ht="30.0" customHeight="1">
      <c r="A2" s="15" t="s">
        <v>29</v>
      </c>
      <c r="B2" s="18"/>
      <c r="C2" s="18"/>
      <c r="D2" s="18"/>
      <c r="E2" s="1"/>
      <c r="F2" s="1"/>
      <c r="G2" s="5"/>
      <c r="H2" s="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2"/>
      <c r="W2" s="12"/>
      <c r="X2" s="12"/>
      <c r="Y2" s="12"/>
    </row>
    <row r="3" ht="30.0" customHeight="1">
      <c r="A3" s="137" t="s">
        <v>26</v>
      </c>
      <c r="B3" s="3"/>
      <c r="C3" s="3"/>
      <c r="D3" s="3"/>
      <c r="E3" s="3"/>
      <c r="F3" s="3"/>
      <c r="G3" s="5"/>
      <c r="H3" s="14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2"/>
      <c r="W3" s="12"/>
      <c r="X3" s="12"/>
      <c r="Y3" s="12"/>
    </row>
    <row r="4" ht="30.0" customHeight="1">
      <c r="A4" s="27" t="s">
        <v>34</v>
      </c>
      <c r="B4" s="3"/>
      <c r="C4" s="27" t="s">
        <v>38</v>
      </c>
      <c r="D4" s="29" t="s">
        <v>41</v>
      </c>
      <c r="E4" s="29" t="s">
        <v>44</v>
      </c>
      <c r="F4" s="137" t="s">
        <v>46</v>
      </c>
      <c r="G4" s="30"/>
      <c r="H4" s="30"/>
      <c r="I4" s="36" t="str">
        <f>IFERROR(__xludf.DUMMYFUNCTION("QUERY(A5:H119, ""Select C, count(A), H group by C, H order by H"")"),"")</f>
        <v/>
      </c>
      <c r="J4" s="39" t="str">
        <f>IFERROR(__xludf.DUMMYFUNCTION("""COMPUTED_VALUE"""),"count ")</f>
        <v>count </v>
      </c>
      <c r="K4" s="36" t="str">
        <f>IFERROR(__xludf.DUMMYFUNCTION("""COMPUTED_VALUE"""),"")</f>
        <v/>
      </c>
      <c r="L4" s="36" t="str">
        <f>IFERROR(__xludf.DUMMYFUNCTION("QUERY(A5:H119, ""Select D, count(A), H group by D, H order by H"")"),"")</f>
        <v/>
      </c>
      <c r="M4" s="36" t="str">
        <f>IFERROR(__xludf.DUMMYFUNCTION("""COMPUTED_VALUE"""),"count ")</f>
        <v>count </v>
      </c>
      <c r="N4" s="5" t="str">
        <f>IFERROR(__xludf.DUMMYFUNCTION("""COMPUTED_VALUE"""),"")</f>
        <v/>
      </c>
      <c r="O4" s="86"/>
      <c r="P4" s="5"/>
      <c r="Q4" s="142"/>
      <c r="R4" s="142"/>
      <c r="S4" s="142"/>
      <c r="T4" s="142"/>
      <c r="U4" s="142"/>
      <c r="V4" s="143"/>
      <c r="W4" s="143"/>
      <c r="X4" s="143"/>
      <c r="Y4" s="143"/>
    </row>
    <row r="5" ht="28.5" customHeight="1">
      <c r="A5" s="44" t="s">
        <v>53</v>
      </c>
      <c r="B5" s="87">
        <v>1.0</v>
      </c>
      <c r="C5" s="51" t="s">
        <v>20</v>
      </c>
      <c r="D5" s="51" t="s">
        <v>55</v>
      </c>
      <c r="E5" s="51" t="s">
        <v>65</v>
      </c>
      <c r="F5" s="51"/>
      <c r="G5" s="55" t="str">
        <f t="shared" ref="G5:G115" si="1"> CONCATENATE(E5," ", F5)</f>
        <v>Вар.Кар </v>
      </c>
      <c r="H5" s="57" t="s">
        <v>1</v>
      </c>
      <c r="I5" s="10"/>
      <c r="J5" s="10">
        <f>IFERROR(__xludf.DUMMYFUNCTION("""COMPUTED_VALUE"""),0.0)</f>
        <v>0</v>
      </c>
      <c r="K5" s="10"/>
      <c r="L5" s="10"/>
      <c r="M5" s="10">
        <f>IFERROR(__xludf.DUMMYFUNCTION("""COMPUTED_VALUE"""),0.0)</f>
        <v>0</v>
      </c>
      <c r="N5" s="10"/>
      <c r="O5" s="10"/>
      <c r="P5" s="10"/>
      <c r="Q5" s="10"/>
      <c r="R5" s="10"/>
      <c r="S5" s="10"/>
      <c r="T5" s="10"/>
      <c r="U5" s="10"/>
      <c r="V5" s="12"/>
      <c r="W5" s="12"/>
      <c r="X5" s="12"/>
      <c r="Y5" s="12"/>
    </row>
    <row r="6" ht="28.5" customHeight="1">
      <c r="A6" s="144" t="s">
        <v>417</v>
      </c>
      <c r="B6" s="87">
        <v>2.0</v>
      </c>
      <c r="C6" s="62" t="s">
        <v>35</v>
      </c>
      <c r="D6" s="51" t="s">
        <v>55</v>
      </c>
      <c r="E6" s="51" t="s">
        <v>71</v>
      </c>
      <c r="F6" s="51"/>
      <c r="G6" s="55" t="str">
        <f t="shared" si="1"/>
        <v>Бл. мясо </v>
      </c>
      <c r="H6" s="57" t="s">
        <v>1</v>
      </c>
      <c r="I6" s="10"/>
      <c r="J6" s="10">
        <f>IFERROR(__xludf.DUMMYFUNCTION("""COMPUTED_VALUE"""),1.0)</f>
        <v>1</v>
      </c>
      <c r="K6" s="10" t="str">
        <f>IFERROR(__xludf.DUMMYFUNCTION("""COMPUTED_VALUE"""),"Олимп")</f>
        <v>Олимп</v>
      </c>
      <c r="L6" s="10"/>
      <c r="M6" s="10">
        <f>IFERROR(__xludf.DUMMYFUNCTION("""COMPUTED_VALUE"""),2.0)</f>
        <v>2</v>
      </c>
      <c r="N6" s="10" t="str">
        <f>IFERROR(__xludf.DUMMYFUNCTION("""COMPUTED_VALUE"""),"Олимп")</f>
        <v>Олимп</v>
      </c>
      <c r="O6" s="10"/>
      <c r="P6" s="10"/>
      <c r="Q6" s="10"/>
      <c r="R6" s="10"/>
      <c r="S6" s="10"/>
      <c r="T6" s="10"/>
      <c r="U6" s="10"/>
      <c r="V6" s="12"/>
      <c r="W6" s="12"/>
      <c r="X6" s="12"/>
      <c r="Y6" s="12"/>
    </row>
    <row r="7" ht="28.5" customHeight="1">
      <c r="A7" s="3" t="s">
        <v>62</v>
      </c>
      <c r="B7" s="87">
        <v>3.0</v>
      </c>
      <c r="C7" s="51" t="s">
        <v>25</v>
      </c>
      <c r="D7" s="51" t="s">
        <v>52</v>
      </c>
      <c r="E7" s="51" t="s">
        <v>97</v>
      </c>
      <c r="F7" s="51" t="s">
        <v>68</v>
      </c>
      <c r="G7" s="55" t="str">
        <f t="shared" si="1"/>
        <v>Шницель Картошка</v>
      </c>
      <c r="H7" s="57" t="s">
        <v>1</v>
      </c>
      <c r="I7" s="10" t="str">
        <f>IFERROR(__xludf.DUMMYFUNCTION("""COMPUTED_VALUE"""),"Весна")</f>
        <v>Весна</v>
      </c>
      <c r="J7" s="10">
        <f>IFERROR(__xludf.DUMMYFUNCTION("""COMPUTED_VALUE"""),12.0)</f>
        <v>12</v>
      </c>
      <c r="K7" s="10" t="str">
        <f>IFERROR(__xludf.DUMMYFUNCTION("""COMPUTED_VALUE"""),"Олимп")</f>
        <v>Олимп</v>
      </c>
      <c r="L7" s="10" t="str">
        <f>IFERROR(__xludf.DUMMYFUNCTION("""COMPUTED_VALUE"""),"3.Б")</f>
        <v>3.Б</v>
      </c>
      <c r="M7" s="10">
        <f>IFERROR(__xludf.DUMMYFUNCTION("""COMPUTED_VALUE"""),8.0)</f>
        <v>8</v>
      </c>
      <c r="N7" s="10" t="str">
        <f>IFERROR(__xludf.DUMMYFUNCTION("""COMPUTED_VALUE"""),"Олимп")</f>
        <v>Олимп</v>
      </c>
      <c r="O7" s="10"/>
      <c r="P7" s="10"/>
      <c r="Q7" s="10"/>
      <c r="R7" s="10"/>
      <c r="S7" s="10"/>
      <c r="T7" s="10"/>
      <c r="U7" s="10"/>
      <c r="V7" s="12"/>
      <c r="W7" s="12"/>
      <c r="X7" s="12"/>
      <c r="Y7" s="12"/>
    </row>
    <row r="8" ht="28.5" customHeight="1">
      <c r="A8" s="145" t="s">
        <v>418</v>
      </c>
      <c r="B8" s="87">
        <v>4.0</v>
      </c>
      <c r="C8" s="51" t="s">
        <v>40</v>
      </c>
      <c r="D8" s="51" t="s">
        <v>50</v>
      </c>
      <c r="E8" s="51" t="s">
        <v>63</v>
      </c>
      <c r="F8" s="51" t="s">
        <v>103</v>
      </c>
      <c r="G8" s="55" t="str">
        <f t="shared" si="1"/>
        <v>Баса Гр  </v>
      </c>
      <c r="H8" s="57" t="s">
        <v>1</v>
      </c>
      <c r="I8" s="10" t="str">
        <f>IFERROR(__xludf.DUMMYFUNCTION("""COMPUTED_VALUE"""),"Вин")</f>
        <v>Вин</v>
      </c>
      <c r="J8" s="10">
        <f>IFERROR(__xludf.DUMMYFUNCTION("""COMPUTED_VALUE"""),20.0)</f>
        <v>20</v>
      </c>
      <c r="K8" s="10" t="str">
        <f>IFERROR(__xludf.DUMMYFUNCTION("""COMPUTED_VALUE"""),"Олимп")</f>
        <v>Олимп</v>
      </c>
      <c r="L8" s="10" t="str">
        <f>IFERROR(__xludf.DUMMYFUNCTION("""COMPUTED_VALUE"""),"Б ")</f>
        <v>Б </v>
      </c>
      <c r="M8" s="10">
        <f>IFERROR(__xludf.DUMMYFUNCTION("""COMPUTED_VALUE"""),29.0)</f>
        <v>29</v>
      </c>
      <c r="N8" s="10" t="str">
        <f>IFERROR(__xludf.DUMMYFUNCTION("""COMPUTED_VALUE"""),"Олимп")</f>
        <v>Олимп</v>
      </c>
      <c r="O8" s="10"/>
      <c r="P8" s="10"/>
      <c r="Q8" s="10"/>
      <c r="R8" s="10"/>
      <c r="S8" s="10"/>
      <c r="T8" s="10"/>
      <c r="U8" s="10"/>
      <c r="V8" s="12"/>
      <c r="W8" s="12"/>
      <c r="X8" s="12"/>
      <c r="Y8" s="12"/>
    </row>
    <row r="9" ht="30.0" customHeight="1">
      <c r="A9" s="44" t="s">
        <v>148</v>
      </c>
      <c r="B9" s="87">
        <v>5.0</v>
      </c>
      <c r="C9" s="51" t="s">
        <v>35</v>
      </c>
      <c r="D9" s="51" t="s">
        <v>52</v>
      </c>
      <c r="E9" s="51" t="s">
        <v>88</v>
      </c>
      <c r="F9" s="93" t="s">
        <v>111</v>
      </c>
      <c r="G9" s="55" t="str">
        <f t="shared" si="1"/>
        <v>Св. отбив   MP </v>
      </c>
      <c r="H9" s="57" t="s">
        <v>1</v>
      </c>
      <c r="I9" s="10" t="str">
        <f>IFERROR(__xludf.DUMMYFUNCTION("""COMPUTED_VALUE"""),"Днестр")</f>
        <v>Днестр</v>
      </c>
      <c r="J9" s="10">
        <f>IFERROR(__xludf.DUMMYFUNCTION("""COMPUTED_VALUE"""),11.0)</f>
        <v>11</v>
      </c>
      <c r="K9" s="10" t="str">
        <f>IFERROR(__xludf.DUMMYFUNCTION("""COMPUTED_VALUE"""),"Олимп")</f>
        <v>Олимп</v>
      </c>
      <c r="L9" s="10" t="str">
        <f>IFERROR(__xludf.DUMMYFUNCTION("""COMPUTED_VALUE"""),"Горох")</f>
        <v>Горох</v>
      </c>
      <c r="M9" s="10">
        <f>IFERROR(__xludf.DUMMYFUNCTION("""COMPUTED_VALUE"""),16.0)</f>
        <v>16</v>
      </c>
      <c r="N9" s="10" t="str">
        <f>IFERROR(__xludf.DUMMYFUNCTION("""COMPUTED_VALUE"""),"Олимп")</f>
        <v>Олимп</v>
      </c>
      <c r="O9" s="10"/>
      <c r="P9" s="10"/>
      <c r="Q9" s="10"/>
      <c r="R9" s="10"/>
      <c r="S9" s="10"/>
      <c r="T9" s="10"/>
      <c r="U9" s="10"/>
      <c r="V9" s="12"/>
      <c r="W9" s="12"/>
      <c r="X9" s="12"/>
      <c r="Y9" s="12"/>
    </row>
    <row r="10" ht="30.0" customHeight="1">
      <c r="A10" s="44" t="s">
        <v>426</v>
      </c>
      <c r="B10" s="87">
        <v>6.0</v>
      </c>
      <c r="C10" s="51" t="s">
        <v>33</v>
      </c>
      <c r="D10" s="51" t="s">
        <v>50</v>
      </c>
      <c r="E10" s="51" t="s">
        <v>91</v>
      </c>
      <c r="F10" s="51" t="s">
        <v>90</v>
      </c>
      <c r="G10" s="55" t="str">
        <f t="shared" si="1"/>
        <v>табака  Туш. кап.</v>
      </c>
      <c r="H10" s="57" t="s">
        <v>1</v>
      </c>
      <c r="I10" s="10" t="str">
        <f>IFERROR(__xludf.DUMMYFUNCTION("""COMPUTED_VALUE"""),"Ол ")</f>
        <v>Ол </v>
      </c>
      <c r="J10" s="10">
        <f>IFERROR(__xludf.DUMMYFUNCTION("""COMPUTED_VALUE"""),10.0)</f>
        <v>10</v>
      </c>
      <c r="K10" s="10" t="str">
        <f>IFERROR(__xludf.DUMMYFUNCTION("""COMPUTED_VALUE"""),"Олимп")</f>
        <v>Олимп</v>
      </c>
      <c r="L10" s="10" t="str">
        <f>IFERROR(__xludf.DUMMYFUNCTION("""COMPUTED_VALUE"""),"Гриб")</f>
        <v>Гриб</v>
      </c>
      <c r="M10" s="10">
        <f>IFERROR(__xludf.DUMMYFUNCTION("""COMPUTED_VALUE"""),14.0)</f>
        <v>14</v>
      </c>
      <c r="N10" s="10" t="str">
        <f>IFERROR(__xludf.DUMMYFUNCTION("""COMPUTED_VALUE"""),"Олимп")</f>
        <v>Олимп</v>
      </c>
      <c r="O10" s="10"/>
      <c r="P10" s="10"/>
      <c r="Q10" s="10"/>
      <c r="R10" s="10"/>
      <c r="S10" s="10"/>
      <c r="T10" s="10"/>
      <c r="U10" s="10"/>
      <c r="V10" s="12"/>
      <c r="W10" s="12"/>
      <c r="X10" s="12"/>
      <c r="Y10" s="12"/>
    </row>
    <row r="11" ht="30.0" customHeight="1">
      <c r="A11" s="44" t="s">
        <v>163</v>
      </c>
      <c r="B11" s="87">
        <v>7.0</v>
      </c>
      <c r="C11" s="51" t="s">
        <v>33</v>
      </c>
      <c r="D11" s="51" t="s">
        <v>52</v>
      </c>
      <c r="E11" s="51" t="s">
        <v>73</v>
      </c>
      <c r="F11" s="51"/>
      <c r="G11" s="55" t="str">
        <f t="shared" si="1"/>
        <v>Бл. твор </v>
      </c>
      <c r="H11" s="57" t="s">
        <v>1</v>
      </c>
      <c r="I11" s="10" t="str">
        <f>IFERROR(__xludf.DUMMYFUNCTION("""COMPUTED_VALUE"""),"Сало")</f>
        <v>Сало</v>
      </c>
      <c r="J11" s="10">
        <f>IFERROR(__xludf.DUMMYFUNCTION("""COMPUTED_VALUE"""),13.0)</f>
        <v>13</v>
      </c>
      <c r="K11" s="10" t="str">
        <f>IFERROR(__xludf.DUMMYFUNCTION("""COMPUTED_VALUE"""),"Олимп")</f>
        <v>Олимп</v>
      </c>
      <c r="L11" s="10" t="str">
        <f>IFERROR(__xludf.DUMMYFUNCTION("""COMPUTED_VALUE"""),"Кур ")</f>
        <v>Кур </v>
      </c>
      <c r="M11" s="10">
        <f>IFERROR(__xludf.DUMMYFUNCTION("""COMPUTED_VALUE"""),21.0)</f>
        <v>21</v>
      </c>
      <c r="N11" s="10" t="str">
        <f>IFERROR(__xludf.DUMMYFUNCTION("""COMPUTED_VALUE"""),"Олимп")</f>
        <v>Олимп</v>
      </c>
      <c r="O11" s="10"/>
      <c r="P11" s="10"/>
      <c r="Q11" s="10"/>
      <c r="R11" s="10"/>
      <c r="S11" s="10"/>
      <c r="T11" s="10"/>
      <c r="U11" s="10"/>
      <c r="V11" s="12"/>
      <c r="W11" s="12"/>
      <c r="X11" s="12"/>
      <c r="Y11" s="12"/>
    </row>
    <row r="12" ht="30.0" customHeight="1">
      <c r="A12" s="44" t="s">
        <v>166</v>
      </c>
      <c r="B12" s="87">
        <v>8.0</v>
      </c>
      <c r="C12" s="51" t="s">
        <v>35</v>
      </c>
      <c r="D12" s="51" t="s">
        <v>52</v>
      </c>
      <c r="E12" s="51" t="s">
        <v>67</v>
      </c>
      <c r="F12" s="51" t="s">
        <v>100</v>
      </c>
      <c r="G12" s="55" t="str">
        <f t="shared" si="1"/>
        <v>S   Паста  </v>
      </c>
      <c r="H12" s="57" t="s">
        <v>1</v>
      </c>
      <c r="I12" s="10" t="str">
        <f>IFERROR(__xludf.DUMMYFUNCTION("""COMPUTED_VALUE"""),"Свкл")</f>
        <v>Свкл</v>
      </c>
      <c r="J12" s="10">
        <f>IFERROR(__xludf.DUMMYFUNCTION("""COMPUTED_VALUE"""),16.0)</f>
        <v>16</v>
      </c>
      <c r="K12" s="10" t="str">
        <f>IFERROR(__xludf.DUMMYFUNCTION("""COMPUTED_VALUE"""),"Олимп")</f>
        <v>Олимп</v>
      </c>
      <c r="L12" s="10" t="str">
        <f>IFERROR(__xludf.DUMMYFUNCTION("""COMPUTED_VALUE"""),"Овощ")</f>
        <v>Овощ</v>
      </c>
      <c r="M12" s="10">
        <f>IFERROR(__xludf.DUMMYFUNCTION("""COMPUTED_VALUE"""),11.0)</f>
        <v>11</v>
      </c>
      <c r="N12" s="10" t="str">
        <f>IFERROR(__xludf.DUMMYFUNCTION("""COMPUTED_VALUE"""),"Олимп")</f>
        <v>Олимп</v>
      </c>
      <c r="O12" s="10"/>
      <c r="P12" s="10"/>
      <c r="Q12" s="10"/>
      <c r="R12" s="10"/>
      <c r="S12" s="10"/>
      <c r="T12" s="10"/>
      <c r="U12" s="10"/>
      <c r="V12" s="12"/>
      <c r="W12" s="12"/>
      <c r="X12" s="12"/>
      <c r="Y12" s="12"/>
    </row>
    <row r="13" ht="30.0" customHeight="1">
      <c r="A13" s="91" t="s">
        <v>169</v>
      </c>
      <c r="B13" s="87">
        <v>9.0</v>
      </c>
      <c r="C13" s="62" t="s">
        <v>35</v>
      </c>
      <c r="D13" s="51" t="s">
        <v>59</v>
      </c>
      <c r="E13" s="51" t="s">
        <v>91</v>
      </c>
      <c r="F13" s="51" t="s">
        <v>111</v>
      </c>
      <c r="G13" s="55" t="str">
        <f t="shared" si="1"/>
        <v>табака  MP </v>
      </c>
      <c r="H13" s="57" t="s">
        <v>1</v>
      </c>
      <c r="I13" s="10" t="str">
        <f>IFERROR(__xludf.DUMMYFUNCTION("""COMPUTED_VALUE"""),"Селедка")</f>
        <v>Селедка</v>
      </c>
      <c r="J13" s="10">
        <f>IFERROR(__xludf.DUMMYFUNCTION("""COMPUTED_VALUE"""),7.0)</f>
        <v>7</v>
      </c>
      <c r="K13" s="10" t="str">
        <f>IFERROR(__xludf.DUMMYFUNCTION("""COMPUTED_VALUE"""),"Олимп")</f>
        <v>Олимп</v>
      </c>
      <c r="L13" s="10" t="str">
        <f>IFERROR(__xludf.DUMMYFUNCTION("""COMPUTED_VALUE"""),"Харчо ")</f>
        <v>Харчо </v>
      </c>
      <c r="M13" s="10">
        <f>IFERROR(__xludf.DUMMYFUNCTION("""COMPUTED_VALUE"""),10.0)</f>
        <v>10</v>
      </c>
      <c r="N13" s="10" t="str">
        <f>IFERROR(__xludf.DUMMYFUNCTION("""COMPUTED_VALUE"""),"Олимп")</f>
        <v>Олимп</v>
      </c>
      <c r="O13" s="10"/>
      <c r="P13" s="10"/>
      <c r="Q13" s="10"/>
      <c r="R13" s="10"/>
      <c r="S13" s="10"/>
      <c r="T13" s="10"/>
      <c r="U13" s="10"/>
      <c r="V13" s="12"/>
      <c r="W13" s="12"/>
      <c r="X13" s="12"/>
      <c r="Y13" s="12"/>
    </row>
    <row r="14" ht="30.0" customHeight="1">
      <c r="A14" s="44" t="s">
        <v>440</v>
      </c>
      <c r="B14" s="87">
        <v>10.0</v>
      </c>
      <c r="C14" s="51" t="s">
        <v>28</v>
      </c>
      <c r="D14" s="51" t="s">
        <v>61</v>
      </c>
      <c r="E14" s="51" t="s">
        <v>67</v>
      </c>
      <c r="F14" s="51"/>
      <c r="G14" s="55" t="str">
        <f t="shared" si="1"/>
        <v>S   </v>
      </c>
      <c r="H14" s="57" t="s">
        <v>1</v>
      </c>
      <c r="I14" s="10" t="str">
        <f>IFERROR(__xludf.DUMMYFUNCTION("""COMPUTED_VALUE"""),"баклаж")</f>
        <v>баклаж</v>
      </c>
      <c r="J14" s="10">
        <f>IFERROR(__xludf.DUMMYFUNCTION("""COMPUTED_VALUE"""),13.0)</f>
        <v>13</v>
      </c>
      <c r="K14" s="10" t="str">
        <f>IFERROR(__xludf.DUMMYFUNCTION("""COMPUTED_VALUE"""),"Олимп")</f>
        <v>Олимп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2"/>
      <c r="W14" s="12"/>
      <c r="X14" s="12"/>
      <c r="Y14" s="12"/>
    </row>
    <row r="15" ht="30.0" customHeight="1">
      <c r="A15" s="91" t="s">
        <v>177</v>
      </c>
      <c r="B15" s="87">
        <v>11.0</v>
      </c>
      <c r="C15" s="51" t="s">
        <v>31</v>
      </c>
      <c r="D15" s="51" t="s">
        <v>57</v>
      </c>
      <c r="E15" s="51" t="s">
        <v>78</v>
      </c>
      <c r="F15" s="51"/>
      <c r="G15" s="55" t="str">
        <f t="shared" si="1"/>
        <v>Жульен </v>
      </c>
      <c r="H15" s="57" t="s">
        <v>1</v>
      </c>
      <c r="I15" s="10" t="str">
        <f>IFERROR(__xludf.DUMMYFUNCTION("""COMPUTED_VALUE"""),"капуста")</f>
        <v>капуста</v>
      </c>
      <c r="J15" s="10">
        <f>IFERROR(__xludf.DUMMYFUNCTION("""COMPUTED_VALUE"""),8.0)</f>
        <v>8</v>
      </c>
      <c r="K15" s="10" t="str">
        <f>IFERROR(__xludf.DUMMYFUNCTION("""COMPUTED_VALUE"""),"Олимп")</f>
        <v>Олимп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2"/>
      <c r="W15" s="12"/>
      <c r="X15" s="12"/>
      <c r="Y15" s="12"/>
    </row>
    <row r="16" ht="30.0" customHeight="1">
      <c r="A16" s="44" t="s">
        <v>101</v>
      </c>
      <c r="B16" s="87">
        <v>12.0</v>
      </c>
      <c r="C16" s="100" t="s">
        <v>25</v>
      </c>
      <c r="D16" s="51" t="s">
        <v>57</v>
      </c>
      <c r="E16" s="51" t="s">
        <v>80</v>
      </c>
      <c r="F16" s="51" t="s">
        <v>103</v>
      </c>
      <c r="G16" s="55" t="str">
        <f t="shared" si="1"/>
        <v>Котл. кур Гр  </v>
      </c>
      <c r="H16" s="57" t="s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2"/>
      <c r="W16" s="12"/>
      <c r="X16" s="12"/>
      <c r="Y16" s="12"/>
    </row>
    <row r="17" ht="30.0" customHeight="1">
      <c r="A17" s="91" t="s">
        <v>105</v>
      </c>
      <c r="B17" s="87">
        <v>13.0</v>
      </c>
      <c r="C17" s="51" t="s">
        <v>25</v>
      </c>
      <c r="D17" s="51" t="s">
        <v>50</v>
      </c>
      <c r="E17" s="51" t="s">
        <v>80</v>
      </c>
      <c r="F17" s="51"/>
      <c r="G17" s="55" t="str">
        <f t="shared" si="1"/>
        <v>Котл. кур </v>
      </c>
      <c r="H17" s="57" t="s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2"/>
      <c r="W17" s="12"/>
      <c r="X17" s="12"/>
      <c r="Y17" s="12"/>
    </row>
    <row r="18" ht="30.0" customHeight="1">
      <c r="A18" s="44" t="s">
        <v>107</v>
      </c>
      <c r="B18" s="87">
        <v>14.0</v>
      </c>
      <c r="C18" s="51" t="s">
        <v>35</v>
      </c>
      <c r="D18" s="51" t="s">
        <v>50</v>
      </c>
      <c r="E18" s="51" t="s">
        <v>63</v>
      </c>
      <c r="F18" s="51"/>
      <c r="G18" s="55" t="str">
        <f t="shared" si="1"/>
        <v>Баса </v>
      </c>
      <c r="H18" s="57" t="s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2"/>
      <c r="W18" s="12"/>
      <c r="X18" s="12"/>
      <c r="Y18" s="12"/>
    </row>
    <row r="19" ht="30.0" customHeight="1">
      <c r="A19" s="44" t="s">
        <v>96</v>
      </c>
      <c r="B19" s="87">
        <v>15.0</v>
      </c>
      <c r="C19" s="51" t="s">
        <v>16</v>
      </c>
      <c r="D19" s="51" t="s">
        <v>57</v>
      </c>
      <c r="E19" s="51" t="s">
        <v>83</v>
      </c>
      <c r="F19" s="51"/>
      <c r="G19" s="55" t="str">
        <f t="shared" si="1"/>
        <v>Пельмени </v>
      </c>
      <c r="H19" s="57" t="s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2"/>
      <c r="W19" s="12"/>
      <c r="X19" s="12"/>
      <c r="Y19" s="12"/>
    </row>
    <row r="20" ht="30.0" customHeight="1">
      <c r="A20" s="44" t="s">
        <v>118</v>
      </c>
      <c r="B20" s="87">
        <v>16.0</v>
      </c>
      <c r="C20" s="51" t="s">
        <v>40</v>
      </c>
      <c r="D20" s="51" t="s">
        <v>52</v>
      </c>
      <c r="E20" s="51" t="s">
        <v>80</v>
      </c>
      <c r="F20" s="51" t="s">
        <v>117</v>
      </c>
      <c r="G20" s="55" t="str">
        <f t="shared" si="1"/>
        <v>Котл. кур Фасоль</v>
      </c>
      <c r="H20" s="57" t="s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2"/>
      <c r="W20" s="12"/>
      <c r="X20" s="12"/>
      <c r="Y20" s="12"/>
    </row>
    <row r="21" ht="30.0" customHeight="1">
      <c r="A21" s="97" t="s">
        <v>185</v>
      </c>
      <c r="B21" s="87">
        <v>17.0</v>
      </c>
      <c r="C21" s="51" t="s">
        <v>45</v>
      </c>
      <c r="D21" s="51" t="s">
        <v>50</v>
      </c>
      <c r="E21" s="51" t="s">
        <v>77</v>
      </c>
      <c r="F21" s="51" t="s">
        <v>103</v>
      </c>
      <c r="G21" s="55" t="str">
        <f t="shared" si="1"/>
        <v>Дорадо Гр  </v>
      </c>
      <c r="H21" s="57" t="s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2"/>
      <c r="W21" s="12"/>
      <c r="X21" s="12"/>
      <c r="Y21" s="12"/>
    </row>
    <row r="22" ht="30.0" customHeight="1">
      <c r="A22" s="98" t="s">
        <v>191</v>
      </c>
      <c r="B22" s="87">
        <v>18.0</v>
      </c>
      <c r="C22" s="51" t="s">
        <v>20</v>
      </c>
      <c r="D22" s="51" t="s">
        <v>57</v>
      </c>
      <c r="E22" s="51" t="s">
        <v>97</v>
      </c>
      <c r="F22" s="51" t="s">
        <v>103</v>
      </c>
      <c r="G22" s="55" t="str">
        <f t="shared" si="1"/>
        <v>Шницель Гр  </v>
      </c>
      <c r="H22" s="57" t="s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2"/>
      <c r="W22" s="12"/>
      <c r="X22" s="12"/>
      <c r="Y22" s="12"/>
    </row>
    <row r="23" ht="30.0" customHeight="1">
      <c r="A23" s="44" t="s">
        <v>125</v>
      </c>
      <c r="B23" s="87">
        <v>19.0</v>
      </c>
      <c r="C23" s="100" t="s">
        <v>28</v>
      </c>
      <c r="D23" s="51" t="s">
        <v>57</v>
      </c>
      <c r="E23" s="51" t="s">
        <v>94</v>
      </c>
      <c r="F23" s="51" t="s">
        <v>90</v>
      </c>
      <c r="G23" s="55" t="str">
        <f t="shared" si="1"/>
        <v>Чалахач Туш. кап.</v>
      </c>
      <c r="H23" s="57" t="s">
        <v>1</v>
      </c>
      <c r="I23" s="3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2"/>
      <c r="W23" s="12"/>
      <c r="X23" s="12"/>
      <c r="Y23" s="12"/>
    </row>
    <row r="24" ht="30.0" customHeight="1">
      <c r="A24" s="44" t="s">
        <v>127</v>
      </c>
      <c r="B24" s="87">
        <v>20.0</v>
      </c>
      <c r="C24" s="51" t="s">
        <v>45</v>
      </c>
      <c r="D24" s="51" t="s">
        <v>50</v>
      </c>
      <c r="E24" s="51" t="s">
        <v>67</v>
      </c>
      <c r="F24" s="51" t="s">
        <v>90</v>
      </c>
      <c r="G24" s="55" t="str">
        <f t="shared" si="1"/>
        <v>S   Туш. кап.</v>
      </c>
      <c r="H24" s="57" t="s">
        <v>1</v>
      </c>
      <c r="I24" s="3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2"/>
      <c r="W24" s="12"/>
      <c r="X24" s="12"/>
      <c r="Y24" s="12"/>
    </row>
    <row r="25" ht="30.0" customHeight="1">
      <c r="A25" s="44" t="s">
        <v>129</v>
      </c>
      <c r="B25" s="87">
        <v>21.0</v>
      </c>
      <c r="C25" s="51" t="s">
        <v>16</v>
      </c>
      <c r="D25" s="51" t="s">
        <v>61</v>
      </c>
      <c r="E25" s="51" t="s">
        <v>97</v>
      </c>
      <c r="F25" s="51" t="s">
        <v>117</v>
      </c>
      <c r="G25" s="55" t="str">
        <f t="shared" si="1"/>
        <v>Шницель Фасоль</v>
      </c>
      <c r="H25" s="57" t="s">
        <v>1</v>
      </c>
      <c r="I25" s="36" t="str">
        <f>IFERROR(__xludf.DUMMYFUNCTION("QUERY(A5:H119, ""Select G, count(A), H group by G, H order by H"")"),"")</f>
        <v/>
      </c>
      <c r="J25" s="10" t="str">
        <f>IFERROR(__xludf.DUMMYFUNCTION("""COMPUTED_VALUE"""),"count ")</f>
        <v>count </v>
      </c>
      <c r="K25" s="10" t="str">
        <f>IFERROR(__xludf.DUMMYFUNCTION("""COMPUTED_VALUE"""),"")</f>
        <v/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2"/>
      <c r="W25" s="12"/>
      <c r="X25" s="12"/>
      <c r="Y25" s="12"/>
    </row>
    <row r="26" ht="30.0" customHeight="1">
      <c r="A26" s="44" t="s">
        <v>132</v>
      </c>
      <c r="B26" s="87">
        <v>22.0</v>
      </c>
      <c r="C26" s="62" t="s">
        <v>35</v>
      </c>
      <c r="D26" s="51" t="s">
        <v>50</v>
      </c>
      <c r="E26" s="51" t="s">
        <v>76</v>
      </c>
      <c r="F26" s="51" t="s">
        <v>103</v>
      </c>
      <c r="G26" s="55" t="str">
        <f t="shared" si="1"/>
        <v>Гуляш Гр  </v>
      </c>
      <c r="H26" s="57" t="s">
        <v>1</v>
      </c>
      <c r="I26" s="10"/>
      <c r="J26" s="10">
        <f>IFERROR(__xludf.DUMMYFUNCTION("""COMPUTED_VALUE"""),0.0)</f>
        <v>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2"/>
      <c r="W26" s="12"/>
      <c r="X26" s="12"/>
      <c r="Y26" s="12"/>
    </row>
    <row r="27" ht="30.0" customHeight="1">
      <c r="A27" s="44" t="s">
        <v>208</v>
      </c>
      <c r="B27" s="87">
        <v>23.0</v>
      </c>
      <c r="C27" s="51" t="s">
        <v>28</v>
      </c>
      <c r="D27" s="51" t="s">
        <v>57</v>
      </c>
      <c r="E27" s="51" t="s">
        <v>97</v>
      </c>
      <c r="F27" s="51"/>
      <c r="G27" s="55" t="str">
        <f t="shared" si="1"/>
        <v>Шницель </v>
      </c>
      <c r="H27" s="57" t="s">
        <v>1</v>
      </c>
      <c r="I27" s="10" t="str">
        <f>IFERROR(__xludf.DUMMYFUNCTION("""COMPUTED_VALUE"""),"S   ")</f>
        <v>S   </v>
      </c>
      <c r="J27" s="10">
        <f>IFERROR(__xludf.DUMMYFUNCTION("""COMPUTED_VALUE"""),3.0)</f>
        <v>3</v>
      </c>
      <c r="K27" s="10" t="str">
        <f>IFERROR(__xludf.DUMMYFUNCTION("""COMPUTED_VALUE"""),"Олимп")</f>
        <v>Олимп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2"/>
      <c r="W27" s="12"/>
      <c r="X27" s="12"/>
      <c r="Y27" s="12"/>
    </row>
    <row r="28" ht="30.0" customHeight="1">
      <c r="A28" s="44" t="s">
        <v>441</v>
      </c>
      <c r="B28" s="87">
        <v>24.0</v>
      </c>
      <c r="C28" s="51" t="s">
        <v>33</v>
      </c>
      <c r="D28" s="51" t="s">
        <v>55</v>
      </c>
      <c r="E28" s="51" t="s">
        <v>78</v>
      </c>
      <c r="F28" s="51" t="s">
        <v>90</v>
      </c>
      <c r="G28" s="55" t="str">
        <f t="shared" si="1"/>
        <v>Жульен Туш. кап.</v>
      </c>
      <c r="H28" s="57" t="s">
        <v>1</v>
      </c>
      <c r="I28" s="10" t="str">
        <f>IFERROR(__xludf.DUMMYFUNCTION("""COMPUTED_VALUE"""),"S   MP ")</f>
        <v>S   MP </v>
      </c>
      <c r="J28" s="10">
        <f>IFERROR(__xludf.DUMMYFUNCTION("""COMPUTED_VALUE"""),4.0)</f>
        <v>4</v>
      </c>
      <c r="K28" s="10" t="str">
        <f>IFERROR(__xludf.DUMMYFUNCTION("""COMPUTED_VALUE"""),"Олимп")</f>
        <v>Олимп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2"/>
      <c r="W28" s="12"/>
      <c r="X28" s="12"/>
      <c r="Y28" s="12"/>
    </row>
    <row r="29" ht="30.0" customHeight="1">
      <c r="A29" s="44" t="s">
        <v>399</v>
      </c>
      <c r="B29" s="87">
        <v>25.0</v>
      </c>
      <c r="C29" s="51" t="s">
        <v>35</v>
      </c>
      <c r="D29" s="51" t="s">
        <v>52</v>
      </c>
      <c r="E29" s="51" t="s">
        <v>88</v>
      </c>
      <c r="F29" s="51" t="s">
        <v>68</v>
      </c>
      <c r="G29" s="104" t="str">
        <f t="shared" si="1"/>
        <v>Св. отбив   Картошка</v>
      </c>
      <c r="H29" s="104" t="s">
        <v>1</v>
      </c>
      <c r="I29" s="10" t="str">
        <f>IFERROR(__xludf.DUMMYFUNCTION("""COMPUTED_VALUE"""),"S   Гр  ")</f>
        <v>S   Гр  </v>
      </c>
      <c r="J29" s="10">
        <f>IFERROR(__xludf.DUMMYFUNCTION("""COMPUTED_VALUE"""),6.0)</f>
        <v>6</v>
      </c>
      <c r="K29" s="10" t="str">
        <f>IFERROR(__xludf.DUMMYFUNCTION("""COMPUTED_VALUE"""),"Олимп")</f>
        <v>Олимп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2"/>
      <c r="W29" s="12"/>
      <c r="X29" s="12"/>
      <c r="Y29" s="12"/>
    </row>
    <row r="30" ht="30.0" customHeight="1">
      <c r="A30" s="91" t="s">
        <v>136</v>
      </c>
      <c r="B30" s="87">
        <v>26.0</v>
      </c>
      <c r="C30" s="51" t="s">
        <v>33</v>
      </c>
      <c r="D30" s="51" t="s">
        <v>50</v>
      </c>
      <c r="E30" s="51" t="s">
        <v>91</v>
      </c>
      <c r="F30" s="51" t="s">
        <v>100</v>
      </c>
      <c r="G30" s="55" t="str">
        <f t="shared" si="1"/>
        <v>табака  Паста  </v>
      </c>
      <c r="H30" s="57" t="s">
        <v>1</v>
      </c>
      <c r="I30" s="10" t="str">
        <f>IFERROR(__xludf.DUMMYFUNCTION("""COMPUTED_VALUE"""),"S   Картошка")</f>
        <v>S   Картошка</v>
      </c>
      <c r="J30" s="10">
        <f>IFERROR(__xludf.DUMMYFUNCTION("""COMPUTED_VALUE"""),3.0)</f>
        <v>3</v>
      </c>
      <c r="K30" s="10" t="str">
        <f>IFERROR(__xludf.DUMMYFUNCTION("""COMPUTED_VALUE"""),"Олимп")</f>
        <v>Олимп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2"/>
      <c r="W30" s="12"/>
      <c r="X30" s="12"/>
      <c r="Y30" s="12"/>
    </row>
    <row r="31" ht="30.0" customHeight="1">
      <c r="A31" s="77" t="s">
        <v>143</v>
      </c>
      <c r="B31" s="87">
        <v>27.0</v>
      </c>
      <c r="C31" s="51" t="s">
        <v>20</v>
      </c>
      <c r="D31" s="62" t="s">
        <v>50</v>
      </c>
      <c r="E31" s="51" t="s">
        <v>73</v>
      </c>
      <c r="F31" s="51"/>
      <c r="G31" s="55" t="str">
        <f t="shared" si="1"/>
        <v>Бл. твор </v>
      </c>
      <c r="H31" s="57" t="s">
        <v>1</v>
      </c>
      <c r="I31" s="10" t="str">
        <f>IFERROR(__xludf.DUMMYFUNCTION("""COMPUTED_VALUE"""),"S   Паста  ")</f>
        <v>S   Паста  </v>
      </c>
      <c r="J31" s="10">
        <f>IFERROR(__xludf.DUMMYFUNCTION("""COMPUTED_VALUE"""),1.0)</f>
        <v>1</v>
      </c>
      <c r="K31" s="10" t="str">
        <f>IFERROR(__xludf.DUMMYFUNCTION("""COMPUTED_VALUE"""),"Олимп")</f>
        <v>Олимп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2"/>
      <c r="W31" s="12"/>
      <c r="X31" s="12"/>
      <c r="Y31" s="12"/>
    </row>
    <row r="32" ht="30.0" customHeight="1">
      <c r="A32" s="77" t="s">
        <v>145</v>
      </c>
      <c r="B32" s="87">
        <v>28.0</v>
      </c>
      <c r="C32" s="51" t="s">
        <v>40</v>
      </c>
      <c r="D32" s="51" t="s">
        <v>57</v>
      </c>
      <c r="E32" s="51" t="s">
        <v>75</v>
      </c>
      <c r="F32" s="51" t="s">
        <v>111</v>
      </c>
      <c r="G32" s="55" t="str">
        <f t="shared" si="1"/>
        <v>Голубцы MP </v>
      </c>
      <c r="H32" s="57" t="s">
        <v>1</v>
      </c>
      <c r="I32" s="10" t="str">
        <f>IFERROR(__xludf.DUMMYFUNCTION("""COMPUTED_VALUE"""),"S   Туш. кап.")</f>
        <v>S   Туш. кап.</v>
      </c>
      <c r="J32" s="10">
        <f>IFERROR(__xludf.DUMMYFUNCTION("""COMPUTED_VALUE"""),6.0)</f>
        <v>6</v>
      </c>
      <c r="K32" s="10" t="str">
        <f>IFERROR(__xludf.DUMMYFUNCTION("""COMPUTED_VALUE"""),"Олимп")</f>
        <v>Олимп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2"/>
      <c r="W32" s="12"/>
      <c r="X32" s="12"/>
      <c r="Y32" s="12"/>
    </row>
    <row r="33" ht="30.0" customHeight="1">
      <c r="A33" s="77" t="s">
        <v>122</v>
      </c>
      <c r="B33" s="87">
        <v>29.0</v>
      </c>
      <c r="C33" s="51" t="s">
        <v>33</v>
      </c>
      <c r="D33" s="51" t="s">
        <v>59</v>
      </c>
      <c r="E33" s="51" t="s">
        <v>94</v>
      </c>
      <c r="F33" s="51" t="s">
        <v>64</v>
      </c>
      <c r="G33" s="55" t="str">
        <f t="shared" si="1"/>
        <v>Чалахач  FF</v>
      </c>
      <c r="H33" s="57" t="s">
        <v>1</v>
      </c>
      <c r="I33" s="10" t="str">
        <f>IFERROR(__xludf.DUMMYFUNCTION("""COMPUTED_VALUE"""),"S   Фасоль")</f>
        <v>S   Фасоль</v>
      </c>
      <c r="J33" s="10">
        <f>IFERROR(__xludf.DUMMYFUNCTION("""COMPUTED_VALUE"""),3.0)</f>
        <v>3</v>
      </c>
      <c r="K33" s="10" t="str">
        <f>IFERROR(__xludf.DUMMYFUNCTION("""COMPUTED_VALUE"""),"Олимп")</f>
        <v>Олимп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2"/>
      <c r="W33" s="12"/>
      <c r="X33" s="12"/>
      <c r="Y33" s="12"/>
    </row>
    <row r="34" ht="30.0" customHeight="1">
      <c r="A34" s="3" t="s">
        <v>224</v>
      </c>
      <c r="B34" s="87">
        <v>30.0</v>
      </c>
      <c r="C34" s="51" t="s">
        <v>25</v>
      </c>
      <c r="D34" s="51" t="s">
        <v>50</v>
      </c>
      <c r="E34" s="51" t="s">
        <v>67</v>
      </c>
      <c r="F34" s="51" t="s">
        <v>111</v>
      </c>
      <c r="G34" s="55" t="str">
        <f t="shared" si="1"/>
        <v>S   MP </v>
      </c>
      <c r="H34" s="57" t="s">
        <v>1</v>
      </c>
      <c r="I34" s="10" t="str">
        <f>IFERROR(__xludf.DUMMYFUNCTION("""COMPUTED_VALUE"""),"Баса ")</f>
        <v>Баса </v>
      </c>
      <c r="J34" s="10">
        <f>IFERROR(__xludf.DUMMYFUNCTION("""COMPUTED_VALUE"""),1.0)</f>
        <v>1</v>
      </c>
      <c r="K34" s="10" t="str">
        <f>IFERROR(__xludf.DUMMYFUNCTION("""COMPUTED_VALUE"""),"Олимп")</f>
        <v>Олимп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2"/>
      <c r="W34" s="12"/>
      <c r="X34" s="12"/>
      <c r="Y34" s="12"/>
    </row>
    <row r="35" ht="30.0" customHeight="1">
      <c r="A35" s="77" t="s">
        <v>231</v>
      </c>
      <c r="B35" s="87">
        <v>31.0</v>
      </c>
      <c r="C35" s="51" t="s">
        <v>25</v>
      </c>
      <c r="D35" s="51" t="s">
        <v>48</v>
      </c>
      <c r="E35" s="51" t="s">
        <v>97</v>
      </c>
      <c r="F35" s="51" t="s">
        <v>90</v>
      </c>
      <c r="G35" s="55" t="str">
        <f t="shared" si="1"/>
        <v>Шницель Туш. кап.</v>
      </c>
      <c r="H35" s="57" t="s">
        <v>1</v>
      </c>
      <c r="I35" s="10" t="str">
        <f>IFERROR(__xludf.DUMMYFUNCTION("""COMPUTED_VALUE"""),"Баса Гр  ")</f>
        <v>Баса Гр  </v>
      </c>
      <c r="J35" s="10">
        <f>IFERROR(__xludf.DUMMYFUNCTION("""COMPUTED_VALUE"""),1.0)</f>
        <v>1</v>
      </c>
      <c r="K35" s="10" t="str">
        <f>IFERROR(__xludf.DUMMYFUNCTION("""COMPUTED_VALUE"""),"Олимп")</f>
        <v>Олимп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2"/>
      <c r="W35" s="12"/>
      <c r="X35" s="12"/>
      <c r="Y35" s="12"/>
    </row>
    <row r="36" ht="30.0" customHeight="1">
      <c r="A36" s="3" t="s">
        <v>150</v>
      </c>
      <c r="B36" s="87">
        <v>32.0</v>
      </c>
      <c r="C36" s="51" t="s">
        <v>25</v>
      </c>
      <c r="D36" s="51" t="s">
        <v>50</v>
      </c>
      <c r="E36" s="51" t="s">
        <v>94</v>
      </c>
      <c r="F36" s="51" t="s">
        <v>90</v>
      </c>
      <c r="G36" s="55" t="str">
        <f t="shared" si="1"/>
        <v>Чалахач Туш. кап.</v>
      </c>
      <c r="H36" s="57" t="s">
        <v>1</v>
      </c>
      <c r="I36" s="10" t="str">
        <f>IFERROR(__xludf.DUMMYFUNCTION("""COMPUTED_VALUE"""),"Баса Картошка")</f>
        <v>Баса Картошка</v>
      </c>
      <c r="J36" s="10">
        <f>IFERROR(__xludf.DUMMYFUNCTION("""COMPUTED_VALUE"""),1.0)</f>
        <v>1</v>
      </c>
      <c r="K36" s="10" t="str">
        <f>IFERROR(__xludf.DUMMYFUNCTION("""COMPUTED_VALUE"""),"Олимп")</f>
        <v>Олимп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2"/>
      <c r="W36" s="12"/>
      <c r="X36" s="12"/>
      <c r="Y36" s="12"/>
    </row>
    <row r="37" ht="30.0" customHeight="1">
      <c r="A37" s="3" t="s">
        <v>153</v>
      </c>
      <c r="B37" s="87">
        <v>33.0</v>
      </c>
      <c r="C37" s="51" t="s">
        <v>25</v>
      </c>
      <c r="D37" s="51" t="s">
        <v>50</v>
      </c>
      <c r="E37" s="51" t="s">
        <v>73</v>
      </c>
      <c r="F37" s="12"/>
      <c r="G37" s="55" t="str">
        <f t="shared" si="1"/>
        <v>Бл. твор </v>
      </c>
      <c r="H37" s="57" t="s">
        <v>1</v>
      </c>
      <c r="I37" s="10" t="str">
        <f>IFERROR(__xludf.DUMMYFUNCTION("""COMPUTED_VALUE"""),"Баса Туш. кап.")</f>
        <v>Баса Туш. кап.</v>
      </c>
      <c r="J37" s="10">
        <f>IFERROR(__xludf.DUMMYFUNCTION("""COMPUTED_VALUE"""),2.0)</f>
        <v>2</v>
      </c>
      <c r="K37" s="10" t="str">
        <f>IFERROR(__xludf.DUMMYFUNCTION("""COMPUTED_VALUE"""),"Олимп")</f>
        <v>Олимп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2"/>
      <c r="W37" s="12"/>
      <c r="X37" s="12"/>
      <c r="Y37" s="12"/>
    </row>
    <row r="38" ht="30.0" customHeight="1">
      <c r="A38" s="44" t="s">
        <v>151</v>
      </c>
      <c r="B38" s="87">
        <v>34.0</v>
      </c>
      <c r="C38" s="51" t="s">
        <v>25</v>
      </c>
      <c r="D38" s="51" t="s">
        <v>57</v>
      </c>
      <c r="E38" s="51" t="s">
        <v>88</v>
      </c>
      <c r="F38" s="51" t="s">
        <v>90</v>
      </c>
      <c r="G38" s="55" t="str">
        <f t="shared" si="1"/>
        <v>Св. отбив   Туш. кап.</v>
      </c>
      <c r="H38" s="57" t="s">
        <v>1</v>
      </c>
      <c r="I38" s="10" t="str">
        <f>IFERROR(__xludf.DUMMYFUNCTION("""COMPUTED_VALUE"""),"Бл. мясо ")</f>
        <v>Бл. мясо </v>
      </c>
      <c r="J38" s="10">
        <f>IFERROR(__xludf.DUMMYFUNCTION("""COMPUTED_VALUE"""),4.0)</f>
        <v>4</v>
      </c>
      <c r="K38" s="10" t="str">
        <f>IFERROR(__xludf.DUMMYFUNCTION("""COMPUTED_VALUE"""),"Олимп")</f>
        <v>Олимп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2"/>
      <c r="W38" s="12"/>
      <c r="X38" s="12"/>
      <c r="Y38" s="12"/>
    </row>
    <row r="39" ht="30.0" customHeight="1">
      <c r="A39" s="3" t="s">
        <v>155</v>
      </c>
      <c r="B39" s="87">
        <v>35.0</v>
      </c>
      <c r="C39" s="51"/>
      <c r="D39" s="62" t="s">
        <v>50</v>
      </c>
      <c r="E39" s="51" t="s">
        <v>83</v>
      </c>
      <c r="F39" s="62"/>
      <c r="G39" s="55" t="str">
        <f t="shared" si="1"/>
        <v>Пельмени </v>
      </c>
      <c r="H39" s="57" t="s">
        <v>1</v>
      </c>
      <c r="I39" s="68" t="str">
        <f>IFERROR(__xludf.DUMMYFUNCTION("""COMPUTED_VALUE"""),"Бл. мясо Туш. кап.")</f>
        <v>Бл. мясо Туш. кап.</v>
      </c>
      <c r="J39" s="68">
        <f>IFERROR(__xludf.DUMMYFUNCTION("""COMPUTED_VALUE"""),1.0)</f>
        <v>1</v>
      </c>
      <c r="K39" s="68" t="str">
        <f>IFERROR(__xludf.DUMMYFUNCTION("""COMPUTED_VALUE"""),"Олимп")</f>
        <v>Олимп</v>
      </c>
      <c r="L39" s="68"/>
      <c r="M39" s="68"/>
      <c r="N39" s="68"/>
      <c r="O39" s="68"/>
      <c r="P39" s="68"/>
      <c r="Q39" s="68"/>
      <c r="R39" s="106"/>
      <c r="S39" s="68"/>
      <c r="T39" s="68"/>
      <c r="U39" s="68"/>
      <c r="V39" s="68"/>
      <c r="W39" s="68"/>
      <c r="X39" s="68"/>
      <c r="Y39" s="68"/>
    </row>
    <row r="40" ht="30.0" customHeight="1">
      <c r="A40" s="44" t="s">
        <v>158</v>
      </c>
      <c r="B40" s="87">
        <v>36.0</v>
      </c>
      <c r="C40" s="51" t="s">
        <v>28</v>
      </c>
      <c r="D40" s="62" t="s">
        <v>48</v>
      </c>
      <c r="E40" s="51" t="s">
        <v>85</v>
      </c>
      <c r="F40" s="62"/>
      <c r="G40" s="55" t="str">
        <f t="shared" si="1"/>
        <v>Поперечка </v>
      </c>
      <c r="H40" s="57" t="s">
        <v>1</v>
      </c>
      <c r="I40" s="68" t="str">
        <f>IFERROR(__xludf.DUMMYFUNCTION("""COMPUTED_VALUE"""),"Бл. твор ")</f>
        <v>Бл. твор </v>
      </c>
      <c r="J40" s="68">
        <f>IFERROR(__xludf.DUMMYFUNCTION("""COMPUTED_VALUE"""),6.0)</f>
        <v>6</v>
      </c>
      <c r="K40" s="68" t="str">
        <f>IFERROR(__xludf.DUMMYFUNCTION("""COMPUTED_VALUE"""),"Олимп")</f>
        <v>Олимп</v>
      </c>
      <c r="L40" s="68"/>
      <c r="M40" s="68"/>
      <c r="N40" s="68"/>
      <c r="O40" s="68"/>
      <c r="P40" s="68"/>
      <c r="Q40" s="68"/>
      <c r="R40" s="106"/>
      <c r="S40" s="68"/>
      <c r="T40" s="68"/>
      <c r="U40" s="68"/>
      <c r="V40" s="68"/>
      <c r="W40" s="68"/>
      <c r="X40" s="68"/>
      <c r="Y40" s="68"/>
    </row>
    <row r="41" ht="30.0" customHeight="1">
      <c r="A41" s="81" t="s">
        <v>442</v>
      </c>
      <c r="B41" s="87">
        <v>37.0</v>
      </c>
      <c r="C41" s="51" t="s">
        <v>33</v>
      </c>
      <c r="D41" s="51" t="s">
        <v>52</v>
      </c>
      <c r="E41" s="51" t="s">
        <v>67</v>
      </c>
      <c r="F41" s="51" t="s">
        <v>117</v>
      </c>
      <c r="G41" s="55" t="str">
        <f t="shared" si="1"/>
        <v>S   Фасоль</v>
      </c>
      <c r="H41" s="57" t="s">
        <v>1</v>
      </c>
      <c r="I41" s="10" t="str">
        <f>IFERROR(__xludf.DUMMYFUNCTION("""COMPUTED_VALUE"""),"Вар.Кар ")</f>
        <v>Вар.Кар </v>
      </c>
      <c r="J41" s="10">
        <f>IFERROR(__xludf.DUMMYFUNCTION("""COMPUTED_VALUE"""),5.0)</f>
        <v>5</v>
      </c>
      <c r="K41" s="10" t="str">
        <f>IFERROR(__xludf.DUMMYFUNCTION("""COMPUTED_VALUE"""),"Олимп")</f>
        <v>Олимп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2"/>
      <c r="W41" s="12"/>
      <c r="X41" s="12"/>
      <c r="Y41" s="12"/>
    </row>
    <row r="42" ht="30.0" customHeight="1">
      <c r="A42" s="81" t="s">
        <v>443</v>
      </c>
      <c r="B42" s="87">
        <v>38.0</v>
      </c>
      <c r="C42" s="51" t="s">
        <v>35</v>
      </c>
      <c r="D42" s="51" t="s">
        <v>50</v>
      </c>
      <c r="E42" s="51" t="s">
        <v>94</v>
      </c>
      <c r="F42" s="62" t="s">
        <v>111</v>
      </c>
      <c r="G42" s="55" t="str">
        <f t="shared" si="1"/>
        <v>Чалахач MP </v>
      </c>
      <c r="H42" s="57" t="s">
        <v>1</v>
      </c>
      <c r="I42" s="10" t="str">
        <f>IFERROR(__xludf.DUMMYFUNCTION("""COMPUTED_VALUE"""),"Голубцы ")</f>
        <v>Голубцы </v>
      </c>
      <c r="J42" s="10">
        <f>IFERROR(__xludf.DUMMYFUNCTION("""COMPUTED_VALUE"""),2.0)</f>
        <v>2</v>
      </c>
      <c r="K42" s="10" t="str">
        <f>IFERROR(__xludf.DUMMYFUNCTION("""COMPUTED_VALUE"""),"Олимп")</f>
        <v>Олимп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2"/>
      <c r="W42" s="12"/>
      <c r="X42" s="12"/>
      <c r="Y42" s="12"/>
    </row>
    <row r="43" ht="30.0" customHeight="1">
      <c r="A43" s="91" t="s">
        <v>168</v>
      </c>
      <c r="B43" s="87">
        <v>39.0</v>
      </c>
      <c r="C43" s="51" t="s">
        <v>40</v>
      </c>
      <c r="D43" s="51" t="s">
        <v>61</v>
      </c>
      <c r="E43" s="51" t="s">
        <v>94</v>
      </c>
      <c r="F43" s="62" t="s">
        <v>103</v>
      </c>
      <c r="G43" s="55" t="str">
        <f t="shared" si="1"/>
        <v>Чалахач Гр  </v>
      </c>
      <c r="H43" s="57" t="s">
        <v>1</v>
      </c>
      <c r="I43" s="10" t="str">
        <f>IFERROR(__xludf.DUMMYFUNCTION("""COMPUTED_VALUE"""),"Голубцы MP ")</f>
        <v>Голубцы MP </v>
      </c>
      <c r="J43" s="10">
        <f>IFERROR(__xludf.DUMMYFUNCTION("""COMPUTED_VALUE"""),1.0)</f>
        <v>1</v>
      </c>
      <c r="K43" s="10" t="str">
        <f>IFERROR(__xludf.DUMMYFUNCTION("""COMPUTED_VALUE"""),"Олимп")</f>
        <v>Олимп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2"/>
      <c r="W43" s="12"/>
      <c r="X43" s="12"/>
      <c r="Y43" s="12"/>
    </row>
    <row r="44" ht="30.0" customHeight="1">
      <c r="A44" s="3" t="s">
        <v>403</v>
      </c>
      <c r="B44" s="87">
        <v>40.0</v>
      </c>
      <c r="C44" s="51" t="s">
        <v>40</v>
      </c>
      <c r="D44" s="51" t="s">
        <v>50</v>
      </c>
      <c r="E44" s="51" t="s">
        <v>80</v>
      </c>
      <c r="F44" s="51"/>
      <c r="G44" s="55" t="str">
        <f t="shared" si="1"/>
        <v>Котл. кур </v>
      </c>
      <c r="H44" s="57" t="s">
        <v>1</v>
      </c>
      <c r="I44" s="10" t="str">
        <f>IFERROR(__xludf.DUMMYFUNCTION("""COMPUTED_VALUE"""),"Голубцы Картошка")</f>
        <v>Голубцы Картошка</v>
      </c>
      <c r="J44" s="10">
        <f>IFERROR(__xludf.DUMMYFUNCTION("""COMPUTED_VALUE"""),1.0)</f>
        <v>1</v>
      </c>
      <c r="K44" s="10" t="str">
        <f>IFERROR(__xludf.DUMMYFUNCTION("""COMPUTED_VALUE"""),"Олимп")</f>
        <v>Олимп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2"/>
      <c r="W44" s="12"/>
      <c r="X44" s="12"/>
      <c r="Y44" s="12"/>
    </row>
    <row r="45" ht="30.0" customHeight="1">
      <c r="A45" s="77" t="s">
        <v>444</v>
      </c>
      <c r="B45" s="87">
        <v>41.0</v>
      </c>
      <c r="C45" s="51" t="s">
        <v>45</v>
      </c>
      <c r="D45" s="51" t="s">
        <v>48</v>
      </c>
      <c r="E45" s="51" t="s">
        <v>71</v>
      </c>
      <c r="F45" s="51"/>
      <c r="G45" s="55" t="str">
        <f t="shared" si="1"/>
        <v>Бл. мясо </v>
      </c>
      <c r="H45" s="57" t="s">
        <v>1</v>
      </c>
      <c r="I45" s="10" t="str">
        <f>IFERROR(__xludf.DUMMYFUNCTION("""COMPUTED_VALUE"""),"Гуляш ")</f>
        <v>Гуляш </v>
      </c>
      <c r="J45" s="10">
        <f>IFERROR(__xludf.DUMMYFUNCTION("""COMPUTED_VALUE"""),1.0)</f>
        <v>1</v>
      </c>
      <c r="K45" s="10" t="str">
        <f>IFERROR(__xludf.DUMMYFUNCTION("""COMPUTED_VALUE"""),"Олимп")</f>
        <v>Олимп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2"/>
      <c r="W45" s="12"/>
      <c r="X45" s="12"/>
      <c r="Y45" s="12"/>
    </row>
    <row r="46" ht="30.0" customHeight="1">
      <c r="A46" s="77" t="s">
        <v>135</v>
      </c>
      <c r="B46" s="87">
        <v>42.0</v>
      </c>
      <c r="C46" s="51" t="s">
        <v>33</v>
      </c>
      <c r="D46" s="51" t="s">
        <v>57</v>
      </c>
      <c r="E46" s="51" t="s">
        <v>83</v>
      </c>
      <c r="F46" s="51"/>
      <c r="G46" s="55" t="str">
        <f t="shared" si="1"/>
        <v>Пельмени </v>
      </c>
      <c r="H46" s="57" t="s">
        <v>1</v>
      </c>
      <c r="I46" s="10" t="str">
        <f>IFERROR(__xludf.DUMMYFUNCTION("""COMPUTED_VALUE"""),"Гуляш  FF")</f>
        <v>Гуляш  FF</v>
      </c>
      <c r="J46" s="10">
        <f>IFERROR(__xludf.DUMMYFUNCTION("""COMPUTED_VALUE"""),1.0)</f>
        <v>1</v>
      </c>
      <c r="K46" s="10" t="str">
        <f>IFERROR(__xludf.DUMMYFUNCTION("""COMPUTED_VALUE"""),"Олимп")</f>
        <v>Олимп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2"/>
      <c r="W46" s="12"/>
      <c r="X46" s="12"/>
      <c r="Y46" s="12"/>
    </row>
    <row r="47" ht="30.0" customHeight="1">
      <c r="A47" s="77" t="s">
        <v>171</v>
      </c>
      <c r="B47" s="87">
        <v>43.0</v>
      </c>
      <c r="C47" s="51" t="s">
        <v>40</v>
      </c>
      <c r="D47" s="51" t="s">
        <v>52</v>
      </c>
      <c r="E47" s="51" t="s">
        <v>67</v>
      </c>
      <c r="F47" s="51" t="s">
        <v>103</v>
      </c>
      <c r="G47" s="88" t="str">
        <f t="shared" si="1"/>
        <v>S   Гр  </v>
      </c>
      <c r="H47" s="57" t="s">
        <v>1</v>
      </c>
      <c r="I47" s="10" t="str">
        <f>IFERROR(__xludf.DUMMYFUNCTION("""COMPUTED_VALUE"""),"Гуляш Гр  ")</f>
        <v>Гуляш Гр  </v>
      </c>
      <c r="J47" s="10">
        <f>IFERROR(__xludf.DUMMYFUNCTION("""COMPUTED_VALUE"""),1.0)</f>
        <v>1</v>
      </c>
      <c r="K47" s="10" t="str">
        <f>IFERROR(__xludf.DUMMYFUNCTION("""COMPUTED_VALUE"""),"Олимп")</f>
        <v>Олимп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2"/>
      <c r="W47" s="12"/>
      <c r="X47" s="12"/>
      <c r="Y47" s="12"/>
    </row>
    <row r="48" ht="30.0" customHeight="1">
      <c r="A48" s="77" t="s">
        <v>139</v>
      </c>
      <c r="B48" s="87">
        <v>44.0</v>
      </c>
      <c r="C48" s="51" t="s">
        <v>33</v>
      </c>
      <c r="D48" s="51" t="s">
        <v>55</v>
      </c>
      <c r="E48" s="51" t="s">
        <v>67</v>
      </c>
      <c r="F48" s="51" t="s">
        <v>90</v>
      </c>
      <c r="G48" s="55" t="str">
        <f t="shared" si="1"/>
        <v>S   Туш. кап.</v>
      </c>
      <c r="H48" s="57" t="s">
        <v>1</v>
      </c>
      <c r="I48" s="10" t="str">
        <f>IFERROR(__xludf.DUMMYFUNCTION("""COMPUTED_VALUE"""),"Гуляш Паста  ")</f>
        <v>Гуляш Паста  </v>
      </c>
      <c r="J48" s="10">
        <f>IFERROR(__xludf.DUMMYFUNCTION("""COMPUTED_VALUE"""),1.0)</f>
        <v>1</v>
      </c>
      <c r="K48" s="10" t="str">
        <f>IFERROR(__xludf.DUMMYFUNCTION("""COMPUTED_VALUE"""),"Олимп")</f>
        <v>Олимп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2"/>
      <c r="W48" s="12"/>
      <c r="X48" s="12"/>
      <c r="Y48" s="12"/>
    </row>
    <row r="49" ht="30.0" customHeight="1">
      <c r="A49" s="3" t="s">
        <v>404</v>
      </c>
      <c r="B49" s="87">
        <v>45.0</v>
      </c>
      <c r="C49" s="138" t="s">
        <v>16</v>
      </c>
      <c r="D49" s="138" t="s">
        <v>50</v>
      </c>
      <c r="E49" s="51" t="s">
        <v>65</v>
      </c>
      <c r="F49" s="51"/>
      <c r="G49" s="55" t="str">
        <f t="shared" si="1"/>
        <v>Вар.Кар </v>
      </c>
      <c r="H49" s="57" t="s">
        <v>1</v>
      </c>
      <c r="I49" s="10" t="str">
        <f>IFERROR(__xludf.DUMMYFUNCTION("""COMPUTED_VALUE"""),"Дорадо Гр  ")</f>
        <v>Дорадо Гр  </v>
      </c>
      <c r="J49" s="10">
        <f>IFERROR(__xludf.DUMMYFUNCTION("""COMPUTED_VALUE"""),1.0)</f>
        <v>1</v>
      </c>
      <c r="K49" s="10" t="str">
        <f>IFERROR(__xludf.DUMMYFUNCTION("""COMPUTED_VALUE"""),"Олимп")</f>
        <v>Олимп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2"/>
      <c r="W49" s="12"/>
      <c r="X49" s="12"/>
      <c r="Y49" s="12"/>
    </row>
    <row r="50" ht="30.0" customHeight="1">
      <c r="A50" s="77" t="s">
        <v>175</v>
      </c>
      <c r="B50" s="87">
        <v>46.0</v>
      </c>
      <c r="C50" s="51" t="s">
        <v>25</v>
      </c>
      <c r="D50" s="62" t="s">
        <v>50</v>
      </c>
      <c r="E50" s="51" t="s">
        <v>77</v>
      </c>
      <c r="F50" s="51" t="s">
        <v>90</v>
      </c>
      <c r="G50" s="55" t="str">
        <f t="shared" si="1"/>
        <v>Дорадо Туш. кап.</v>
      </c>
      <c r="H50" s="57" t="s">
        <v>1</v>
      </c>
      <c r="I50" s="10" t="str">
        <f>IFERROR(__xludf.DUMMYFUNCTION("""COMPUTED_VALUE"""),"Дорадо Туш. кап.")</f>
        <v>Дорадо Туш. кап.</v>
      </c>
      <c r="J50" s="10">
        <f>IFERROR(__xludf.DUMMYFUNCTION("""COMPUTED_VALUE"""),1.0)</f>
        <v>1</v>
      </c>
      <c r="K50" s="10" t="str">
        <f>IFERROR(__xludf.DUMMYFUNCTION("""COMPUTED_VALUE"""),"Олимп")</f>
        <v>Олимп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2"/>
      <c r="W50" s="12"/>
      <c r="X50" s="12"/>
      <c r="Y50" s="12"/>
    </row>
    <row r="51" ht="30.0" customHeight="1">
      <c r="A51" s="3" t="s">
        <v>289</v>
      </c>
      <c r="B51" s="87">
        <v>47.0</v>
      </c>
      <c r="C51" s="51" t="s">
        <v>45</v>
      </c>
      <c r="D51" s="51" t="s">
        <v>57</v>
      </c>
      <c r="E51" s="51" t="s">
        <v>67</v>
      </c>
      <c r="F51" s="51" t="s">
        <v>103</v>
      </c>
      <c r="G51" s="55" t="str">
        <f t="shared" si="1"/>
        <v>S   Гр  </v>
      </c>
      <c r="H51" s="57" t="s">
        <v>1</v>
      </c>
      <c r="I51" s="10" t="str">
        <f>IFERROR(__xludf.DUMMYFUNCTION("""COMPUTED_VALUE"""),"Жульен ")</f>
        <v>Жульен </v>
      </c>
      <c r="J51" s="10">
        <f>IFERROR(__xludf.DUMMYFUNCTION("""COMPUTED_VALUE"""),1.0)</f>
        <v>1</v>
      </c>
      <c r="K51" s="10" t="str">
        <f>IFERROR(__xludf.DUMMYFUNCTION("""COMPUTED_VALUE"""),"Олимп")</f>
        <v>Олимп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2"/>
      <c r="W51" s="12"/>
      <c r="X51" s="12"/>
      <c r="Y51" s="12"/>
    </row>
    <row r="52" ht="30.0" customHeight="1">
      <c r="A52" s="3" t="s">
        <v>182</v>
      </c>
      <c r="B52" s="87">
        <v>48.0</v>
      </c>
      <c r="C52" s="51" t="s">
        <v>16</v>
      </c>
      <c r="D52" s="51" t="s">
        <v>61</v>
      </c>
      <c r="E52" s="51" t="s">
        <v>88</v>
      </c>
      <c r="F52" s="62" t="s">
        <v>90</v>
      </c>
      <c r="G52" s="55" t="str">
        <f t="shared" si="1"/>
        <v>Св. отбив   Туш. кап.</v>
      </c>
      <c r="H52" s="57" t="s">
        <v>1</v>
      </c>
      <c r="I52" s="10" t="str">
        <f>IFERROR(__xludf.DUMMYFUNCTION("""COMPUTED_VALUE"""),"Жульен Туш. кап.")</f>
        <v>Жульен Туш. кап.</v>
      </c>
      <c r="J52" s="10">
        <f>IFERROR(__xludf.DUMMYFUNCTION("""COMPUTED_VALUE"""),1.0)</f>
        <v>1</v>
      </c>
      <c r="K52" s="10" t="str">
        <f>IFERROR(__xludf.DUMMYFUNCTION("""COMPUTED_VALUE"""),"Олимп")</f>
        <v>Олимп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2"/>
      <c r="W52" s="12"/>
      <c r="X52" s="12"/>
      <c r="Y52" s="12"/>
    </row>
    <row r="53" ht="30.0" customHeight="1">
      <c r="A53" s="44" t="s">
        <v>405</v>
      </c>
      <c r="B53" s="87">
        <v>49.0</v>
      </c>
      <c r="C53" s="51" t="s">
        <v>25</v>
      </c>
      <c r="D53" s="62" t="s">
        <v>48</v>
      </c>
      <c r="E53" s="51" t="s">
        <v>67</v>
      </c>
      <c r="F53" s="51" t="s">
        <v>103</v>
      </c>
      <c r="G53" s="55" t="str">
        <f t="shared" si="1"/>
        <v>S   Гр  </v>
      </c>
      <c r="H53" s="57" t="s">
        <v>1</v>
      </c>
      <c r="I53" s="10" t="str">
        <f>IFERROR(__xludf.DUMMYFUNCTION("""COMPUTED_VALUE"""),"Котл. кур ")</f>
        <v>Котл. кур </v>
      </c>
      <c r="J53" s="10">
        <f>IFERROR(__xludf.DUMMYFUNCTION("""COMPUTED_VALUE"""),5.0)</f>
        <v>5</v>
      </c>
      <c r="K53" s="10" t="str">
        <f>IFERROR(__xludf.DUMMYFUNCTION("""COMPUTED_VALUE"""),"Олимп")</f>
        <v>Олимп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2"/>
      <c r="W53" s="12"/>
      <c r="X53" s="12"/>
      <c r="Y53" s="12"/>
    </row>
    <row r="54" ht="30.0" customHeight="1">
      <c r="A54" s="77" t="s">
        <v>406</v>
      </c>
      <c r="B54" s="87">
        <v>50.0</v>
      </c>
      <c r="C54" s="51" t="s">
        <v>25</v>
      </c>
      <c r="D54" s="51" t="s">
        <v>55</v>
      </c>
      <c r="E54" s="51" t="s">
        <v>97</v>
      </c>
      <c r="F54" s="62" t="s">
        <v>103</v>
      </c>
      <c r="G54" s="55" t="str">
        <f t="shared" si="1"/>
        <v>Шницель Гр  </v>
      </c>
      <c r="H54" s="57" t="s">
        <v>1</v>
      </c>
      <c r="I54" s="10" t="str">
        <f>IFERROR(__xludf.DUMMYFUNCTION("""COMPUTED_VALUE"""),"Котл. кур  FF")</f>
        <v>Котл. кур  FF</v>
      </c>
      <c r="J54" s="10">
        <f>IFERROR(__xludf.DUMMYFUNCTION("""COMPUTED_VALUE"""),1.0)</f>
        <v>1</v>
      </c>
      <c r="K54" s="10" t="str">
        <f>IFERROR(__xludf.DUMMYFUNCTION("""COMPUTED_VALUE"""),"Олимп")</f>
        <v>Олимп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2"/>
      <c r="W54" s="12"/>
      <c r="X54" s="12"/>
      <c r="Y54" s="12"/>
    </row>
    <row r="55" ht="30.0" customHeight="1">
      <c r="A55" s="77" t="s">
        <v>188</v>
      </c>
      <c r="B55" s="87">
        <v>51.0</v>
      </c>
      <c r="C55" s="51" t="s">
        <v>28</v>
      </c>
      <c r="D55" s="51" t="s">
        <v>50</v>
      </c>
      <c r="E55" s="51" t="s">
        <v>97</v>
      </c>
      <c r="F55" s="51" t="s">
        <v>100</v>
      </c>
      <c r="G55" s="55" t="str">
        <f t="shared" si="1"/>
        <v>Шницель Паста  </v>
      </c>
      <c r="H55" s="57" t="s">
        <v>1</v>
      </c>
      <c r="I55" s="10" t="str">
        <f>IFERROR(__xludf.DUMMYFUNCTION("""COMPUTED_VALUE"""),"Котл. кур Гр  ")</f>
        <v>Котл. кур Гр  </v>
      </c>
      <c r="J55" s="10">
        <f>IFERROR(__xludf.DUMMYFUNCTION("""COMPUTED_VALUE"""),1.0)</f>
        <v>1</v>
      </c>
      <c r="K55" s="10" t="str">
        <f>IFERROR(__xludf.DUMMYFUNCTION("""COMPUTED_VALUE"""),"Олимп")</f>
        <v>Олимп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2"/>
      <c r="W55" s="12"/>
      <c r="X55" s="12"/>
      <c r="Y55" s="12"/>
    </row>
    <row r="56" ht="30.0" customHeight="1">
      <c r="A56" s="77" t="s">
        <v>407</v>
      </c>
      <c r="B56" s="87">
        <v>52.0</v>
      </c>
      <c r="C56" s="51" t="s">
        <v>31</v>
      </c>
      <c r="D56" s="51" t="s">
        <v>50</v>
      </c>
      <c r="E56" s="62" t="s">
        <v>67</v>
      </c>
      <c r="F56" s="51" t="s">
        <v>103</v>
      </c>
      <c r="G56" s="55" t="str">
        <f t="shared" si="1"/>
        <v>S   Гр  </v>
      </c>
      <c r="H56" s="57" t="s">
        <v>1</v>
      </c>
      <c r="I56" s="10" t="str">
        <f>IFERROR(__xludf.DUMMYFUNCTION("""COMPUTED_VALUE"""),"Котл. кур Картошка")</f>
        <v>Котл. кур Картошка</v>
      </c>
      <c r="J56" s="10">
        <f>IFERROR(__xludf.DUMMYFUNCTION("""COMPUTED_VALUE"""),1.0)</f>
        <v>1</v>
      </c>
      <c r="K56" s="10" t="str">
        <f>IFERROR(__xludf.DUMMYFUNCTION("""COMPUTED_VALUE"""),"Олимп")</f>
        <v>Олимп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2"/>
      <c r="W56" s="12"/>
      <c r="X56" s="12"/>
      <c r="Y56" s="12"/>
    </row>
    <row r="57" ht="30.0" customHeight="1">
      <c r="A57" s="91" t="s">
        <v>308</v>
      </c>
      <c r="B57" s="87">
        <v>53.0</v>
      </c>
      <c r="C57" s="51" t="s">
        <v>25</v>
      </c>
      <c r="D57" s="51" t="s">
        <v>52</v>
      </c>
      <c r="E57" s="51" t="s">
        <v>95</v>
      </c>
      <c r="F57" s="51"/>
      <c r="G57" s="55" t="str">
        <f t="shared" si="1"/>
        <v>Чебуреки  </v>
      </c>
      <c r="H57" s="57" t="s">
        <v>1</v>
      </c>
      <c r="I57" s="10" t="str">
        <f>IFERROR(__xludf.DUMMYFUNCTION("""COMPUTED_VALUE"""),"Котл. кур Туш. кап.")</f>
        <v>Котл. кур Туш. кап.</v>
      </c>
      <c r="J57" s="10">
        <f>IFERROR(__xludf.DUMMYFUNCTION("""COMPUTED_VALUE"""),1.0)</f>
        <v>1</v>
      </c>
      <c r="K57" s="10" t="str">
        <f>IFERROR(__xludf.DUMMYFUNCTION("""COMPUTED_VALUE"""),"Олимп")</f>
        <v>Олимп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2"/>
      <c r="W57" s="12"/>
      <c r="X57" s="12"/>
      <c r="Y57" s="12"/>
    </row>
    <row r="58" ht="30.0" customHeight="1">
      <c r="A58" s="44" t="s">
        <v>146</v>
      </c>
      <c r="B58" s="87">
        <v>54.0</v>
      </c>
      <c r="C58" s="51" t="s">
        <v>25</v>
      </c>
      <c r="D58" s="51" t="s">
        <v>50</v>
      </c>
      <c r="E58" s="51" t="s">
        <v>97</v>
      </c>
      <c r="F58" s="51" t="s">
        <v>103</v>
      </c>
      <c r="G58" s="55" t="str">
        <f t="shared" si="1"/>
        <v>Шницель Гр  </v>
      </c>
      <c r="H58" s="57" t="s">
        <v>1</v>
      </c>
      <c r="I58" s="10" t="str">
        <f>IFERROR(__xludf.DUMMYFUNCTION("""COMPUTED_VALUE"""),"Котл. кур Фасоль")</f>
        <v>Котл. кур Фасоль</v>
      </c>
      <c r="J58" s="10">
        <f>IFERROR(__xludf.DUMMYFUNCTION("""COMPUTED_VALUE"""),1.0)</f>
        <v>1</v>
      </c>
      <c r="K58" s="10" t="str">
        <f>IFERROR(__xludf.DUMMYFUNCTION("""COMPUTED_VALUE"""),"Олимп")</f>
        <v>Олимп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2"/>
      <c r="W58" s="12"/>
      <c r="X58" s="12"/>
      <c r="Y58" s="12"/>
    </row>
    <row r="59" ht="30.0" customHeight="1">
      <c r="A59" s="77" t="s">
        <v>190</v>
      </c>
      <c r="B59" s="87">
        <v>55.0</v>
      </c>
      <c r="C59" s="51" t="s">
        <v>20</v>
      </c>
      <c r="D59" s="51" t="s">
        <v>59</v>
      </c>
      <c r="E59" s="51" t="s">
        <v>71</v>
      </c>
      <c r="F59" s="51" t="s">
        <v>90</v>
      </c>
      <c r="G59" s="55" t="str">
        <f t="shared" si="1"/>
        <v>Бл. мясо Туш. кап.</v>
      </c>
      <c r="H59" s="57" t="s">
        <v>1</v>
      </c>
      <c r="I59" s="10" t="str">
        <f>IFERROR(__xludf.DUMMYFUNCTION("""COMPUTED_VALUE"""),"Пельмени ")</f>
        <v>Пельмени </v>
      </c>
      <c r="J59" s="10">
        <f>IFERROR(__xludf.DUMMYFUNCTION("""COMPUTED_VALUE"""),3.0)</f>
        <v>3</v>
      </c>
      <c r="K59" s="10" t="str">
        <f>IFERROR(__xludf.DUMMYFUNCTION("""COMPUTED_VALUE"""),"Олимп")</f>
        <v>Олимп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2"/>
      <c r="W59" s="12"/>
      <c r="X59" s="12"/>
      <c r="Y59" s="12"/>
    </row>
    <row r="60" ht="30.0" customHeight="1">
      <c r="A60" s="77" t="s">
        <v>152</v>
      </c>
      <c r="B60" s="87">
        <v>56.0</v>
      </c>
      <c r="C60" s="51" t="s">
        <v>25</v>
      </c>
      <c r="D60" s="51" t="s">
        <v>50</v>
      </c>
      <c r="E60" s="51" t="s">
        <v>88</v>
      </c>
      <c r="F60" s="51" t="s">
        <v>68</v>
      </c>
      <c r="G60" s="55" t="str">
        <f t="shared" si="1"/>
        <v>Св. отбив   Картошка</v>
      </c>
      <c r="H60" s="57" t="s">
        <v>1</v>
      </c>
      <c r="I60" s="10" t="str">
        <f>IFERROR(__xludf.DUMMYFUNCTION("""COMPUTED_VALUE"""),"Поперечка ")</f>
        <v>Поперечка </v>
      </c>
      <c r="J60" s="10">
        <f>IFERROR(__xludf.DUMMYFUNCTION("""COMPUTED_VALUE"""),1.0)</f>
        <v>1</v>
      </c>
      <c r="K60" s="10" t="str">
        <f>IFERROR(__xludf.DUMMYFUNCTION("""COMPUTED_VALUE"""),"Олимп")</f>
        <v>Олимп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2"/>
      <c r="W60" s="12"/>
      <c r="X60" s="12"/>
      <c r="Y60" s="12"/>
    </row>
    <row r="61" ht="30.0" customHeight="1">
      <c r="A61" s="77" t="s">
        <v>313</v>
      </c>
      <c r="B61" s="87">
        <v>57.0</v>
      </c>
      <c r="C61" s="51" t="s">
        <v>35</v>
      </c>
      <c r="D61" s="51" t="s">
        <v>48</v>
      </c>
      <c r="E61" s="51" t="s">
        <v>67</v>
      </c>
      <c r="F61" s="51"/>
      <c r="G61" s="55" t="str">
        <f t="shared" si="1"/>
        <v>S   </v>
      </c>
      <c r="H61" s="57" t="s">
        <v>1</v>
      </c>
      <c r="I61" s="10" t="str">
        <f>IFERROR(__xludf.DUMMYFUNCTION("""COMPUTED_VALUE"""),"Поперечка Туш. кап.")</f>
        <v>Поперечка Туш. кап.</v>
      </c>
      <c r="J61" s="10">
        <f>IFERROR(__xludf.DUMMYFUNCTION("""COMPUTED_VALUE"""),1.0)</f>
        <v>1</v>
      </c>
      <c r="K61" s="10" t="str">
        <f>IFERROR(__xludf.DUMMYFUNCTION("""COMPUTED_VALUE"""),"Олимп")</f>
        <v>Олимп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2"/>
      <c r="W61" s="12"/>
      <c r="X61" s="12"/>
      <c r="Y61" s="12"/>
    </row>
    <row r="62" ht="30.0" customHeight="1">
      <c r="A62" s="77" t="s">
        <v>465</v>
      </c>
      <c r="B62" s="87">
        <v>58.0</v>
      </c>
      <c r="C62" s="51" t="s">
        <v>35</v>
      </c>
      <c r="D62" s="51" t="s">
        <v>61</v>
      </c>
      <c r="E62" s="51" t="s">
        <v>73</v>
      </c>
      <c r="F62" s="51"/>
      <c r="G62" s="55" t="str">
        <f t="shared" si="1"/>
        <v>Бл. твор </v>
      </c>
      <c r="H62" s="57" t="s">
        <v>1</v>
      </c>
      <c r="I62" s="10" t="str">
        <f>IFERROR(__xludf.DUMMYFUNCTION("""COMPUTED_VALUE"""),"Св. отбив   MP ")</f>
        <v>Св. отбив   MP </v>
      </c>
      <c r="J62" s="10">
        <f>IFERROR(__xludf.DUMMYFUNCTION("""COMPUTED_VALUE"""),1.0)</f>
        <v>1</v>
      </c>
      <c r="K62" s="10" t="str">
        <f>IFERROR(__xludf.DUMMYFUNCTION("""COMPUTED_VALUE"""),"Олимп")</f>
        <v>Олимп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2"/>
      <c r="W62" s="12"/>
      <c r="X62" s="12"/>
      <c r="Y62" s="12"/>
    </row>
    <row r="63" ht="30.0" customHeight="1">
      <c r="A63" s="72" t="s">
        <v>194</v>
      </c>
      <c r="B63" s="87">
        <v>59.0</v>
      </c>
      <c r="C63" s="51" t="s">
        <v>16</v>
      </c>
      <c r="D63" s="51" t="s">
        <v>61</v>
      </c>
      <c r="E63" s="51" t="s">
        <v>63</v>
      </c>
      <c r="F63" s="51" t="s">
        <v>90</v>
      </c>
      <c r="G63" s="55" t="str">
        <f t="shared" si="1"/>
        <v>Баса Туш. кап.</v>
      </c>
      <c r="H63" s="57" t="s">
        <v>1</v>
      </c>
      <c r="I63" s="10" t="str">
        <f>IFERROR(__xludf.DUMMYFUNCTION("""COMPUTED_VALUE"""),"Св. отбив   Картошка")</f>
        <v>Св. отбив   Картошка</v>
      </c>
      <c r="J63" s="10">
        <f>IFERROR(__xludf.DUMMYFUNCTION("""COMPUTED_VALUE"""),3.0)</f>
        <v>3</v>
      </c>
      <c r="K63" s="10" t="str">
        <f>IFERROR(__xludf.DUMMYFUNCTION("""COMPUTED_VALUE"""),"Олимп")</f>
        <v>Олимп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2"/>
      <c r="W63" s="12"/>
      <c r="X63" s="12"/>
      <c r="Y63" s="12"/>
    </row>
    <row r="64" ht="30.0" customHeight="1">
      <c r="A64" s="44" t="s">
        <v>324</v>
      </c>
      <c r="B64" s="87">
        <v>60.0</v>
      </c>
      <c r="C64" s="51" t="s">
        <v>40</v>
      </c>
      <c r="D64" s="51" t="s">
        <v>61</v>
      </c>
      <c r="E64" s="62" t="s">
        <v>65</v>
      </c>
      <c r="F64" s="62"/>
      <c r="G64" s="55" t="str">
        <f t="shared" si="1"/>
        <v>Вар.Кар </v>
      </c>
      <c r="H64" s="57" t="s">
        <v>1</v>
      </c>
      <c r="I64" s="10" t="str">
        <f>IFERROR(__xludf.DUMMYFUNCTION("""COMPUTED_VALUE"""),"Св. отбив   Туш. кап.")</f>
        <v>Св. отбив   Туш. кап.</v>
      </c>
      <c r="J64" s="10">
        <f>IFERROR(__xludf.DUMMYFUNCTION("""COMPUTED_VALUE"""),2.0)</f>
        <v>2</v>
      </c>
      <c r="K64" s="10" t="str">
        <f>IFERROR(__xludf.DUMMYFUNCTION("""COMPUTED_VALUE"""),"Олимп")</f>
        <v>Олимп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2"/>
      <c r="W64" s="12"/>
      <c r="X64" s="12"/>
      <c r="Y64" s="12"/>
    </row>
    <row r="65" ht="30.0" customHeight="1">
      <c r="A65" s="77" t="s">
        <v>162</v>
      </c>
      <c r="B65" s="87">
        <v>61.0</v>
      </c>
      <c r="C65" s="92" t="s">
        <v>20</v>
      </c>
      <c r="D65" s="103" t="s">
        <v>59</v>
      </c>
      <c r="E65" s="92" t="s">
        <v>63</v>
      </c>
      <c r="F65" s="103" t="s">
        <v>90</v>
      </c>
      <c r="G65" s="104" t="str">
        <f t="shared" si="1"/>
        <v>Баса Туш. кап.</v>
      </c>
      <c r="H65" s="104" t="s">
        <v>1</v>
      </c>
      <c r="I65" s="10" t="str">
        <f>IFERROR(__xludf.DUMMYFUNCTION("""COMPUTED_VALUE"""),"Терияки MP ")</f>
        <v>Терияки MP </v>
      </c>
      <c r="J65" s="10">
        <f>IFERROR(__xludf.DUMMYFUNCTION("""COMPUTED_VALUE"""),1.0)</f>
        <v>1</v>
      </c>
      <c r="K65" s="10" t="str">
        <f>IFERROR(__xludf.DUMMYFUNCTION("""COMPUTED_VALUE"""),"Олимп")</f>
        <v>Олимп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2"/>
      <c r="W65" s="12"/>
      <c r="X65" s="12"/>
      <c r="Y65" s="12"/>
    </row>
    <row r="66" ht="30.0" customHeight="1">
      <c r="A66" s="44" t="s">
        <v>167</v>
      </c>
      <c r="B66" s="87">
        <v>62.0</v>
      </c>
      <c r="C66" s="51" t="s">
        <v>45</v>
      </c>
      <c r="D66" s="51" t="s">
        <v>52</v>
      </c>
      <c r="E66" s="51" t="s">
        <v>67</v>
      </c>
      <c r="F66" s="51"/>
      <c r="G66" s="55" t="str">
        <f t="shared" si="1"/>
        <v>S   </v>
      </c>
      <c r="H66" s="57" t="s">
        <v>1</v>
      </c>
      <c r="I66" s="10" t="str">
        <f>IFERROR(__xludf.DUMMYFUNCTION("""COMPUTED_VALUE"""),"Чалахач  FF")</f>
        <v>Чалахач  FF</v>
      </c>
      <c r="J66" s="10">
        <f>IFERROR(__xludf.DUMMYFUNCTION("""COMPUTED_VALUE"""),1.0)</f>
        <v>1</v>
      </c>
      <c r="K66" s="10" t="str">
        <f>IFERROR(__xludf.DUMMYFUNCTION("""COMPUTED_VALUE"""),"Олимп")</f>
        <v>Олимп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2"/>
      <c r="W66" s="12"/>
      <c r="X66" s="12"/>
      <c r="Y66" s="12"/>
    </row>
    <row r="67" ht="30.0" customHeight="1">
      <c r="A67" s="44" t="s">
        <v>170</v>
      </c>
      <c r="B67" s="87">
        <v>63.0</v>
      </c>
      <c r="C67" s="51" t="s">
        <v>16</v>
      </c>
      <c r="D67" s="51" t="s">
        <v>55</v>
      </c>
      <c r="E67" s="51" t="s">
        <v>75</v>
      </c>
      <c r="F67" s="51"/>
      <c r="G67" s="55" t="str">
        <f t="shared" si="1"/>
        <v>Голубцы </v>
      </c>
      <c r="H67" s="57" t="s">
        <v>1</v>
      </c>
      <c r="I67" s="10" t="str">
        <f>IFERROR(__xludf.DUMMYFUNCTION("""COMPUTED_VALUE"""),"Чалахач MP ")</f>
        <v>Чалахач MP </v>
      </c>
      <c r="J67" s="10">
        <f>IFERROR(__xludf.DUMMYFUNCTION("""COMPUTED_VALUE"""),1.0)</f>
        <v>1</v>
      </c>
      <c r="K67" s="10" t="str">
        <f>IFERROR(__xludf.DUMMYFUNCTION("""COMPUTED_VALUE"""),"Олимп")</f>
        <v>Олимп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2"/>
      <c r="W67" s="12"/>
      <c r="X67" s="12"/>
      <c r="Y67" s="12"/>
    </row>
    <row r="68" ht="30.0" customHeight="1">
      <c r="A68" s="77" t="s">
        <v>209</v>
      </c>
      <c r="B68" s="87">
        <v>64.0</v>
      </c>
      <c r="C68" s="51" t="s">
        <v>25</v>
      </c>
      <c r="D68" s="51" t="s">
        <v>61</v>
      </c>
      <c r="E68" s="51" t="s">
        <v>71</v>
      </c>
      <c r="F68" s="62"/>
      <c r="G68" s="55" t="str">
        <f t="shared" si="1"/>
        <v>Бл. мясо </v>
      </c>
      <c r="H68" s="57" t="s">
        <v>1</v>
      </c>
      <c r="I68" s="68" t="str">
        <f>IFERROR(__xludf.DUMMYFUNCTION("""COMPUTED_VALUE"""),"Чалахач Гр  ")</f>
        <v>Чалахач Гр  </v>
      </c>
      <c r="J68" s="68">
        <f>IFERROR(__xludf.DUMMYFUNCTION("""COMPUTED_VALUE"""),4.0)</f>
        <v>4</v>
      </c>
      <c r="K68" s="68" t="str">
        <f>IFERROR(__xludf.DUMMYFUNCTION("""COMPUTED_VALUE"""),"Олимп")</f>
        <v>Олимп</v>
      </c>
      <c r="L68" s="68"/>
      <c r="M68" s="68"/>
      <c r="N68" s="68"/>
      <c r="O68" s="68"/>
      <c r="P68" s="68"/>
      <c r="Q68" s="68"/>
      <c r="R68" s="106"/>
      <c r="S68" s="68"/>
      <c r="T68" s="68"/>
      <c r="U68" s="68"/>
      <c r="V68" s="68"/>
      <c r="W68" s="68"/>
      <c r="X68" s="68"/>
      <c r="Y68" s="68"/>
    </row>
    <row r="69" ht="30.0" customHeight="1">
      <c r="A69" s="44" t="s">
        <v>328</v>
      </c>
      <c r="B69" s="87">
        <v>65.0</v>
      </c>
      <c r="C69" s="62" t="s">
        <v>40</v>
      </c>
      <c r="D69" s="51" t="s">
        <v>61</v>
      </c>
      <c r="E69" s="62" t="s">
        <v>76</v>
      </c>
      <c r="F69" s="62"/>
      <c r="G69" s="55" t="str">
        <f t="shared" si="1"/>
        <v>Гуляш </v>
      </c>
      <c r="H69" s="57" t="s">
        <v>1</v>
      </c>
      <c r="I69" s="68" t="str">
        <f>IFERROR(__xludf.DUMMYFUNCTION("""COMPUTED_VALUE"""),"Чалахач Картошка")</f>
        <v>Чалахач Картошка</v>
      </c>
      <c r="J69" s="68">
        <f>IFERROR(__xludf.DUMMYFUNCTION("""COMPUTED_VALUE"""),1.0)</f>
        <v>1</v>
      </c>
      <c r="K69" s="68" t="str">
        <f>IFERROR(__xludf.DUMMYFUNCTION("""COMPUTED_VALUE"""),"Олимп")</f>
        <v>Олимп</v>
      </c>
      <c r="L69" s="68"/>
      <c r="M69" s="68"/>
      <c r="N69" s="68"/>
      <c r="O69" s="68"/>
      <c r="P69" s="68"/>
      <c r="Q69" s="68"/>
      <c r="R69" s="106"/>
      <c r="S69" s="68"/>
      <c r="T69" s="68"/>
      <c r="U69" s="68"/>
      <c r="V69" s="68"/>
      <c r="W69" s="68"/>
      <c r="X69" s="68"/>
      <c r="Y69" s="68"/>
    </row>
    <row r="70" ht="30.0" customHeight="1">
      <c r="A70" s="44" t="s">
        <v>467</v>
      </c>
      <c r="B70" s="87">
        <v>66.0</v>
      </c>
      <c r="C70" s="51" t="s">
        <v>16</v>
      </c>
      <c r="D70" s="62" t="s">
        <v>50</v>
      </c>
      <c r="E70" s="62" t="s">
        <v>67</v>
      </c>
      <c r="F70" s="62" t="s">
        <v>90</v>
      </c>
      <c r="G70" s="55" t="str">
        <f t="shared" si="1"/>
        <v>S   Туш. кап.</v>
      </c>
      <c r="H70" s="57" t="s">
        <v>1</v>
      </c>
      <c r="I70" s="68" t="str">
        <f>IFERROR(__xludf.DUMMYFUNCTION("""COMPUTED_VALUE"""),"Чалахач Паста  ")</f>
        <v>Чалахач Паста  </v>
      </c>
      <c r="J70" s="68">
        <f>IFERROR(__xludf.DUMMYFUNCTION("""COMPUTED_VALUE"""),1.0)</f>
        <v>1</v>
      </c>
      <c r="K70" s="68" t="str">
        <f>IFERROR(__xludf.DUMMYFUNCTION("""COMPUTED_VALUE"""),"Олимп")</f>
        <v>Олимп</v>
      </c>
      <c r="L70" s="68"/>
      <c r="M70" s="68"/>
      <c r="N70" s="68"/>
      <c r="O70" s="68"/>
      <c r="P70" s="68"/>
      <c r="Q70" s="68"/>
      <c r="R70" s="106"/>
      <c r="S70" s="68"/>
      <c r="T70" s="68"/>
      <c r="U70" s="68"/>
      <c r="V70" s="68"/>
      <c r="W70" s="68"/>
      <c r="X70" s="68"/>
      <c r="Y70" s="68"/>
    </row>
    <row r="71" ht="30.0" customHeight="1">
      <c r="A71" s="91" t="s">
        <v>217</v>
      </c>
      <c r="B71" s="87">
        <v>67.0</v>
      </c>
      <c r="C71" s="62" t="s">
        <v>20</v>
      </c>
      <c r="D71" s="103" t="s">
        <v>59</v>
      </c>
      <c r="E71" s="62" t="s">
        <v>85</v>
      </c>
      <c r="F71" s="51" t="s">
        <v>90</v>
      </c>
      <c r="G71" s="55" t="str">
        <f t="shared" si="1"/>
        <v>Поперечка Туш. кап.</v>
      </c>
      <c r="H71" s="57" t="s">
        <v>1</v>
      </c>
      <c r="I71" s="10" t="str">
        <f>IFERROR(__xludf.DUMMYFUNCTION("""COMPUTED_VALUE"""),"Чалахач Туш. кап.")</f>
        <v>Чалахач Туш. кап.</v>
      </c>
      <c r="J71" s="10">
        <f>IFERROR(__xludf.DUMMYFUNCTION("""COMPUTED_VALUE"""),3.0)</f>
        <v>3</v>
      </c>
      <c r="K71" s="10" t="str">
        <f>IFERROR(__xludf.DUMMYFUNCTION("""COMPUTED_VALUE"""),"Олимп")</f>
        <v>Олимп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2"/>
      <c r="W71" s="12"/>
      <c r="X71" s="12"/>
      <c r="Y71" s="12"/>
    </row>
    <row r="72" ht="30.0" customHeight="1">
      <c r="A72" s="44" t="s">
        <v>219</v>
      </c>
      <c r="B72" s="87">
        <v>68.0</v>
      </c>
      <c r="C72" s="62" t="s">
        <v>31</v>
      </c>
      <c r="D72" s="62" t="s">
        <v>57</v>
      </c>
      <c r="E72" s="62" t="s">
        <v>91</v>
      </c>
      <c r="F72" s="93" t="s">
        <v>111</v>
      </c>
      <c r="G72" s="55" t="str">
        <f t="shared" si="1"/>
        <v>табака  MP </v>
      </c>
      <c r="H72" s="57" t="s">
        <v>1</v>
      </c>
      <c r="I72" s="10" t="str">
        <f>IFERROR(__xludf.DUMMYFUNCTION("""COMPUTED_VALUE"""),"Чебуреки  ")</f>
        <v>Чебуреки  </v>
      </c>
      <c r="J72" s="10">
        <f>IFERROR(__xludf.DUMMYFUNCTION("""COMPUTED_VALUE"""),1.0)</f>
        <v>1</v>
      </c>
      <c r="K72" s="10" t="str">
        <f>IFERROR(__xludf.DUMMYFUNCTION("""COMPUTED_VALUE"""),"Олимп")</f>
        <v>Олимп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2"/>
      <c r="W72" s="12"/>
      <c r="X72" s="12"/>
      <c r="Y72" s="12"/>
    </row>
    <row r="73" ht="30.0" customHeight="1">
      <c r="A73" s="3" t="s">
        <v>337</v>
      </c>
      <c r="B73" s="87">
        <v>69.0</v>
      </c>
      <c r="C73" s="62" t="s">
        <v>28</v>
      </c>
      <c r="D73" s="62" t="s">
        <v>52</v>
      </c>
      <c r="E73" s="62" t="s">
        <v>65</v>
      </c>
      <c r="F73" s="93"/>
      <c r="G73" s="55" t="str">
        <f t="shared" si="1"/>
        <v>Вар.Кар </v>
      </c>
      <c r="H73" s="57" t="s">
        <v>1</v>
      </c>
      <c r="I73" s="10" t="str">
        <f>IFERROR(__xludf.DUMMYFUNCTION("""COMPUTED_VALUE"""),"Шницель ")</f>
        <v>Шницель </v>
      </c>
      <c r="J73" s="10">
        <f>IFERROR(__xludf.DUMMYFUNCTION("""COMPUTED_VALUE"""),1.0)</f>
        <v>1</v>
      </c>
      <c r="K73" s="10" t="str">
        <f>IFERROR(__xludf.DUMMYFUNCTION("""COMPUTED_VALUE"""),"Олимп")</f>
        <v>Олимп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2"/>
      <c r="W73" s="12"/>
      <c r="X73" s="12"/>
      <c r="Y73" s="12"/>
    </row>
    <row r="74" ht="30.0" customHeight="1">
      <c r="A74" s="77" t="s">
        <v>469</v>
      </c>
      <c r="B74" s="87">
        <v>70.0</v>
      </c>
      <c r="C74" s="51" t="s">
        <v>40</v>
      </c>
      <c r="D74" s="51" t="s">
        <v>48</v>
      </c>
      <c r="E74" s="51" t="s">
        <v>94</v>
      </c>
      <c r="F74" s="101" t="s">
        <v>90</v>
      </c>
      <c r="G74" s="55" t="str">
        <f t="shared" si="1"/>
        <v>Чалахач Туш. кап.</v>
      </c>
      <c r="H74" s="57" t="s">
        <v>1</v>
      </c>
      <c r="I74" s="10" t="str">
        <f>IFERROR(__xludf.DUMMYFUNCTION("""COMPUTED_VALUE"""),"Шницель Гр  ")</f>
        <v>Шницель Гр  </v>
      </c>
      <c r="J74" s="10">
        <f>IFERROR(__xludf.DUMMYFUNCTION("""COMPUTED_VALUE"""),3.0)</f>
        <v>3</v>
      </c>
      <c r="K74" s="10" t="str">
        <f>IFERROR(__xludf.DUMMYFUNCTION("""COMPUTED_VALUE"""),"Олимп")</f>
        <v>Олимп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2"/>
      <c r="W74" s="12"/>
      <c r="X74" s="12"/>
      <c r="Y74" s="12"/>
    </row>
    <row r="75" ht="30.0" customHeight="1">
      <c r="A75" s="77" t="s">
        <v>181</v>
      </c>
      <c r="B75" s="87">
        <v>71.0</v>
      </c>
      <c r="C75" s="51" t="s">
        <v>40</v>
      </c>
      <c r="D75" s="51" t="s">
        <v>57</v>
      </c>
      <c r="E75" s="51" t="s">
        <v>73</v>
      </c>
      <c r="F75" s="51"/>
      <c r="G75" s="55" t="str">
        <f t="shared" si="1"/>
        <v>Бл. твор </v>
      </c>
      <c r="H75" s="57" t="s">
        <v>1</v>
      </c>
      <c r="I75" s="10" t="str">
        <f>IFERROR(__xludf.DUMMYFUNCTION("""COMPUTED_VALUE"""),"Шницель Картошка")</f>
        <v>Шницель Картошка</v>
      </c>
      <c r="J75" s="10">
        <f>IFERROR(__xludf.DUMMYFUNCTION("""COMPUTED_VALUE"""),2.0)</f>
        <v>2</v>
      </c>
      <c r="K75" s="10" t="str">
        <f>IFERROR(__xludf.DUMMYFUNCTION("""COMPUTED_VALUE"""),"Олимп")</f>
        <v>Олимп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2"/>
      <c r="W75" s="12"/>
      <c r="X75" s="12"/>
      <c r="Y75" s="12"/>
    </row>
    <row r="76" ht="30.0" customHeight="1">
      <c r="A76" s="77" t="s">
        <v>229</v>
      </c>
      <c r="B76" s="87">
        <v>72.0</v>
      </c>
      <c r="C76" s="51" t="s">
        <v>16</v>
      </c>
      <c r="D76" s="51" t="s">
        <v>50</v>
      </c>
      <c r="E76" s="62" t="s">
        <v>94</v>
      </c>
      <c r="F76" s="51" t="s">
        <v>103</v>
      </c>
      <c r="G76" s="55" t="str">
        <f t="shared" si="1"/>
        <v>Чалахач Гр  </v>
      </c>
      <c r="H76" s="57" t="s">
        <v>1</v>
      </c>
      <c r="I76" s="10" t="str">
        <f>IFERROR(__xludf.DUMMYFUNCTION("""COMPUTED_VALUE"""),"Шницель Паста  ")</f>
        <v>Шницель Паста  </v>
      </c>
      <c r="J76" s="10">
        <f>IFERROR(__xludf.DUMMYFUNCTION("""COMPUTED_VALUE"""),1.0)</f>
        <v>1</v>
      </c>
      <c r="K76" s="10" t="str">
        <f>IFERROR(__xludf.DUMMYFUNCTION("""COMPUTED_VALUE"""),"Олимп")</f>
        <v>Олимп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2"/>
      <c r="W76" s="12"/>
      <c r="X76" s="12"/>
      <c r="Y76" s="12"/>
    </row>
    <row r="77" ht="30.0" customHeight="1">
      <c r="A77" s="77" t="s">
        <v>470</v>
      </c>
      <c r="B77" s="87">
        <v>73.0</v>
      </c>
      <c r="C77" s="51" t="s">
        <v>40</v>
      </c>
      <c r="D77" s="51" t="s">
        <v>59</v>
      </c>
      <c r="E77" s="62" t="s">
        <v>67</v>
      </c>
      <c r="F77" s="51" t="s">
        <v>103</v>
      </c>
      <c r="G77" s="55" t="str">
        <f t="shared" si="1"/>
        <v>S   Гр  </v>
      </c>
      <c r="H77" s="57" t="s">
        <v>1</v>
      </c>
      <c r="I77" s="10" t="str">
        <f>IFERROR(__xludf.DUMMYFUNCTION("""COMPUTED_VALUE"""),"Шницель Туш. кап.")</f>
        <v>Шницель Туш. кап.</v>
      </c>
      <c r="J77" s="10">
        <f>IFERROR(__xludf.DUMMYFUNCTION("""COMPUTED_VALUE"""),2.0)</f>
        <v>2</v>
      </c>
      <c r="K77" s="10" t="str">
        <f>IFERROR(__xludf.DUMMYFUNCTION("""COMPUTED_VALUE"""),"Олимп")</f>
        <v>Олимп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2"/>
      <c r="W77" s="12"/>
      <c r="X77" s="12"/>
      <c r="Y77" s="12"/>
    </row>
    <row r="78" ht="30.0" customHeight="1">
      <c r="A78" s="3" t="s">
        <v>409</v>
      </c>
      <c r="B78" s="87">
        <v>74.0</v>
      </c>
      <c r="C78" s="51" t="s">
        <v>20</v>
      </c>
      <c r="D78" s="51" t="s">
        <v>57</v>
      </c>
      <c r="E78" s="51" t="s">
        <v>67</v>
      </c>
      <c r="F78" s="51" t="s">
        <v>68</v>
      </c>
      <c r="G78" s="55" t="str">
        <f t="shared" si="1"/>
        <v>S   Картошка</v>
      </c>
      <c r="H78" s="57" t="s">
        <v>1</v>
      </c>
      <c r="I78" s="10" t="str">
        <f>IFERROR(__xludf.DUMMYFUNCTION("""COMPUTED_VALUE"""),"Шницель Фасоль")</f>
        <v>Шницель Фасоль</v>
      </c>
      <c r="J78" s="10">
        <f>IFERROR(__xludf.DUMMYFUNCTION("""COMPUTED_VALUE"""),1.0)</f>
        <v>1</v>
      </c>
      <c r="K78" s="10" t="str">
        <f>IFERROR(__xludf.DUMMYFUNCTION("""COMPUTED_VALUE"""),"Олимп")</f>
        <v>Олимп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2"/>
      <c r="W78" s="12"/>
      <c r="X78" s="12"/>
      <c r="Y78" s="12"/>
    </row>
    <row r="79" ht="30.0" customHeight="1">
      <c r="A79" s="77" t="s">
        <v>345</v>
      </c>
      <c r="B79" s="87">
        <v>75.0</v>
      </c>
      <c r="C79" s="62" t="s">
        <v>40</v>
      </c>
      <c r="D79" s="51" t="s">
        <v>57</v>
      </c>
      <c r="E79" s="51" t="s">
        <v>91</v>
      </c>
      <c r="F79" s="62" t="s">
        <v>68</v>
      </c>
      <c r="G79" s="55" t="str">
        <f t="shared" si="1"/>
        <v>табака  Картошка</v>
      </c>
      <c r="H79" s="57" t="s">
        <v>1</v>
      </c>
      <c r="I79" s="10" t="str">
        <f>IFERROR(__xludf.DUMMYFUNCTION("""COMPUTED_VALUE"""),"табака  MP ")</f>
        <v>табака  MP </v>
      </c>
      <c r="J79" s="10">
        <f>IFERROR(__xludf.DUMMYFUNCTION("""COMPUTED_VALUE"""),2.0)</f>
        <v>2</v>
      </c>
      <c r="K79" s="10" t="str">
        <f>IFERROR(__xludf.DUMMYFUNCTION("""COMPUTED_VALUE"""),"Олимп")</f>
        <v>Олимп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2"/>
      <c r="W79" s="12"/>
      <c r="X79" s="12"/>
      <c r="Y79" s="12"/>
    </row>
    <row r="80" ht="30.0" customHeight="1">
      <c r="A80" s="3" t="s">
        <v>233</v>
      </c>
      <c r="B80" s="87">
        <v>76.0</v>
      </c>
      <c r="C80" s="51" t="s">
        <v>35</v>
      </c>
      <c r="D80" s="51" t="s">
        <v>57</v>
      </c>
      <c r="E80" s="62" t="s">
        <v>80</v>
      </c>
      <c r="F80" s="62"/>
      <c r="G80" s="55" t="str">
        <f t="shared" si="1"/>
        <v>Котл. кур </v>
      </c>
      <c r="H80" s="57" t="s">
        <v>1</v>
      </c>
      <c r="I80" s="10" t="str">
        <f>IFERROR(__xludf.DUMMYFUNCTION("""COMPUTED_VALUE"""),"табака  Гр  ")</f>
        <v>табака  Гр  </v>
      </c>
      <c r="J80" s="10">
        <f>IFERROR(__xludf.DUMMYFUNCTION("""COMPUTED_VALUE"""),1.0)</f>
        <v>1</v>
      </c>
      <c r="K80" s="10" t="str">
        <f>IFERROR(__xludf.DUMMYFUNCTION("""COMPUTED_VALUE"""),"Олимп")</f>
        <v>Олимп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2"/>
      <c r="W80" s="12"/>
      <c r="X80" s="12"/>
      <c r="Y80" s="12"/>
    </row>
    <row r="81" ht="30.0" customHeight="1">
      <c r="A81" s="77" t="s">
        <v>240</v>
      </c>
      <c r="B81" s="87">
        <v>77.0</v>
      </c>
      <c r="C81" s="51" t="s">
        <v>28</v>
      </c>
      <c r="D81" s="51" t="s">
        <v>57</v>
      </c>
      <c r="E81" s="51" t="s">
        <v>80</v>
      </c>
      <c r="F81" s="101" t="s">
        <v>68</v>
      </c>
      <c r="G81" s="55" t="str">
        <f t="shared" si="1"/>
        <v>Котл. кур Картошка</v>
      </c>
      <c r="H81" s="57" t="s">
        <v>1</v>
      </c>
      <c r="I81" s="10" t="str">
        <f>IFERROR(__xludf.DUMMYFUNCTION("""COMPUTED_VALUE"""),"табака  Картошка")</f>
        <v>табака  Картошка</v>
      </c>
      <c r="J81" s="10">
        <f>IFERROR(__xludf.DUMMYFUNCTION("""COMPUTED_VALUE"""),2.0)</f>
        <v>2</v>
      </c>
      <c r="K81" s="10" t="str">
        <f>IFERROR(__xludf.DUMMYFUNCTION("""COMPUTED_VALUE"""),"Олимп")</f>
        <v>Олимп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2"/>
      <c r="W81" s="12"/>
      <c r="X81" s="12"/>
      <c r="Y81" s="12"/>
    </row>
    <row r="82" ht="30.0" customHeight="1">
      <c r="A82" s="44" t="s">
        <v>245</v>
      </c>
      <c r="B82" s="87">
        <v>78.0</v>
      </c>
      <c r="C82" s="51" t="s">
        <v>20</v>
      </c>
      <c r="D82" s="51" t="s">
        <v>57</v>
      </c>
      <c r="E82" s="51" t="s">
        <v>91</v>
      </c>
      <c r="F82" s="51" t="s">
        <v>100</v>
      </c>
      <c r="G82" s="55" t="str">
        <f t="shared" si="1"/>
        <v>табака  Паста  </v>
      </c>
      <c r="H82" s="57" t="s">
        <v>1</v>
      </c>
      <c r="I82" s="10" t="str">
        <f>IFERROR(__xludf.DUMMYFUNCTION("""COMPUTED_VALUE"""),"табака  Паста  ")</f>
        <v>табака  Паста  </v>
      </c>
      <c r="J82" s="10">
        <f>IFERROR(__xludf.DUMMYFUNCTION("""COMPUTED_VALUE"""),2.0)</f>
        <v>2</v>
      </c>
      <c r="K82" s="10" t="str">
        <f>IFERROR(__xludf.DUMMYFUNCTION("""COMPUTED_VALUE"""),"Олимп")</f>
        <v>Олимп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2"/>
      <c r="W82" s="12"/>
      <c r="X82" s="12"/>
      <c r="Y82" s="12"/>
    </row>
    <row r="83" ht="30.0" customHeight="1">
      <c r="A83" s="44" t="s">
        <v>199</v>
      </c>
      <c r="B83" s="87">
        <v>79.0</v>
      </c>
      <c r="C83" s="51" t="s">
        <v>40</v>
      </c>
      <c r="D83" s="51" t="s">
        <v>55</v>
      </c>
      <c r="E83" s="51" t="s">
        <v>75</v>
      </c>
      <c r="F83" s="51" t="s">
        <v>68</v>
      </c>
      <c r="G83" s="55" t="str">
        <f t="shared" si="1"/>
        <v>Голубцы Картошка</v>
      </c>
      <c r="H83" s="57" t="s">
        <v>1</v>
      </c>
      <c r="I83" s="10" t="str">
        <f>IFERROR(__xludf.DUMMYFUNCTION("""COMPUTED_VALUE"""),"табака  Туш. кап.")</f>
        <v>табака  Туш. кап.</v>
      </c>
      <c r="J83" s="10">
        <f>IFERROR(__xludf.DUMMYFUNCTION("""COMPUTED_VALUE"""),1.0)</f>
        <v>1</v>
      </c>
      <c r="K83" s="10" t="str">
        <f>IFERROR(__xludf.DUMMYFUNCTION("""COMPUTED_VALUE"""),"Олимп")</f>
        <v>Олимп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2"/>
      <c r="W83" s="12"/>
      <c r="X83" s="12"/>
      <c r="Y83" s="12"/>
    </row>
    <row r="84" ht="30.0" customHeight="1">
      <c r="A84" s="3" t="s">
        <v>252</v>
      </c>
      <c r="B84" s="87">
        <v>80.0</v>
      </c>
      <c r="C84" s="51" t="s">
        <v>31</v>
      </c>
      <c r="D84" s="51" t="s">
        <v>55</v>
      </c>
      <c r="E84" s="51" t="s">
        <v>97</v>
      </c>
      <c r="F84" s="51" t="s">
        <v>90</v>
      </c>
      <c r="G84" s="55" t="str">
        <f t="shared" si="1"/>
        <v>Шницель Туш. кап.</v>
      </c>
      <c r="H84" s="57" t="s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2"/>
      <c r="W84" s="12"/>
      <c r="X84" s="12"/>
      <c r="Y84" s="12"/>
    </row>
    <row r="85" ht="30.0" customHeight="1">
      <c r="A85" s="77" t="s">
        <v>474</v>
      </c>
      <c r="B85" s="87">
        <v>81.0</v>
      </c>
      <c r="C85" s="51" t="s">
        <v>40</v>
      </c>
      <c r="D85" s="51" t="s">
        <v>52</v>
      </c>
      <c r="E85" s="51" t="s">
        <v>67</v>
      </c>
      <c r="F85" s="62" t="s">
        <v>117</v>
      </c>
      <c r="G85" s="55" t="str">
        <f t="shared" si="1"/>
        <v>S   Фасоль</v>
      </c>
      <c r="H85" s="57" t="s">
        <v>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2"/>
      <c r="W85" s="12"/>
      <c r="X85" s="12"/>
      <c r="Y85" s="12"/>
    </row>
    <row r="86" ht="30.0" customHeight="1">
      <c r="A86" s="3" t="s">
        <v>371</v>
      </c>
      <c r="B86" s="87">
        <v>82.0</v>
      </c>
      <c r="C86" s="62" t="s">
        <v>28</v>
      </c>
      <c r="D86" s="62" t="s">
        <v>52</v>
      </c>
      <c r="E86" s="62" t="s">
        <v>73</v>
      </c>
      <c r="F86" s="62"/>
      <c r="G86" s="55" t="str">
        <f t="shared" si="1"/>
        <v>Бл. твор </v>
      </c>
      <c r="H86" s="57" t="s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2"/>
      <c r="W86" s="12"/>
      <c r="X86" s="12"/>
      <c r="Y86" s="12"/>
    </row>
    <row r="87" ht="30.0" customHeight="1">
      <c r="A87" s="77" t="s">
        <v>256</v>
      </c>
      <c r="B87" s="87">
        <v>83.0</v>
      </c>
      <c r="C87" s="51" t="s">
        <v>20</v>
      </c>
      <c r="D87" s="51" t="s">
        <v>59</v>
      </c>
      <c r="E87" s="51" t="s">
        <v>94</v>
      </c>
      <c r="F87" s="62" t="s">
        <v>68</v>
      </c>
      <c r="G87" s="55" t="str">
        <f t="shared" si="1"/>
        <v>Чалахач Картошка</v>
      </c>
      <c r="H87" s="57" t="s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2"/>
      <c r="W87" s="12"/>
      <c r="X87" s="12"/>
      <c r="Y87" s="12"/>
    </row>
    <row r="88" ht="30.0" customHeight="1">
      <c r="A88" s="77" t="s">
        <v>259</v>
      </c>
      <c r="B88" s="87">
        <v>84.0</v>
      </c>
      <c r="C88" s="51" t="s">
        <v>33</v>
      </c>
      <c r="D88" s="51" t="s">
        <v>59</v>
      </c>
      <c r="E88" s="51" t="s">
        <v>80</v>
      </c>
      <c r="F88" s="62"/>
      <c r="G88" s="55" t="str">
        <f t="shared" si="1"/>
        <v>Котл. кур </v>
      </c>
      <c r="H88" s="57" t="s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2"/>
      <c r="W88" s="12"/>
      <c r="X88" s="12"/>
      <c r="Y88" s="12"/>
    </row>
    <row r="89" ht="30.0" customHeight="1">
      <c r="A89" s="77" t="s">
        <v>264</v>
      </c>
      <c r="B89" s="87">
        <v>85.0</v>
      </c>
      <c r="C89" s="51" t="s">
        <v>25</v>
      </c>
      <c r="D89" s="51" t="s">
        <v>50</v>
      </c>
      <c r="E89" s="51" t="s">
        <v>80</v>
      </c>
      <c r="F89" s="51"/>
      <c r="G89" s="55" t="str">
        <f t="shared" si="1"/>
        <v>Котл. кур </v>
      </c>
      <c r="H89" s="57" t="s">
        <v>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2"/>
      <c r="W89" s="12"/>
      <c r="X89" s="12"/>
      <c r="Y89" s="12"/>
    </row>
    <row r="90" ht="30.0" customHeight="1">
      <c r="A90" s="130" t="s">
        <v>373</v>
      </c>
      <c r="B90" s="87">
        <v>86.0</v>
      </c>
      <c r="C90" s="51" t="s">
        <v>20</v>
      </c>
      <c r="D90" s="51" t="s">
        <v>48</v>
      </c>
      <c r="E90" s="51" t="s">
        <v>91</v>
      </c>
      <c r="F90" s="62" t="s">
        <v>68</v>
      </c>
      <c r="G90" s="55" t="str">
        <f t="shared" si="1"/>
        <v>табака  Картошка</v>
      </c>
      <c r="H90" s="57" t="s">
        <v>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2"/>
      <c r="W90" s="12"/>
      <c r="X90" s="12"/>
      <c r="Y90" s="12"/>
    </row>
    <row r="91" ht="30.0" customHeight="1">
      <c r="A91" s="3" t="s">
        <v>376</v>
      </c>
      <c r="B91" s="87">
        <v>87.0</v>
      </c>
      <c r="C91" s="51" t="s">
        <v>25</v>
      </c>
      <c r="D91" s="51" t="s">
        <v>59</v>
      </c>
      <c r="E91" s="51" t="s">
        <v>91</v>
      </c>
      <c r="F91" s="101" t="s">
        <v>103</v>
      </c>
      <c r="G91" s="55" t="str">
        <f t="shared" si="1"/>
        <v>табака  Гр  </v>
      </c>
      <c r="H91" s="57" t="s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2"/>
      <c r="W91" s="12"/>
      <c r="X91" s="12"/>
      <c r="Y91" s="12"/>
    </row>
    <row r="92" ht="30.0" customHeight="1">
      <c r="A92" s="91" t="s">
        <v>270</v>
      </c>
      <c r="B92" s="87">
        <v>88.0</v>
      </c>
      <c r="C92" s="62" t="s">
        <v>33</v>
      </c>
      <c r="D92" s="51" t="s">
        <v>59</v>
      </c>
      <c r="E92" s="51" t="s">
        <v>65</v>
      </c>
      <c r="F92" s="62"/>
      <c r="G92" s="104" t="str">
        <f t="shared" si="1"/>
        <v>Вар.Кар </v>
      </c>
      <c r="H92" s="57" t="s">
        <v>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2"/>
      <c r="W92" s="12"/>
      <c r="X92" s="12"/>
      <c r="Y92" s="12"/>
    </row>
    <row r="93" ht="30.0" customHeight="1">
      <c r="A93" s="91" t="s">
        <v>477</v>
      </c>
      <c r="B93" s="87">
        <v>89.0</v>
      </c>
      <c r="C93" s="51" t="s">
        <v>16</v>
      </c>
      <c r="D93" s="51" t="s">
        <v>48</v>
      </c>
      <c r="E93" s="51" t="s">
        <v>67</v>
      </c>
      <c r="F93" s="51" t="s">
        <v>90</v>
      </c>
      <c r="G93" s="55" t="str">
        <f t="shared" si="1"/>
        <v>S   Туш. кап.</v>
      </c>
      <c r="H93" s="57" t="s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2"/>
      <c r="W93" s="12"/>
      <c r="X93" s="12"/>
      <c r="Y93" s="12"/>
    </row>
    <row r="94" ht="30.0" customHeight="1">
      <c r="A94" s="44" t="s">
        <v>282</v>
      </c>
      <c r="B94" s="87">
        <v>90.0</v>
      </c>
      <c r="C94" s="51" t="s">
        <v>20</v>
      </c>
      <c r="D94" s="51" t="s">
        <v>61</v>
      </c>
      <c r="E94" s="51" t="s">
        <v>94</v>
      </c>
      <c r="F94" s="62" t="s">
        <v>100</v>
      </c>
      <c r="G94" s="55" t="str">
        <f t="shared" si="1"/>
        <v>Чалахач Паста  </v>
      </c>
      <c r="H94" s="57" t="s">
        <v>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2"/>
      <c r="W94" s="12"/>
      <c r="X94" s="12"/>
      <c r="Y94" s="12"/>
    </row>
    <row r="95" ht="30.0" customHeight="1">
      <c r="A95" s="44" t="s">
        <v>211</v>
      </c>
      <c r="B95" s="87">
        <v>91.0</v>
      </c>
      <c r="C95" s="51" t="s">
        <v>25</v>
      </c>
      <c r="D95" s="51" t="s">
        <v>57</v>
      </c>
      <c r="E95" s="51" t="s">
        <v>80</v>
      </c>
      <c r="F95" s="51" t="s">
        <v>90</v>
      </c>
      <c r="G95" s="55" t="str">
        <f t="shared" si="1"/>
        <v>Котл. кур Туш. кап.</v>
      </c>
      <c r="H95" s="57" t="s">
        <v>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2"/>
      <c r="W95" s="12"/>
      <c r="X95" s="12"/>
      <c r="Y95" s="12"/>
    </row>
    <row r="96" ht="30.0" customHeight="1">
      <c r="A96" s="112" t="s">
        <v>478</v>
      </c>
      <c r="B96" s="87">
        <v>92.0</v>
      </c>
      <c r="C96" s="51" t="s">
        <v>31</v>
      </c>
      <c r="D96" s="51"/>
      <c r="E96" s="51" t="s">
        <v>67</v>
      </c>
      <c r="F96" s="62" t="s">
        <v>90</v>
      </c>
      <c r="G96" s="55" t="str">
        <f t="shared" si="1"/>
        <v>S   Туш. кап.</v>
      </c>
      <c r="H96" s="57" t="s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2"/>
      <c r="W96" s="12"/>
      <c r="X96" s="12"/>
      <c r="Y96" s="12"/>
    </row>
    <row r="97" ht="30.0" customHeight="1">
      <c r="A97" s="72" t="s">
        <v>290</v>
      </c>
      <c r="B97" s="87">
        <v>93.0</v>
      </c>
      <c r="C97" s="51" t="s">
        <v>16</v>
      </c>
      <c r="D97" s="51" t="s">
        <v>50</v>
      </c>
      <c r="E97" s="51" t="s">
        <v>75</v>
      </c>
      <c r="F97" s="93"/>
      <c r="G97" s="55" t="str">
        <f t="shared" si="1"/>
        <v>Голубцы </v>
      </c>
      <c r="H97" s="57" t="s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2"/>
      <c r="W97" s="12"/>
      <c r="X97" s="12"/>
      <c r="Y97" s="12"/>
    </row>
    <row r="98" ht="30.0" customHeight="1">
      <c r="A98" s="44" t="s">
        <v>380</v>
      </c>
      <c r="B98" s="87">
        <v>94.0</v>
      </c>
      <c r="C98" s="51" t="s">
        <v>28</v>
      </c>
      <c r="D98" s="51" t="s">
        <v>57</v>
      </c>
      <c r="E98" s="51" t="s">
        <v>94</v>
      </c>
      <c r="F98" s="62" t="s">
        <v>103</v>
      </c>
      <c r="G98" s="55" t="str">
        <f t="shared" si="1"/>
        <v>Чалахач Гр  </v>
      </c>
      <c r="H98" s="57" t="s">
        <v>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2"/>
      <c r="W98" s="12"/>
      <c r="X98" s="12"/>
      <c r="Y98" s="12"/>
    </row>
    <row r="99" ht="30.0" customHeight="1">
      <c r="A99" s="44" t="s">
        <v>381</v>
      </c>
      <c r="B99" s="87">
        <v>95.0</v>
      </c>
      <c r="C99" s="51" t="s">
        <v>35</v>
      </c>
      <c r="D99" s="51" t="s">
        <v>55</v>
      </c>
      <c r="E99" s="51" t="s">
        <v>97</v>
      </c>
      <c r="F99" s="51" t="s">
        <v>68</v>
      </c>
      <c r="G99" s="55" t="str">
        <f t="shared" si="1"/>
        <v>Шницель Картошка</v>
      </c>
      <c r="H99" s="57" t="s">
        <v>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2"/>
      <c r="W99" s="12"/>
      <c r="X99" s="12"/>
      <c r="Y99" s="12"/>
    </row>
    <row r="100" ht="30.0" customHeight="1">
      <c r="A100" s="44" t="s">
        <v>218</v>
      </c>
      <c r="B100" s="87">
        <v>96.0</v>
      </c>
      <c r="C100" s="51" t="s">
        <v>16</v>
      </c>
      <c r="D100" s="51" t="s">
        <v>55</v>
      </c>
      <c r="E100" s="51" t="s">
        <v>67</v>
      </c>
      <c r="F100" s="62" t="s">
        <v>68</v>
      </c>
      <c r="G100" s="55" t="str">
        <f t="shared" si="1"/>
        <v>S   Картошка</v>
      </c>
      <c r="H100" s="57" t="s">
        <v>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2"/>
      <c r="W100" s="12"/>
      <c r="X100" s="12"/>
      <c r="Y100" s="12"/>
    </row>
    <row r="101" ht="30.0" customHeight="1">
      <c r="A101" s="44" t="s">
        <v>220</v>
      </c>
      <c r="B101" s="87">
        <v>97.0</v>
      </c>
      <c r="C101" s="51" t="s">
        <v>45</v>
      </c>
      <c r="D101" s="51" t="s">
        <v>50</v>
      </c>
      <c r="E101" s="51" t="s">
        <v>67</v>
      </c>
      <c r="F101" s="51" t="s">
        <v>117</v>
      </c>
      <c r="G101" s="55" t="str">
        <f t="shared" si="1"/>
        <v>S   Фасоль</v>
      </c>
      <c r="H101" s="57" t="s">
        <v>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2"/>
      <c r="W101" s="12"/>
      <c r="X101" s="12"/>
      <c r="Y101" s="12"/>
    </row>
    <row r="102" ht="30.0" customHeight="1">
      <c r="A102" s="91" t="s">
        <v>384</v>
      </c>
      <c r="B102" s="87">
        <v>98.0</v>
      </c>
      <c r="C102" s="51" t="s">
        <v>31</v>
      </c>
      <c r="D102" s="51" t="s">
        <v>50</v>
      </c>
      <c r="E102" s="51" t="s">
        <v>76</v>
      </c>
      <c r="F102" s="51" t="s">
        <v>64</v>
      </c>
      <c r="G102" s="55" t="str">
        <f t="shared" si="1"/>
        <v>Гуляш  FF</v>
      </c>
      <c r="H102" s="57" t="s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2"/>
      <c r="W102" s="12"/>
      <c r="X102" s="12"/>
      <c r="Y102" s="12"/>
    </row>
    <row r="103" ht="30.0" customHeight="1">
      <c r="A103" s="77" t="s">
        <v>386</v>
      </c>
      <c r="B103" s="87">
        <v>99.0</v>
      </c>
      <c r="C103" s="51" t="s">
        <v>40</v>
      </c>
      <c r="D103" s="51" t="s">
        <v>55</v>
      </c>
      <c r="E103" s="51" t="s">
        <v>67</v>
      </c>
      <c r="F103" s="51" t="s">
        <v>111</v>
      </c>
      <c r="G103" s="55" t="str">
        <f t="shared" si="1"/>
        <v>S   MP </v>
      </c>
      <c r="H103" s="57" t="s">
        <v>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2"/>
      <c r="W103" s="12"/>
      <c r="X103" s="12"/>
      <c r="Y103" s="12"/>
    </row>
    <row r="104" ht="30.0" customHeight="1">
      <c r="A104" s="77" t="s">
        <v>480</v>
      </c>
      <c r="B104" s="87">
        <v>100.0</v>
      </c>
      <c r="C104" s="62" t="s">
        <v>31</v>
      </c>
      <c r="D104" s="62" t="s">
        <v>52</v>
      </c>
      <c r="E104" s="51" t="s">
        <v>93</v>
      </c>
      <c r="F104" s="51" t="s">
        <v>111</v>
      </c>
      <c r="G104" s="55" t="str">
        <f t="shared" si="1"/>
        <v>Терияки MP </v>
      </c>
      <c r="H104" s="57" t="s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2"/>
      <c r="W104" s="12"/>
      <c r="X104" s="12"/>
      <c r="Y104" s="12"/>
    </row>
    <row r="105" ht="30.0" customHeight="1">
      <c r="A105" s="91" t="s">
        <v>387</v>
      </c>
      <c r="B105" s="87">
        <v>101.0</v>
      </c>
      <c r="C105" s="103" t="s">
        <v>16</v>
      </c>
      <c r="D105" s="103" t="s">
        <v>55</v>
      </c>
      <c r="E105" s="103" t="s">
        <v>71</v>
      </c>
      <c r="F105" s="149"/>
      <c r="G105" s="104" t="str">
        <f t="shared" si="1"/>
        <v>Бл. мясо </v>
      </c>
      <c r="H105" s="104" t="s">
        <v>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2"/>
      <c r="W105" s="12"/>
      <c r="X105" s="12"/>
      <c r="Y105" s="12"/>
    </row>
    <row r="106" ht="30.0" customHeight="1">
      <c r="A106" s="77" t="s">
        <v>388</v>
      </c>
      <c r="B106" s="87">
        <v>102.0</v>
      </c>
      <c r="C106" s="51" t="s">
        <v>16</v>
      </c>
      <c r="D106" s="62" t="s">
        <v>55</v>
      </c>
      <c r="E106" s="51" t="s">
        <v>67</v>
      </c>
      <c r="F106" s="51" t="s">
        <v>103</v>
      </c>
      <c r="G106" s="55" t="str">
        <f t="shared" si="1"/>
        <v>S   Гр  </v>
      </c>
      <c r="H106" s="57" t="s">
        <v>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2"/>
      <c r="W106" s="12"/>
      <c r="X106" s="12"/>
      <c r="Y106" s="12"/>
    </row>
    <row r="107" ht="30.0" customHeight="1">
      <c r="A107" s="77" t="s">
        <v>411</v>
      </c>
      <c r="B107" s="87">
        <v>103.0</v>
      </c>
      <c r="C107" s="51" t="s">
        <v>35</v>
      </c>
      <c r="D107" s="51" t="s">
        <v>52</v>
      </c>
      <c r="E107" s="62" t="s">
        <v>94</v>
      </c>
      <c r="F107" s="62" t="s">
        <v>103</v>
      </c>
      <c r="G107" s="55" t="str">
        <f t="shared" si="1"/>
        <v>Чалахач Гр  </v>
      </c>
      <c r="H107" s="57" t="s">
        <v>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2"/>
      <c r="W107" s="12"/>
      <c r="X107" s="12"/>
      <c r="Y107" s="12"/>
    </row>
    <row r="108" ht="30.0" customHeight="1">
      <c r="A108" s="77" t="s">
        <v>390</v>
      </c>
      <c r="B108" s="87">
        <v>104.0</v>
      </c>
      <c r="C108" s="51" t="s">
        <v>40</v>
      </c>
      <c r="D108" s="51" t="s">
        <v>57</v>
      </c>
      <c r="E108" s="51" t="s">
        <v>67</v>
      </c>
      <c r="F108" s="77" t="s">
        <v>111</v>
      </c>
      <c r="G108" s="55" t="str">
        <f t="shared" si="1"/>
        <v>S   MP </v>
      </c>
      <c r="H108" s="57" t="s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2"/>
      <c r="W108" s="12"/>
      <c r="X108" s="12"/>
      <c r="Y108" s="12"/>
    </row>
    <row r="109" ht="30.0" customHeight="1">
      <c r="A109" s="77" t="s">
        <v>481</v>
      </c>
      <c r="B109" s="87">
        <v>105.0</v>
      </c>
      <c r="C109" s="51" t="s">
        <v>28</v>
      </c>
      <c r="D109" s="51" t="s">
        <v>57</v>
      </c>
      <c r="E109" s="51" t="s">
        <v>67</v>
      </c>
      <c r="F109" s="51" t="s">
        <v>68</v>
      </c>
      <c r="G109" s="55" t="str">
        <f t="shared" si="1"/>
        <v>S   Картошка</v>
      </c>
      <c r="H109" s="57" t="s">
        <v>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2"/>
      <c r="W109" s="12"/>
      <c r="X109" s="12"/>
      <c r="Y109" s="12"/>
    </row>
    <row r="110" ht="30.0" customHeight="1">
      <c r="A110" s="77" t="s">
        <v>238</v>
      </c>
      <c r="B110" s="87">
        <v>106.0</v>
      </c>
      <c r="C110" s="51" t="s">
        <v>20</v>
      </c>
      <c r="D110" s="51" t="s">
        <v>55</v>
      </c>
      <c r="E110" s="51" t="s">
        <v>67</v>
      </c>
      <c r="F110" s="62" t="s">
        <v>90</v>
      </c>
      <c r="G110" s="55" t="str">
        <f t="shared" si="1"/>
        <v>S   Туш. кап.</v>
      </c>
      <c r="H110" s="57" t="s">
        <v>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2"/>
      <c r="W110" s="12"/>
      <c r="X110" s="12"/>
      <c r="Y110" s="12"/>
    </row>
    <row r="111" ht="30.0" customHeight="1">
      <c r="A111" s="3" t="s">
        <v>482</v>
      </c>
      <c r="B111" s="87">
        <v>107.0</v>
      </c>
      <c r="C111" s="51" t="s">
        <v>25</v>
      </c>
      <c r="D111" s="51" t="s">
        <v>50</v>
      </c>
      <c r="E111" s="51" t="s">
        <v>63</v>
      </c>
      <c r="F111" s="51" t="s">
        <v>68</v>
      </c>
      <c r="G111" s="55" t="str">
        <f t="shared" si="1"/>
        <v>Баса Картошка</v>
      </c>
      <c r="H111" s="57" t="s">
        <v>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2"/>
      <c r="W111" s="12"/>
      <c r="X111" s="12"/>
      <c r="Y111" s="12"/>
    </row>
    <row r="112" ht="30.0" customHeight="1">
      <c r="A112" s="3" t="s">
        <v>278</v>
      </c>
      <c r="B112" s="87">
        <v>108.0</v>
      </c>
      <c r="C112" s="51" t="s">
        <v>45</v>
      </c>
      <c r="D112" s="51" t="s">
        <v>59</v>
      </c>
      <c r="E112" s="51" t="s">
        <v>76</v>
      </c>
      <c r="F112" s="62" t="s">
        <v>100</v>
      </c>
      <c r="G112" s="55" t="str">
        <f t="shared" si="1"/>
        <v>Гуляш Паста  </v>
      </c>
      <c r="H112" s="57" t="s">
        <v>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2"/>
      <c r="W112" s="12"/>
      <c r="X112" s="12"/>
      <c r="Y112" s="12"/>
    </row>
    <row r="113" ht="30.0" customHeight="1">
      <c r="A113" s="91" t="s">
        <v>391</v>
      </c>
      <c r="B113" s="87">
        <v>109.0</v>
      </c>
      <c r="C113" s="51" t="s">
        <v>31</v>
      </c>
      <c r="D113" s="51"/>
      <c r="E113" s="51" t="s">
        <v>67</v>
      </c>
      <c r="F113" s="51" t="s">
        <v>111</v>
      </c>
      <c r="G113" s="55" t="str">
        <f t="shared" si="1"/>
        <v>S   MP </v>
      </c>
      <c r="H113" s="57" t="s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2"/>
      <c r="W113" s="12"/>
      <c r="X113" s="12"/>
      <c r="Y113" s="12"/>
    </row>
    <row r="114" ht="30.0" customHeight="1">
      <c r="A114" s="44" t="s">
        <v>483</v>
      </c>
      <c r="B114" s="87">
        <v>110.0</v>
      </c>
      <c r="C114" s="51" t="s">
        <v>25</v>
      </c>
      <c r="D114" s="51" t="s">
        <v>50</v>
      </c>
      <c r="E114" s="51" t="s">
        <v>88</v>
      </c>
      <c r="F114" s="51" t="s">
        <v>68</v>
      </c>
      <c r="G114" s="55" t="str">
        <f t="shared" si="1"/>
        <v>Св. отбив   Картошка</v>
      </c>
      <c r="H114" s="57" t="s">
        <v>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2"/>
      <c r="W114" s="12"/>
      <c r="X114" s="12"/>
      <c r="Y114" s="12"/>
    </row>
    <row r="115" ht="30.0" customHeight="1">
      <c r="A115" s="91" t="s">
        <v>393</v>
      </c>
      <c r="B115" s="87">
        <v>111.0</v>
      </c>
      <c r="C115" s="62" t="s">
        <v>28</v>
      </c>
      <c r="D115" s="51" t="s">
        <v>52</v>
      </c>
      <c r="E115" s="100" t="s">
        <v>80</v>
      </c>
      <c r="F115" s="51" t="s">
        <v>64</v>
      </c>
      <c r="G115" s="55" t="str">
        <f t="shared" si="1"/>
        <v>Котл. кур  FF</v>
      </c>
      <c r="H115" s="57" t="s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2"/>
      <c r="W115" s="12"/>
      <c r="X115" s="12"/>
      <c r="Y115" s="12"/>
    </row>
    <row r="116" ht="30.0" customHeight="1">
      <c r="A116" s="64"/>
      <c r="B116" s="64"/>
      <c r="C116" s="64"/>
      <c r="D116" s="64"/>
      <c r="E116" s="64"/>
      <c r="F116" s="64"/>
      <c r="G116" s="64"/>
      <c r="H116" s="6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2"/>
      <c r="W116" s="12"/>
      <c r="X116" s="12"/>
      <c r="Y116" s="12"/>
    </row>
    <row r="117" ht="30.0" customHeight="1">
      <c r="A117" s="64"/>
      <c r="B117" s="64"/>
      <c r="C117" s="64"/>
      <c r="D117" s="64"/>
      <c r="E117" s="64"/>
      <c r="F117" s="64"/>
      <c r="G117" s="64"/>
      <c r="H117" s="6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2"/>
      <c r="W117" s="12"/>
      <c r="X117" s="12"/>
      <c r="Y117" s="12"/>
    </row>
    <row r="118">
      <c r="A118" s="64"/>
      <c r="B118" s="64"/>
      <c r="C118" s="64"/>
      <c r="D118" s="64"/>
      <c r="E118" s="64"/>
      <c r="F118" s="6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2"/>
      <c r="W118" s="12"/>
      <c r="X118" s="12"/>
      <c r="Y118" s="12"/>
    </row>
    <row r="119">
      <c r="A119" s="64"/>
      <c r="B119" s="64"/>
      <c r="C119" s="64"/>
      <c r="D119" s="64"/>
      <c r="E119" s="64"/>
      <c r="F119" s="6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2"/>
      <c r="W119" s="12"/>
      <c r="X119" s="12"/>
      <c r="Y119" s="12"/>
    </row>
    <row r="120">
      <c r="A120" s="64"/>
      <c r="B120" s="64"/>
      <c r="C120" s="64"/>
      <c r="D120" s="64"/>
      <c r="E120" s="64"/>
      <c r="F120" s="6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2"/>
      <c r="W120" s="12"/>
      <c r="X120" s="12"/>
      <c r="Y120" s="12"/>
    </row>
    <row r="121">
      <c r="A121" s="64"/>
      <c r="B121" s="64"/>
      <c r="C121" s="64"/>
      <c r="D121" s="64"/>
      <c r="E121" s="64"/>
      <c r="F121" s="64"/>
      <c r="G121" s="64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2"/>
      <c r="W121" s="12"/>
      <c r="X121" s="12"/>
      <c r="Y121" s="12"/>
    </row>
    <row r="122">
      <c r="A122" s="64"/>
      <c r="B122" s="64"/>
      <c r="C122" s="64"/>
      <c r="D122" s="64"/>
      <c r="E122" s="64"/>
      <c r="F122" s="64"/>
      <c r="G122" s="15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2"/>
      <c r="W122" s="12"/>
      <c r="X122" s="12"/>
      <c r="Y122" s="12"/>
    </row>
    <row r="123">
      <c r="A123" s="64"/>
      <c r="B123" s="64"/>
      <c r="C123" s="64"/>
      <c r="D123" s="64"/>
      <c r="E123" s="64"/>
      <c r="F123" s="6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2"/>
      <c r="W123" s="12"/>
      <c r="X123" s="12"/>
      <c r="Y123" s="12"/>
    </row>
    <row r="124">
      <c r="A124" s="6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2"/>
      <c r="W124" s="12"/>
      <c r="X124" s="12"/>
      <c r="Y124" s="12"/>
    </row>
    <row r="125">
      <c r="A125" s="3" t="s">
        <v>395</v>
      </c>
      <c r="B125" s="57" t="s">
        <v>274</v>
      </c>
      <c r="C125" s="51" t="s">
        <v>16</v>
      </c>
      <c r="D125" s="51" t="s">
        <v>57</v>
      </c>
      <c r="E125" s="51" t="s">
        <v>77</v>
      </c>
      <c r="F125" s="93" t="s">
        <v>100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2"/>
      <c r="W125" s="12"/>
      <c r="X125" s="12"/>
      <c r="Y125" s="12"/>
    </row>
    <row r="126">
      <c r="A126" s="64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2"/>
      <c r="W126" s="12"/>
      <c r="X126" s="12"/>
      <c r="Y126" s="12"/>
    </row>
    <row r="127">
      <c r="A127" s="44" t="s">
        <v>401</v>
      </c>
      <c r="B127" s="57" t="s">
        <v>274</v>
      </c>
      <c r="C127" s="51" t="s">
        <v>31</v>
      </c>
      <c r="D127" s="51" t="s">
        <v>50</v>
      </c>
      <c r="E127" s="51" t="s">
        <v>67</v>
      </c>
      <c r="F127" s="62" t="s">
        <v>111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2"/>
      <c r="W127" s="12"/>
      <c r="X127" s="12"/>
      <c r="Y127" s="12"/>
    </row>
    <row r="128">
      <c r="A128" s="77" t="s">
        <v>396</v>
      </c>
      <c r="B128" s="115" t="s">
        <v>484</v>
      </c>
      <c r="C128" s="51" t="s">
        <v>40</v>
      </c>
      <c r="D128" s="51" t="s">
        <v>52</v>
      </c>
      <c r="E128" s="51" t="s">
        <v>83</v>
      </c>
      <c r="F128" s="1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2"/>
      <c r="W128" s="12"/>
      <c r="X128" s="12"/>
      <c r="Y128" s="12"/>
    </row>
    <row r="129">
      <c r="A129" s="77" t="s">
        <v>325</v>
      </c>
      <c r="B129" s="114" t="s">
        <v>326</v>
      </c>
      <c r="C129" s="51" t="s">
        <v>40</v>
      </c>
      <c r="D129" s="51" t="s">
        <v>57</v>
      </c>
      <c r="E129" s="51" t="s">
        <v>91</v>
      </c>
      <c r="F129" s="62" t="s">
        <v>103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2"/>
      <c r="W129" s="12"/>
      <c r="X129" s="12"/>
      <c r="Y129" s="12"/>
    </row>
    <row r="130">
      <c r="A130" s="72" t="s">
        <v>333</v>
      </c>
      <c r="B130" s="131" t="s">
        <v>382</v>
      </c>
      <c r="C130" s="51" t="s">
        <v>40</v>
      </c>
      <c r="D130" s="51" t="s">
        <v>52</v>
      </c>
      <c r="E130" s="51" t="s">
        <v>88</v>
      </c>
      <c r="F130" s="51" t="s">
        <v>64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2"/>
      <c r="W130" s="12"/>
      <c r="X130" s="12"/>
      <c r="Y130" s="12"/>
    </row>
    <row r="131">
      <c r="A131" s="77" t="s">
        <v>412</v>
      </c>
      <c r="B131" s="87" t="s">
        <v>485</v>
      </c>
      <c r="C131" s="51" t="s">
        <v>31</v>
      </c>
      <c r="D131" s="51" t="s">
        <v>48</v>
      </c>
      <c r="E131" s="51" t="s">
        <v>67</v>
      </c>
      <c r="F131" s="51" t="s">
        <v>90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2"/>
      <c r="W597" s="12"/>
      <c r="X597" s="12"/>
      <c r="Y597" s="12"/>
    </row>
  </sheetData>
  <dataValidations>
    <dataValidation type="list" allowBlank="1" sqref="C6:C7 C9 C13 C16 C18:C19 C21 C23:C26 C29:C31 C36:C40 C44 C47:C49 C51 C53 C55 C57:C58 C60 C64:C65 C67 C71 C73:C77 C79:C83 C91:C92 C94 C97 C99 C103 C105:C106 C112 C127:C130">
      <formula1>Menu!$B$2:$B$16</formula1>
    </dataValidation>
    <dataValidation type="list" allowBlank="1" sqref="F5 F8:F12 F14:F23 F27:F31 F33:F35 F39:F43 F45:F49 F51:F54 F56:F64 F66:F67 F69:F70 F72:F73 F75:F77 F83 F85:F90 F93:F96 F98:F99 F101:F105 F107:F115 F125 F129:F131">
      <formula1>Menu!$B$73:$B$84</formula1>
    </dataValidation>
    <dataValidation type="list" allowBlank="1" sqref="D6:D7 D9 D13 D16 D18 D21:D26 D29:D30 D36:D38 D44 D47:D48 D50 D55:D56 D58 D60 D63 D65 D67:D68 D71 D74:D76 D78:D81 D83 D87 D90:D92 D94 D97 D99 D103 D106 D110 D115 D127 D129:D130">
      <formula1>Menu!$B$19:$B$27</formula1>
    </dataValidation>
    <dataValidation type="list" allowBlank="1" sqref="H5:H8 H11:H12 H14:H20 H22:H24 H26:H28 H31:H56 H58:H60 H64:H115">
      <formula1>Menu!$A$1</formula1>
    </dataValidation>
    <dataValidation type="list" allowBlank="1" sqref="C5 C8 C10:C12 C14:C15 C17 C20 C22 C27:C28 C32:C35 C41:C43 C45:C46 C50 C52 C54 C56 C59 C61:C63 C66 C68:C70 C72 C78 C84:C90 C93 C95:C96 C98 C100:C102 C104 C107:C111 C113:C115 C125 C131">
      <formula1>Menu!$B$2:$B$15</formula1>
    </dataValidation>
    <dataValidation type="list" allowBlank="1" sqref="D5 D8 D10:D12 D14:D15 D17 D19:D20 D27:D28 D31:D35 D39:D43 D45:D46 D49 D51:D54 D57 D59 D61:D62 D64 D66 D69:D70 D72:D73 D77 D82 D84:D86 D88:D89 D93 D95:D96 D98 D100:D102 D104:D105 D107:D109 D111:D114 D125 D128 D131:D597">
      <formula1>Menu!$B$19:$B$26</formula1>
    </dataValidation>
    <dataValidation type="list" allowBlank="1" sqref="E5:E115 E125 E127:E131">
      <formula1>Menu!$B$36:$B$58</formula1>
    </dataValidation>
    <dataValidation type="list" allowBlank="1" sqref="F6:F7 F13 F24:F26 F32 F36 F38 F44 F50 F55 F65 F68 F71 F74 F78:F82 F84 F91:F92 F97 F100 F106 F127">
      <formula1>Menu!$B$73:$B$86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1.75"/>
    <col customWidth="1" hidden="1" min="2" max="2" width="16.75"/>
    <col customWidth="1" hidden="1" min="3" max="3" width="31.75"/>
    <col customWidth="1" hidden="1" min="4" max="4" width="16.75"/>
    <col customWidth="1" hidden="1" min="5" max="5" width="31.75"/>
    <col customWidth="1" hidden="1" min="6" max="6" width="16.75"/>
    <col customWidth="1" hidden="1" min="7" max="7" width="31.75"/>
    <col customWidth="1" hidden="1" min="8" max="8" width="16.75"/>
    <col customWidth="1" hidden="1" min="9" max="9" width="31.75"/>
    <col customWidth="1" hidden="1" min="10" max="10" width="16.75"/>
    <col customWidth="1" hidden="1" min="11" max="11" width="31.75"/>
    <col customWidth="1" hidden="1" min="12" max="12" width="16.75"/>
    <col customWidth="1" hidden="1" min="13" max="13" width="31.75"/>
    <col customWidth="1" hidden="1" min="14" max="14" width="16.75"/>
    <col customWidth="1" hidden="1" min="15" max="15" width="31.75"/>
    <col customWidth="1" hidden="1" min="16" max="16" width="16.75"/>
    <col customWidth="1" hidden="1" min="17" max="17" width="31.75"/>
    <col customWidth="1" hidden="1" min="18" max="18" width="16.75"/>
    <col customWidth="1" hidden="1" min="19" max="19" width="31.75"/>
    <col customWidth="1" hidden="1" min="20" max="20" width="16.75"/>
    <col customWidth="1" hidden="1" min="21" max="21" width="31.75"/>
    <col customWidth="1" hidden="1" min="22" max="22" width="16.75"/>
    <col customWidth="1" hidden="1" min="23" max="23" width="31.75"/>
    <col customWidth="1" hidden="1" min="24" max="24" width="16.75"/>
    <col customWidth="1" hidden="1" min="25" max="25" width="31.75"/>
    <col customWidth="1" hidden="1" min="26" max="26" width="16.75"/>
    <col customWidth="1" hidden="1" min="27" max="27" width="31.75"/>
    <col customWidth="1" hidden="1" min="28" max="28" width="16.75"/>
    <col customWidth="1" hidden="1" min="29" max="29" width="31.75"/>
    <col customWidth="1" hidden="1" min="30" max="30" width="16.75"/>
    <col customWidth="1" hidden="1" min="31" max="31" width="31.75"/>
    <col customWidth="1" hidden="1" min="32" max="32" width="16.75"/>
    <col customWidth="1" hidden="1" min="33" max="33" width="31.75"/>
    <col customWidth="1" hidden="1" min="34" max="34" width="16.75"/>
    <col customWidth="1" hidden="1" min="35" max="35" width="31.75"/>
    <col customWidth="1" hidden="1" min="36" max="36" width="16.75"/>
    <col customWidth="1" hidden="1" min="37" max="37" width="31.75"/>
    <col customWidth="1" hidden="1" min="38" max="38" width="16.75"/>
    <col customWidth="1" min="39" max="39" width="31.75"/>
    <col customWidth="1" min="40" max="40" width="16.75"/>
    <col customWidth="1" min="41" max="41" width="31.75"/>
    <col customWidth="1" min="42" max="42" width="16.75"/>
  </cols>
  <sheetData>
    <row r="1">
      <c r="A1" s="7" t="s">
        <v>419</v>
      </c>
      <c r="B1" s="9"/>
      <c r="C1" s="7" t="s">
        <v>420</v>
      </c>
      <c r="D1" s="9"/>
      <c r="E1" s="7" t="s">
        <v>421</v>
      </c>
      <c r="F1" s="9"/>
      <c r="G1" s="7" t="s">
        <v>422</v>
      </c>
      <c r="H1" s="9"/>
      <c r="I1" s="7" t="s">
        <v>423</v>
      </c>
      <c r="J1" s="9"/>
      <c r="K1" s="7" t="s">
        <v>424</v>
      </c>
      <c r="L1" s="9"/>
      <c r="M1" s="146" t="s">
        <v>425</v>
      </c>
      <c r="N1" s="9"/>
      <c r="O1" s="7" t="s">
        <v>427</v>
      </c>
      <c r="P1" s="9"/>
      <c r="Q1" s="7" t="s">
        <v>428</v>
      </c>
      <c r="R1" s="9"/>
      <c r="S1" s="7" t="s">
        <v>423</v>
      </c>
      <c r="T1" s="9"/>
      <c r="U1" s="7" t="s">
        <v>429</v>
      </c>
      <c r="V1" s="9"/>
      <c r="W1" s="7" t="s">
        <v>430</v>
      </c>
      <c r="X1" s="9"/>
      <c r="Y1" s="7" t="s">
        <v>431</v>
      </c>
      <c r="Z1" s="9"/>
      <c r="AA1" s="7" t="s">
        <v>432</v>
      </c>
      <c r="AB1" s="9"/>
      <c r="AC1" s="7" t="s">
        <v>433</v>
      </c>
      <c r="AD1" s="9"/>
      <c r="AE1" s="7" t="s">
        <v>434</v>
      </c>
      <c r="AF1" s="9"/>
      <c r="AG1" s="7" t="s">
        <v>435</v>
      </c>
      <c r="AH1" s="9"/>
      <c r="AI1" s="7" t="s">
        <v>436</v>
      </c>
      <c r="AJ1" s="9"/>
      <c r="AK1" s="7" t="s">
        <v>437</v>
      </c>
      <c r="AL1" s="9"/>
      <c r="AM1" s="7" t="s">
        <v>438</v>
      </c>
      <c r="AN1" s="9"/>
      <c r="AO1" s="15" t="s">
        <v>439</v>
      </c>
      <c r="AP1" s="9"/>
    </row>
    <row r="2">
      <c r="A2" s="28" t="s">
        <v>20</v>
      </c>
      <c r="B2" s="28">
        <v>6.0</v>
      </c>
      <c r="C2" s="28" t="s">
        <v>20</v>
      </c>
      <c r="D2" s="28">
        <v>9.0</v>
      </c>
      <c r="E2" s="28" t="s">
        <v>20</v>
      </c>
      <c r="F2" s="28">
        <v>7.0</v>
      </c>
      <c r="G2" s="28" t="s">
        <v>20</v>
      </c>
      <c r="H2" s="28">
        <v>3.0</v>
      </c>
      <c r="I2" s="28" t="s">
        <v>20</v>
      </c>
      <c r="J2" s="28">
        <v>8.0</v>
      </c>
      <c r="K2" s="28" t="s">
        <v>20</v>
      </c>
      <c r="L2" s="28">
        <v>6.0</v>
      </c>
      <c r="M2" s="28" t="s">
        <v>20</v>
      </c>
      <c r="N2" s="28">
        <v>8.0</v>
      </c>
      <c r="O2" s="28" t="s">
        <v>20</v>
      </c>
      <c r="P2" s="28">
        <v>2.0</v>
      </c>
      <c r="Q2" s="28" t="s">
        <v>20</v>
      </c>
      <c r="R2" s="28">
        <v>5.0</v>
      </c>
      <c r="S2" s="28" t="s">
        <v>20</v>
      </c>
      <c r="T2" s="28">
        <v>3.0</v>
      </c>
      <c r="U2" s="28" t="s">
        <v>20</v>
      </c>
      <c r="V2" s="28">
        <v>7.0</v>
      </c>
      <c r="W2" s="28" t="s">
        <v>20</v>
      </c>
      <c r="X2" s="28">
        <v>8.0</v>
      </c>
      <c r="Y2" s="28" t="s">
        <v>20</v>
      </c>
      <c r="Z2" s="28">
        <v>4.0</v>
      </c>
      <c r="AA2" s="28" t="s">
        <v>20</v>
      </c>
      <c r="AB2" s="28">
        <v>8.0</v>
      </c>
      <c r="AC2" s="28" t="s">
        <v>20</v>
      </c>
      <c r="AD2" s="28">
        <v>3.0</v>
      </c>
      <c r="AE2" s="28" t="s">
        <v>20</v>
      </c>
      <c r="AF2" s="28">
        <v>8.0</v>
      </c>
      <c r="AG2" s="28" t="s">
        <v>20</v>
      </c>
      <c r="AH2" s="28">
        <v>6.0</v>
      </c>
      <c r="AI2" s="28" t="s">
        <v>20</v>
      </c>
      <c r="AJ2" s="28">
        <v>3.0</v>
      </c>
      <c r="AK2" s="28" t="s">
        <v>20</v>
      </c>
      <c r="AL2" s="28">
        <v>5.0</v>
      </c>
      <c r="AM2" s="28" t="s">
        <v>20</v>
      </c>
      <c r="AN2" s="28">
        <v>2.0</v>
      </c>
      <c r="AO2" s="28" t="s">
        <v>20</v>
      </c>
      <c r="AP2" s="28">
        <v>4.0</v>
      </c>
    </row>
    <row r="3">
      <c r="A3" s="28" t="s">
        <v>25</v>
      </c>
      <c r="B3" s="28">
        <v>19.0</v>
      </c>
      <c r="C3" s="28" t="s">
        <v>25</v>
      </c>
      <c r="D3" s="28">
        <v>15.0</v>
      </c>
      <c r="E3" s="28" t="s">
        <v>25</v>
      </c>
      <c r="F3" s="28">
        <v>10.0</v>
      </c>
      <c r="G3" s="28" t="s">
        <v>25</v>
      </c>
      <c r="H3" s="28">
        <v>18.0</v>
      </c>
      <c r="I3" s="28" t="s">
        <v>25</v>
      </c>
      <c r="J3" s="28">
        <v>21.0</v>
      </c>
      <c r="K3" s="28" t="s">
        <v>25</v>
      </c>
      <c r="L3" s="28">
        <v>16.0</v>
      </c>
      <c r="M3" s="28" t="s">
        <v>25</v>
      </c>
      <c r="N3" s="28">
        <v>17.0</v>
      </c>
      <c r="O3" s="28" t="s">
        <v>25</v>
      </c>
      <c r="P3" s="28">
        <v>11.0</v>
      </c>
      <c r="Q3" s="28" t="s">
        <v>25</v>
      </c>
      <c r="R3" s="28">
        <v>14.0</v>
      </c>
      <c r="S3" s="28" t="s">
        <v>25</v>
      </c>
      <c r="T3" s="28">
        <v>14.0</v>
      </c>
      <c r="U3" s="28" t="s">
        <v>25</v>
      </c>
      <c r="V3" s="28">
        <v>22.0</v>
      </c>
      <c r="W3" s="28" t="s">
        <v>25</v>
      </c>
      <c r="X3" s="28">
        <v>15.0</v>
      </c>
      <c r="Y3" s="28" t="s">
        <v>25</v>
      </c>
      <c r="Z3" s="28">
        <v>11.0</v>
      </c>
      <c r="AA3" s="28" t="s">
        <v>25</v>
      </c>
      <c r="AB3" s="28">
        <v>13.0</v>
      </c>
      <c r="AC3" s="28" t="s">
        <v>25</v>
      </c>
      <c r="AD3" s="28">
        <v>16.0</v>
      </c>
      <c r="AE3" s="28" t="s">
        <v>25</v>
      </c>
      <c r="AF3" s="28">
        <v>19.0</v>
      </c>
      <c r="AG3" s="28" t="s">
        <v>25</v>
      </c>
      <c r="AH3" s="28">
        <v>14.0</v>
      </c>
      <c r="AI3" s="31" t="s">
        <v>25</v>
      </c>
      <c r="AJ3" s="28">
        <v>14.0</v>
      </c>
      <c r="AK3" s="28" t="s">
        <v>25</v>
      </c>
      <c r="AL3" s="28">
        <v>21.0</v>
      </c>
      <c r="AM3" s="28" t="s">
        <v>25</v>
      </c>
      <c r="AN3" s="28">
        <v>12.0</v>
      </c>
      <c r="AO3" s="28" t="s">
        <v>25</v>
      </c>
      <c r="AP3" s="28">
        <v>18.0</v>
      </c>
    </row>
    <row r="4">
      <c r="A4" s="28" t="s">
        <v>28</v>
      </c>
      <c r="B4" s="28">
        <v>18.0</v>
      </c>
      <c r="C4" s="28" t="s">
        <v>28</v>
      </c>
      <c r="D4" s="28">
        <v>8.0</v>
      </c>
      <c r="E4" s="31" t="s">
        <v>28</v>
      </c>
      <c r="F4" s="28">
        <v>10.0</v>
      </c>
      <c r="G4" s="28" t="s">
        <v>28</v>
      </c>
      <c r="H4" s="28">
        <v>13.0</v>
      </c>
      <c r="I4" s="28" t="s">
        <v>28</v>
      </c>
      <c r="J4" s="28">
        <v>10.0</v>
      </c>
      <c r="K4" s="28" t="s">
        <v>28</v>
      </c>
      <c r="L4" s="28">
        <v>19.0</v>
      </c>
      <c r="M4" s="28" t="s">
        <v>28</v>
      </c>
      <c r="N4" s="28">
        <v>4.0</v>
      </c>
      <c r="O4" s="31" t="s">
        <v>28</v>
      </c>
      <c r="P4" s="28">
        <v>12.0</v>
      </c>
      <c r="Q4" s="28" t="s">
        <v>28</v>
      </c>
      <c r="R4" s="28">
        <v>9.0</v>
      </c>
      <c r="S4" s="28" t="s">
        <v>28</v>
      </c>
      <c r="T4" s="28">
        <v>6.0</v>
      </c>
      <c r="U4" s="28" t="s">
        <v>28</v>
      </c>
      <c r="V4" s="28">
        <v>10.0</v>
      </c>
      <c r="W4" s="28" t="s">
        <v>28</v>
      </c>
      <c r="X4" s="28">
        <v>9.0</v>
      </c>
      <c r="Y4" s="31" t="s">
        <v>28</v>
      </c>
      <c r="Z4" s="28">
        <v>9.0</v>
      </c>
      <c r="AA4" s="28" t="s">
        <v>28</v>
      </c>
      <c r="AB4" s="28">
        <v>6.0</v>
      </c>
      <c r="AC4" s="28" t="s">
        <v>28</v>
      </c>
      <c r="AD4" s="28">
        <v>7.0</v>
      </c>
      <c r="AE4" s="28" t="s">
        <v>28</v>
      </c>
      <c r="AF4" s="28">
        <v>15.0</v>
      </c>
      <c r="AG4" s="28" t="s">
        <v>28</v>
      </c>
      <c r="AH4" s="28">
        <v>4.0</v>
      </c>
      <c r="AI4" s="31" t="s">
        <v>28</v>
      </c>
      <c r="AJ4" s="28">
        <v>5.0</v>
      </c>
      <c r="AK4" s="28" t="s">
        <v>28</v>
      </c>
      <c r="AL4" s="28">
        <v>6.0</v>
      </c>
      <c r="AM4" s="28" t="s">
        <v>28</v>
      </c>
      <c r="AN4" s="28">
        <v>8.0</v>
      </c>
      <c r="AO4" s="28" t="s">
        <v>28</v>
      </c>
      <c r="AP4" s="28">
        <v>12.0</v>
      </c>
    </row>
    <row r="5">
      <c r="A5" s="28" t="s">
        <v>33</v>
      </c>
      <c r="B5" s="28">
        <v>15.0</v>
      </c>
      <c r="C5" s="28" t="s">
        <v>33</v>
      </c>
      <c r="D5" s="28">
        <v>3.0</v>
      </c>
      <c r="E5" s="31" t="s">
        <v>33</v>
      </c>
      <c r="F5" s="28">
        <v>5.0</v>
      </c>
      <c r="G5" s="28" t="s">
        <v>33</v>
      </c>
      <c r="H5" s="28">
        <v>9.0</v>
      </c>
      <c r="I5" s="28" t="s">
        <v>33</v>
      </c>
      <c r="J5" s="28">
        <v>6.0</v>
      </c>
      <c r="K5" s="28" t="s">
        <v>33</v>
      </c>
      <c r="L5" s="28">
        <v>13.0</v>
      </c>
      <c r="M5" s="28" t="s">
        <v>33</v>
      </c>
      <c r="N5" s="28">
        <v>5.0</v>
      </c>
      <c r="O5" s="31" t="s">
        <v>33</v>
      </c>
      <c r="P5" s="28">
        <v>6.0</v>
      </c>
      <c r="Q5" s="28" t="s">
        <v>33</v>
      </c>
      <c r="R5" s="28">
        <v>12.0</v>
      </c>
      <c r="S5" s="28" t="s">
        <v>33</v>
      </c>
      <c r="T5" s="28">
        <v>4.0</v>
      </c>
      <c r="U5" s="28" t="s">
        <v>33</v>
      </c>
      <c r="V5" s="28">
        <v>17.0</v>
      </c>
      <c r="W5" s="28" t="s">
        <v>33</v>
      </c>
      <c r="X5" s="28">
        <v>5.0</v>
      </c>
      <c r="Y5" s="31" t="s">
        <v>33</v>
      </c>
      <c r="Z5" s="28">
        <v>6.0</v>
      </c>
      <c r="AA5" s="28" t="s">
        <v>33</v>
      </c>
      <c r="AB5" s="28">
        <v>9.0</v>
      </c>
      <c r="AC5" s="28" t="s">
        <v>33</v>
      </c>
      <c r="AD5" s="28">
        <v>6.0</v>
      </c>
      <c r="AE5" s="28" t="s">
        <v>33</v>
      </c>
      <c r="AF5" s="28">
        <v>11.0</v>
      </c>
      <c r="AG5" s="28" t="s">
        <v>33</v>
      </c>
      <c r="AH5" s="28">
        <v>7.0</v>
      </c>
      <c r="AI5" s="31" t="s">
        <v>33</v>
      </c>
      <c r="AJ5" s="28">
        <v>5.0</v>
      </c>
      <c r="AK5" s="28" t="s">
        <v>33</v>
      </c>
      <c r="AL5" s="28">
        <v>6.0</v>
      </c>
      <c r="AM5" s="28" t="s">
        <v>33</v>
      </c>
      <c r="AN5" s="28">
        <v>5.0</v>
      </c>
      <c r="AO5" s="28" t="s">
        <v>33</v>
      </c>
      <c r="AP5" s="28">
        <v>10.0</v>
      </c>
    </row>
    <row r="6">
      <c r="A6" s="28" t="s">
        <v>35</v>
      </c>
      <c r="B6" s="28">
        <v>14.0</v>
      </c>
      <c r="C6" s="28" t="s">
        <v>35</v>
      </c>
      <c r="D6" s="28">
        <v>4.0</v>
      </c>
      <c r="E6" s="31" t="s">
        <v>35</v>
      </c>
      <c r="F6" s="28">
        <v>5.0</v>
      </c>
      <c r="G6" s="28" t="s">
        <v>35</v>
      </c>
      <c r="H6" s="28">
        <v>12.0</v>
      </c>
      <c r="I6" s="28" t="s">
        <v>35</v>
      </c>
      <c r="J6" s="28">
        <v>5.0</v>
      </c>
      <c r="K6" s="28" t="s">
        <v>35</v>
      </c>
      <c r="L6" s="28">
        <v>15.0</v>
      </c>
      <c r="M6" s="28" t="s">
        <v>35</v>
      </c>
      <c r="N6" s="28">
        <v>7.0</v>
      </c>
      <c r="O6" s="31" t="s">
        <v>35</v>
      </c>
      <c r="P6" s="28">
        <v>2.0</v>
      </c>
      <c r="Q6" s="28" t="s">
        <v>35</v>
      </c>
      <c r="R6" s="28">
        <v>12.0</v>
      </c>
      <c r="S6" s="28" t="s">
        <v>35</v>
      </c>
      <c r="T6" s="28">
        <v>6.0</v>
      </c>
      <c r="U6" s="28" t="s">
        <v>35</v>
      </c>
      <c r="V6" s="28">
        <v>12.0</v>
      </c>
      <c r="W6" s="28" t="s">
        <v>35</v>
      </c>
      <c r="X6" s="28">
        <v>4.0</v>
      </c>
      <c r="Y6" s="31" t="s">
        <v>35</v>
      </c>
      <c r="Z6" s="28">
        <v>4.0</v>
      </c>
      <c r="AA6" s="28" t="s">
        <v>35</v>
      </c>
      <c r="AB6" s="28">
        <v>8.0</v>
      </c>
      <c r="AC6" s="28" t="s">
        <v>35</v>
      </c>
      <c r="AD6" s="28">
        <v>10.0</v>
      </c>
      <c r="AE6" s="28" t="s">
        <v>35</v>
      </c>
      <c r="AF6" s="28">
        <v>14.0</v>
      </c>
      <c r="AG6" s="28" t="s">
        <v>35</v>
      </c>
      <c r="AH6" s="28">
        <v>4.0</v>
      </c>
      <c r="AI6" s="31" t="s">
        <v>35</v>
      </c>
      <c r="AJ6" s="28">
        <v>7.0</v>
      </c>
      <c r="AK6" s="28" t="s">
        <v>35</v>
      </c>
      <c r="AL6" s="28">
        <v>10.0</v>
      </c>
      <c r="AM6" s="28" t="s">
        <v>35</v>
      </c>
      <c r="AN6" s="28">
        <v>13.0</v>
      </c>
      <c r="AO6" s="28" t="s">
        <v>35</v>
      </c>
      <c r="AP6" s="28">
        <v>12.0</v>
      </c>
    </row>
    <row r="7">
      <c r="A7" s="28" t="s">
        <v>40</v>
      </c>
      <c r="B7" s="28">
        <v>19.0</v>
      </c>
      <c r="C7" s="28" t="s">
        <v>40</v>
      </c>
      <c r="D7" s="28">
        <v>11.0</v>
      </c>
      <c r="E7" s="31" t="s">
        <v>40</v>
      </c>
      <c r="F7" s="28">
        <v>8.0</v>
      </c>
      <c r="G7" s="28" t="s">
        <v>40</v>
      </c>
      <c r="H7" s="28">
        <v>12.0</v>
      </c>
      <c r="I7" s="28" t="s">
        <v>40</v>
      </c>
      <c r="J7" s="28">
        <v>12.0</v>
      </c>
      <c r="K7" s="28" t="s">
        <v>40</v>
      </c>
      <c r="L7" s="28">
        <v>16.0</v>
      </c>
      <c r="M7" s="28" t="s">
        <v>40</v>
      </c>
      <c r="N7" s="28">
        <v>13.0</v>
      </c>
      <c r="O7" s="28" t="s">
        <v>40</v>
      </c>
      <c r="P7" s="28">
        <v>5.0</v>
      </c>
      <c r="Q7" s="28" t="s">
        <v>40</v>
      </c>
      <c r="R7" s="28">
        <v>16.0</v>
      </c>
      <c r="S7" s="28" t="s">
        <v>40</v>
      </c>
      <c r="T7" s="28">
        <v>14.0</v>
      </c>
      <c r="U7" s="28" t="s">
        <v>40</v>
      </c>
      <c r="V7" s="28">
        <v>24.0</v>
      </c>
      <c r="W7" s="28" t="s">
        <v>40</v>
      </c>
      <c r="X7" s="28">
        <v>12.0</v>
      </c>
      <c r="Y7" s="31" t="s">
        <v>40</v>
      </c>
      <c r="Z7" s="28">
        <v>10.0</v>
      </c>
      <c r="AA7" s="28" t="s">
        <v>40</v>
      </c>
      <c r="AB7" s="28">
        <v>25.0</v>
      </c>
      <c r="AC7" s="28" t="s">
        <v>40</v>
      </c>
      <c r="AD7" s="28">
        <v>15.0</v>
      </c>
      <c r="AE7" s="28" t="s">
        <v>40</v>
      </c>
      <c r="AF7" s="28">
        <v>12.0</v>
      </c>
      <c r="AG7" s="28" t="s">
        <v>40</v>
      </c>
      <c r="AH7" s="28">
        <v>13.0</v>
      </c>
      <c r="AI7" s="28" t="s">
        <v>40</v>
      </c>
      <c r="AJ7" s="28">
        <v>9.0</v>
      </c>
      <c r="AK7" s="28" t="s">
        <v>40</v>
      </c>
      <c r="AL7" s="28">
        <v>13.0</v>
      </c>
      <c r="AM7" s="28" t="s">
        <v>40</v>
      </c>
      <c r="AN7" s="28">
        <v>15.0</v>
      </c>
      <c r="AO7" s="28" t="s">
        <v>40</v>
      </c>
      <c r="AP7" s="28">
        <v>20.0</v>
      </c>
    </row>
    <row r="8">
      <c r="A8" s="28" t="s">
        <v>45</v>
      </c>
      <c r="B8" s="28">
        <v>4.0</v>
      </c>
      <c r="C8" s="28" t="s">
        <v>45</v>
      </c>
      <c r="D8" s="28">
        <v>2.0</v>
      </c>
      <c r="E8" s="28" t="s">
        <v>45</v>
      </c>
      <c r="F8" s="28">
        <v>2.0</v>
      </c>
      <c r="G8" s="28" t="s">
        <v>45</v>
      </c>
      <c r="H8" s="28">
        <v>3.0</v>
      </c>
      <c r="I8" s="28" t="s">
        <v>45</v>
      </c>
      <c r="J8" s="28">
        <v>5.0</v>
      </c>
      <c r="K8" s="28" t="s">
        <v>45</v>
      </c>
      <c r="L8" s="28">
        <v>4.0</v>
      </c>
      <c r="M8" s="28" t="s">
        <v>16</v>
      </c>
      <c r="N8" s="28">
        <v>12.0</v>
      </c>
      <c r="O8" s="28" t="s">
        <v>45</v>
      </c>
      <c r="P8" s="28">
        <v>4.0</v>
      </c>
      <c r="Q8" s="28" t="s">
        <v>45</v>
      </c>
      <c r="R8" s="28">
        <v>7.0</v>
      </c>
      <c r="S8" s="28" t="s">
        <v>45</v>
      </c>
      <c r="T8" s="28">
        <v>5.0</v>
      </c>
      <c r="U8" s="28" t="s">
        <v>45</v>
      </c>
      <c r="V8" s="28">
        <v>2.0</v>
      </c>
      <c r="W8" s="28" t="s">
        <v>45</v>
      </c>
      <c r="X8" s="28">
        <v>2.0</v>
      </c>
      <c r="Y8" s="28" t="s">
        <v>45</v>
      </c>
      <c r="Z8" s="28">
        <v>5.0</v>
      </c>
      <c r="AA8" s="28" t="s">
        <v>45</v>
      </c>
      <c r="AB8" s="28">
        <v>7.0</v>
      </c>
      <c r="AC8" s="28" t="s">
        <v>45</v>
      </c>
      <c r="AD8" s="28">
        <v>6.0</v>
      </c>
      <c r="AE8" s="28" t="s">
        <v>45</v>
      </c>
      <c r="AF8" s="28">
        <v>7.0</v>
      </c>
      <c r="AG8" s="28" t="s">
        <v>16</v>
      </c>
      <c r="AH8" s="28">
        <v>14.0</v>
      </c>
      <c r="AI8" s="28" t="s">
        <v>45</v>
      </c>
      <c r="AJ8" s="28">
        <v>3.0</v>
      </c>
      <c r="AK8" s="28" t="s">
        <v>45</v>
      </c>
      <c r="AL8" s="28">
        <v>8.0</v>
      </c>
      <c r="AM8" s="28" t="s">
        <v>45</v>
      </c>
      <c r="AN8" s="28">
        <v>5.0</v>
      </c>
      <c r="AO8" s="28" t="s">
        <v>45</v>
      </c>
      <c r="AP8" s="28">
        <v>5.0</v>
      </c>
    </row>
    <row r="9">
      <c r="A9" s="28" t="s">
        <v>16</v>
      </c>
      <c r="B9" s="28">
        <v>4.0</v>
      </c>
      <c r="C9" s="28" t="s">
        <v>16</v>
      </c>
      <c r="D9" s="28">
        <v>15.0</v>
      </c>
      <c r="E9" s="28" t="s">
        <v>16</v>
      </c>
      <c r="F9" s="28">
        <v>9.0</v>
      </c>
      <c r="G9" s="28" t="s">
        <v>16</v>
      </c>
      <c r="H9" s="28">
        <v>8.0</v>
      </c>
      <c r="I9" s="28" t="s">
        <v>16</v>
      </c>
      <c r="J9" s="28">
        <v>5.0</v>
      </c>
      <c r="K9" s="28" t="s">
        <v>16</v>
      </c>
      <c r="L9" s="28">
        <v>4.0</v>
      </c>
      <c r="M9" s="28" t="s">
        <v>31</v>
      </c>
      <c r="N9" s="28">
        <v>5.0</v>
      </c>
      <c r="O9" s="31" t="s">
        <v>16</v>
      </c>
      <c r="P9" s="28">
        <v>8.0</v>
      </c>
      <c r="Q9" s="28" t="s">
        <v>16</v>
      </c>
      <c r="R9" s="28">
        <v>10.0</v>
      </c>
      <c r="S9" s="28" t="s">
        <v>16</v>
      </c>
      <c r="T9" s="28">
        <v>8.0</v>
      </c>
      <c r="U9" s="28" t="s">
        <v>16</v>
      </c>
      <c r="V9" s="28">
        <v>2.0</v>
      </c>
      <c r="W9" s="28" t="s">
        <v>16</v>
      </c>
      <c r="X9" s="28">
        <v>12.0</v>
      </c>
      <c r="Y9" s="28" t="s">
        <v>16</v>
      </c>
      <c r="Z9" s="28">
        <v>5.0</v>
      </c>
      <c r="AA9" s="28" t="s">
        <v>16</v>
      </c>
      <c r="AB9" s="28">
        <v>8.0</v>
      </c>
      <c r="AC9" s="28" t="s">
        <v>16</v>
      </c>
      <c r="AD9" s="28">
        <v>3.0</v>
      </c>
      <c r="AE9" s="28" t="s">
        <v>16</v>
      </c>
      <c r="AF9" s="28">
        <v>3.0</v>
      </c>
      <c r="AG9" s="28" t="s">
        <v>31</v>
      </c>
      <c r="AH9" s="28">
        <v>7.0</v>
      </c>
      <c r="AI9" s="28" t="s">
        <v>16</v>
      </c>
      <c r="AJ9" s="28">
        <v>8.0</v>
      </c>
      <c r="AK9" s="28" t="s">
        <v>16</v>
      </c>
      <c r="AL9" s="28">
        <v>9.0</v>
      </c>
      <c r="AM9" s="28" t="s">
        <v>16</v>
      </c>
      <c r="AN9" s="28">
        <v>4.0</v>
      </c>
      <c r="AO9" s="28" t="s">
        <v>16</v>
      </c>
      <c r="AP9" s="28">
        <v>8.0</v>
      </c>
    </row>
    <row r="10">
      <c r="A10" s="28" t="s">
        <v>31</v>
      </c>
      <c r="B10" s="28">
        <v>7.0</v>
      </c>
      <c r="C10" s="28" t="s">
        <v>31</v>
      </c>
      <c r="D10" s="28">
        <v>1.0</v>
      </c>
      <c r="E10" s="28" t="s">
        <v>31</v>
      </c>
      <c r="F10" s="28">
        <v>5.0</v>
      </c>
      <c r="G10" s="31" t="s">
        <v>31</v>
      </c>
      <c r="H10" s="28">
        <v>3.0</v>
      </c>
      <c r="I10" s="28" t="s">
        <v>31</v>
      </c>
      <c r="J10" s="28">
        <v>2.0</v>
      </c>
      <c r="K10" s="28" t="s">
        <v>31</v>
      </c>
      <c r="L10" s="28">
        <v>12.0</v>
      </c>
      <c r="M10" s="76"/>
      <c r="N10" s="76"/>
      <c r="O10" s="31" t="s">
        <v>31</v>
      </c>
      <c r="P10" s="28">
        <v>4.0</v>
      </c>
      <c r="Q10" s="31" t="s">
        <v>31</v>
      </c>
      <c r="R10" s="28">
        <v>2.0</v>
      </c>
      <c r="S10" s="28" t="s">
        <v>31</v>
      </c>
      <c r="T10" s="28">
        <v>5.0</v>
      </c>
      <c r="U10" s="28" t="s">
        <v>31</v>
      </c>
      <c r="V10" s="28">
        <v>13.0</v>
      </c>
      <c r="W10" s="28" t="s">
        <v>31</v>
      </c>
      <c r="X10" s="28">
        <v>3.0</v>
      </c>
      <c r="Y10" s="28" t="s">
        <v>31</v>
      </c>
      <c r="Z10" s="28">
        <v>5.0</v>
      </c>
      <c r="AA10" s="28" t="s">
        <v>31</v>
      </c>
      <c r="AB10" s="28">
        <v>5.0</v>
      </c>
      <c r="AC10" s="28" t="s">
        <v>31</v>
      </c>
      <c r="AD10" s="28">
        <v>4.0</v>
      </c>
      <c r="AE10" s="28" t="s">
        <v>31</v>
      </c>
      <c r="AF10" s="28">
        <v>9.0</v>
      </c>
      <c r="AG10" s="28"/>
      <c r="AH10" s="28"/>
      <c r="AI10" s="31" t="s">
        <v>31</v>
      </c>
      <c r="AJ10" s="28">
        <v>4.0</v>
      </c>
      <c r="AK10" s="31" t="s">
        <v>31</v>
      </c>
      <c r="AL10" s="28">
        <v>7.0</v>
      </c>
      <c r="AM10" s="28" t="s">
        <v>31</v>
      </c>
      <c r="AN10" s="28">
        <v>7.0</v>
      </c>
      <c r="AO10" s="28" t="s">
        <v>31</v>
      </c>
      <c r="AP10" s="28">
        <v>7.0</v>
      </c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</row>
    <row r="12">
      <c r="A12" s="76"/>
      <c r="B12" s="79">
        <v>106.0</v>
      </c>
      <c r="C12" s="76"/>
      <c r="D12" s="79">
        <v>68.0</v>
      </c>
      <c r="E12" s="76"/>
      <c r="F12" s="79">
        <v>61.0</v>
      </c>
      <c r="G12" s="76"/>
      <c r="H12" s="79">
        <v>81.0</v>
      </c>
      <c r="I12" s="76"/>
      <c r="J12" s="79">
        <v>74.0</v>
      </c>
      <c r="K12" s="76"/>
      <c r="L12" s="79">
        <v>105.0</v>
      </c>
      <c r="M12" s="76"/>
      <c r="N12" s="79">
        <v>71.0</v>
      </c>
      <c r="O12" s="76"/>
      <c r="P12" s="79">
        <v>54.0</v>
      </c>
      <c r="Q12" s="76"/>
      <c r="R12" s="79">
        <v>87.0</v>
      </c>
      <c r="S12" s="76"/>
      <c r="T12" s="79">
        <v>65.0</v>
      </c>
      <c r="U12" s="76"/>
      <c r="V12" s="79">
        <v>109.0</v>
      </c>
      <c r="W12" s="76"/>
      <c r="X12" s="79">
        <v>70.0</v>
      </c>
      <c r="Y12" s="76"/>
      <c r="Z12" s="79">
        <v>59.0</v>
      </c>
      <c r="AA12" s="79"/>
      <c r="AB12" s="79">
        <v>89.0</v>
      </c>
      <c r="AC12" s="79"/>
      <c r="AD12" s="79">
        <v>70.0</v>
      </c>
      <c r="AE12" s="79"/>
      <c r="AF12" s="79">
        <v>98.0</v>
      </c>
      <c r="AG12" s="79"/>
      <c r="AH12" s="79">
        <v>69.0</v>
      </c>
      <c r="AI12" s="79"/>
      <c r="AJ12" s="79">
        <v>58.0</v>
      </c>
      <c r="AK12" s="79"/>
      <c r="AL12" s="79">
        <v>85.0</v>
      </c>
      <c r="AM12" s="79"/>
      <c r="AN12" s="79">
        <v>71.0</v>
      </c>
      <c r="AO12" s="79"/>
      <c r="AP12" s="79">
        <v>96.0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28"/>
      <c r="N13" s="28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</row>
    <row r="14">
      <c r="A14" s="28" t="s">
        <v>48</v>
      </c>
      <c r="B14" s="28">
        <v>8.0</v>
      </c>
      <c r="C14" s="28" t="s">
        <v>48</v>
      </c>
      <c r="D14" s="28">
        <v>10.0</v>
      </c>
      <c r="E14" s="28" t="s">
        <v>48</v>
      </c>
      <c r="F14" s="28">
        <v>15.0</v>
      </c>
      <c r="G14" s="28" t="s">
        <v>48</v>
      </c>
      <c r="H14" s="28">
        <v>8.0</v>
      </c>
      <c r="I14" s="28" t="s">
        <v>48</v>
      </c>
      <c r="J14" s="28">
        <v>5.0</v>
      </c>
      <c r="K14" s="28" t="s">
        <v>48</v>
      </c>
      <c r="L14" s="28">
        <v>7.0</v>
      </c>
      <c r="M14" s="28" t="s">
        <v>48</v>
      </c>
      <c r="N14" s="28">
        <v>10.0</v>
      </c>
      <c r="O14" s="28" t="s">
        <v>48</v>
      </c>
      <c r="P14" s="28">
        <v>10.0</v>
      </c>
      <c r="Q14" s="28" t="s">
        <v>48</v>
      </c>
      <c r="R14" s="28">
        <v>11.0</v>
      </c>
      <c r="S14" s="28" t="s">
        <v>48</v>
      </c>
      <c r="T14" s="28">
        <v>3.0</v>
      </c>
      <c r="U14" s="28" t="s">
        <v>48</v>
      </c>
      <c r="V14" s="28">
        <v>12.0</v>
      </c>
      <c r="W14" s="28" t="s">
        <v>48</v>
      </c>
      <c r="X14" s="28">
        <v>10.0</v>
      </c>
      <c r="Y14" s="28" t="s">
        <v>48</v>
      </c>
      <c r="Z14" s="28">
        <v>11.0</v>
      </c>
      <c r="AA14" s="28" t="s">
        <v>48</v>
      </c>
      <c r="AB14" s="28">
        <v>7.0</v>
      </c>
      <c r="AC14" s="28" t="s">
        <v>48</v>
      </c>
      <c r="AD14" s="28">
        <v>11.0</v>
      </c>
      <c r="AE14" s="28" t="s">
        <v>48</v>
      </c>
      <c r="AF14" s="28">
        <v>10.0</v>
      </c>
      <c r="AG14" s="28" t="s">
        <v>48</v>
      </c>
      <c r="AH14" s="28">
        <v>10.0</v>
      </c>
      <c r="AI14" s="28" t="s">
        <v>48</v>
      </c>
      <c r="AJ14" s="28">
        <v>16.0</v>
      </c>
      <c r="AK14" s="28" t="s">
        <v>48</v>
      </c>
      <c r="AL14" s="28">
        <v>6.0</v>
      </c>
      <c r="AM14" s="28" t="s">
        <v>48</v>
      </c>
      <c r="AN14" s="28">
        <v>9.0</v>
      </c>
      <c r="AO14" s="28" t="s">
        <v>48</v>
      </c>
      <c r="AP14" s="28">
        <v>6.0</v>
      </c>
    </row>
    <row r="15">
      <c r="A15" s="28" t="s">
        <v>50</v>
      </c>
      <c r="B15" s="28">
        <v>31.0</v>
      </c>
      <c r="C15" s="28" t="s">
        <v>50</v>
      </c>
      <c r="D15" s="28">
        <v>18.0</v>
      </c>
      <c r="E15" s="28" t="s">
        <v>50</v>
      </c>
      <c r="F15" s="28">
        <v>20.0</v>
      </c>
      <c r="G15" s="28" t="s">
        <v>50</v>
      </c>
      <c r="H15" s="28">
        <v>23.0</v>
      </c>
      <c r="I15" s="28" t="s">
        <v>50</v>
      </c>
      <c r="J15" s="28">
        <v>20.0</v>
      </c>
      <c r="K15" s="28" t="s">
        <v>50</v>
      </c>
      <c r="L15" s="28">
        <v>27.0</v>
      </c>
      <c r="M15" s="28" t="s">
        <v>50</v>
      </c>
      <c r="N15" s="28">
        <v>22.0</v>
      </c>
      <c r="O15" s="28" t="s">
        <v>50</v>
      </c>
      <c r="P15" s="28">
        <v>17.0</v>
      </c>
      <c r="Q15" s="28" t="s">
        <v>50</v>
      </c>
      <c r="R15" s="28">
        <v>30.0</v>
      </c>
      <c r="S15" s="28" t="s">
        <v>50</v>
      </c>
      <c r="T15" s="28">
        <v>23.0</v>
      </c>
      <c r="U15" s="28" t="s">
        <v>50</v>
      </c>
      <c r="V15" s="28">
        <v>24.0</v>
      </c>
      <c r="W15" s="28" t="s">
        <v>50</v>
      </c>
      <c r="X15" s="28">
        <v>22.0</v>
      </c>
      <c r="Y15" s="28" t="s">
        <v>50</v>
      </c>
      <c r="Z15" s="28">
        <v>20.0</v>
      </c>
      <c r="AA15" s="28" t="s">
        <v>50</v>
      </c>
      <c r="AB15" s="28">
        <v>26.0</v>
      </c>
      <c r="AC15" s="28" t="s">
        <v>50</v>
      </c>
      <c r="AD15" s="28">
        <v>16.0</v>
      </c>
      <c r="AE15" s="28" t="s">
        <v>50</v>
      </c>
      <c r="AF15" s="28">
        <v>22.0</v>
      </c>
      <c r="AG15" s="28" t="s">
        <v>50</v>
      </c>
      <c r="AH15" s="28">
        <v>23.0</v>
      </c>
      <c r="AI15" s="28" t="s">
        <v>50</v>
      </c>
      <c r="AJ15" s="28">
        <v>18.0</v>
      </c>
      <c r="AK15" s="28" t="s">
        <v>50</v>
      </c>
      <c r="AL15" s="28">
        <v>24.0</v>
      </c>
      <c r="AM15" s="28" t="s">
        <v>50</v>
      </c>
      <c r="AN15" s="28">
        <v>13.0</v>
      </c>
      <c r="AO15" s="28" t="s">
        <v>50</v>
      </c>
      <c r="AP15" s="28">
        <v>21.0</v>
      </c>
    </row>
    <row r="16">
      <c r="A16" s="28" t="s">
        <v>52</v>
      </c>
      <c r="B16" s="28">
        <v>28.0</v>
      </c>
      <c r="C16" s="28" t="s">
        <v>52</v>
      </c>
      <c r="D16" s="28">
        <v>15.0</v>
      </c>
      <c r="E16" s="28" t="s">
        <v>52</v>
      </c>
      <c r="F16" s="28">
        <v>6.0</v>
      </c>
      <c r="G16" s="28" t="s">
        <v>52</v>
      </c>
      <c r="H16" s="28">
        <v>15.0</v>
      </c>
      <c r="I16" s="28" t="s">
        <v>52</v>
      </c>
      <c r="J16" s="28">
        <v>18.0</v>
      </c>
      <c r="K16" s="28" t="s">
        <v>52</v>
      </c>
      <c r="L16" s="28">
        <v>26.0</v>
      </c>
      <c r="M16" s="28" t="s">
        <v>52</v>
      </c>
      <c r="N16" s="28">
        <v>12.0</v>
      </c>
      <c r="O16" s="28" t="s">
        <v>52</v>
      </c>
      <c r="P16" s="28">
        <v>11.0</v>
      </c>
      <c r="Q16" s="28" t="s">
        <v>52</v>
      </c>
      <c r="R16" s="28">
        <v>14.0</v>
      </c>
      <c r="S16" s="28" t="s">
        <v>52</v>
      </c>
      <c r="T16" s="28">
        <v>13.0</v>
      </c>
      <c r="U16" s="28" t="s">
        <v>52</v>
      </c>
      <c r="V16" s="28">
        <v>21.0</v>
      </c>
      <c r="W16" s="28" t="s">
        <v>52</v>
      </c>
      <c r="X16" s="28">
        <v>12.0</v>
      </c>
      <c r="Y16" s="28" t="s">
        <v>52</v>
      </c>
      <c r="Z16" s="28">
        <v>10.0</v>
      </c>
      <c r="AA16" s="28" t="s">
        <v>52</v>
      </c>
      <c r="AB16" s="28">
        <v>17.0</v>
      </c>
      <c r="AC16" s="28" t="s">
        <v>52</v>
      </c>
      <c r="AD16" s="28">
        <v>14.0</v>
      </c>
      <c r="AE16" s="28" t="s">
        <v>52</v>
      </c>
      <c r="AF16" s="28">
        <v>27.0</v>
      </c>
      <c r="AG16" s="28" t="s">
        <v>52</v>
      </c>
      <c r="AH16" s="28">
        <v>14.0</v>
      </c>
      <c r="AI16" s="28" t="s">
        <v>52</v>
      </c>
      <c r="AJ16" s="28">
        <v>12.0</v>
      </c>
      <c r="AK16" s="28" t="s">
        <v>52</v>
      </c>
      <c r="AL16" s="28">
        <v>19.0</v>
      </c>
      <c r="AM16" s="28" t="s">
        <v>52</v>
      </c>
      <c r="AN16" s="28">
        <v>16.0</v>
      </c>
      <c r="AO16" s="28" t="s">
        <v>52</v>
      </c>
      <c r="AP16" s="28">
        <v>17.0</v>
      </c>
    </row>
    <row r="17">
      <c r="A17" s="28" t="s">
        <v>55</v>
      </c>
      <c r="B17" s="28">
        <v>12.0</v>
      </c>
      <c r="C17" s="28" t="s">
        <v>55</v>
      </c>
      <c r="D17" s="28">
        <v>9.0</v>
      </c>
      <c r="E17" s="28" t="s">
        <v>55</v>
      </c>
      <c r="F17" s="28">
        <v>6.0</v>
      </c>
      <c r="G17" s="28" t="s">
        <v>55</v>
      </c>
      <c r="H17" s="28">
        <v>12.0</v>
      </c>
      <c r="I17" s="28" t="s">
        <v>55</v>
      </c>
      <c r="J17" s="28">
        <v>12.0</v>
      </c>
      <c r="K17" s="28" t="s">
        <v>55</v>
      </c>
      <c r="L17" s="28">
        <v>13.0</v>
      </c>
      <c r="M17" s="28" t="s">
        <v>55</v>
      </c>
      <c r="N17" s="28">
        <v>7.0</v>
      </c>
      <c r="O17" s="28" t="s">
        <v>55</v>
      </c>
      <c r="P17" s="28">
        <v>7.0</v>
      </c>
      <c r="Q17" s="28" t="s">
        <v>55</v>
      </c>
      <c r="R17" s="28">
        <v>14.0</v>
      </c>
      <c r="S17" s="28" t="s">
        <v>55</v>
      </c>
      <c r="T17" s="28">
        <v>9.0</v>
      </c>
      <c r="U17" s="28" t="s">
        <v>55</v>
      </c>
      <c r="V17" s="28">
        <v>13.0</v>
      </c>
      <c r="W17" s="28" t="s">
        <v>55</v>
      </c>
      <c r="X17" s="28">
        <v>10.0</v>
      </c>
      <c r="Y17" s="28" t="s">
        <v>55</v>
      </c>
      <c r="Z17" s="28">
        <v>8.0</v>
      </c>
      <c r="AA17" s="28" t="s">
        <v>55</v>
      </c>
      <c r="AB17" s="28">
        <v>11.0</v>
      </c>
      <c r="AC17" s="28" t="s">
        <v>55</v>
      </c>
      <c r="AD17" s="28">
        <v>10.0</v>
      </c>
      <c r="AE17" s="28" t="s">
        <v>55</v>
      </c>
      <c r="AF17" s="28">
        <v>11.0</v>
      </c>
      <c r="AG17" s="28" t="s">
        <v>55</v>
      </c>
      <c r="AH17" s="28">
        <v>6.0</v>
      </c>
      <c r="AI17" s="28" t="s">
        <v>55</v>
      </c>
      <c r="AJ17" s="28">
        <v>6.0</v>
      </c>
      <c r="AK17" s="28" t="s">
        <v>55</v>
      </c>
      <c r="AL17" s="28">
        <v>13.0</v>
      </c>
      <c r="AM17" s="28" t="s">
        <v>55</v>
      </c>
      <c r="AN17" s="28">
        <v>14.0</v>
      </c>
      <c r="AO17" s="28" t="s">
        <v>55</v>
      </c>
      <c r="AP17" s="28">
        <v>17.0</v>
      </c>
    </row>
    <row r="18">
      <c r="A18" s="28" t="s">
        <v>57</v>
      </c>
      <c r="B18" s="28">
        <v>12.0</v>
      </c>
      <c r="C18" s="28" t="s">
        <v>57</v>
      </c>
      <c r="D18" s="28">
        <v>6.0</v>
      </c>
      <c r="E18" s="28" t="s">
        <v>57</v>
      </c>
      <c r="F18" s="28">
        <v>7.0</v>
      </c>
      <c r="G18" s="28" t="s">
        <v>57</v>
      </c>
      <c r="H18" s="28">
        <v>6.0</v>
      </c>
      <c r="I18" s="28" t="s">
        <v>57</v>
      </c>
      <c r="J18" s="28">
        <v>9.0</v>
      </c>
      <c r="K18" s="28" t="s">
        <v>57</v>
      </c>
      <c r="L18" s="28">
        <v>10.0</v>
      </c>
      <c r="M18" s="28" t="s">
        <v>57</v>
      </c>
      <c r="N18" s="28">
        <v>8.0</v>
      </c>
      <c r="O18" s="28" t="s">
        <v>57</v>
      </c>
      <c r="P18" s="28">
        <v>6.0</v>
      </c>
      <c r="Q18" s="28" t="s">
        <v>57</v>
      </c>
      <c r="R18" s="28">
        <v>7.0</v>
      </c>
      <c r="S18" s="28" t="s">
        <v>57</v>
      </c>
      <c r="T18" s="28">
        <v>6.0</v>
      </c>
      <c r="U18" s="28" t="s">
        <v>57</v>
      </c>
      <c r="V18" s="28">
        <v>19.0</v>
      </c>
      <c r="W18" s="28" t="s">
        <v>57</v>
      </c>
      <c r="X18" s="28">
        <v>9.0</v>
      </c>
      <c r="Y18" s="28" t="s">
        <v>57</v>
      </c>
      <c r="Z18" s="28">
        <v>6.0</v>
      </c>
      <c r="AA18" s="28" t="s">
        <v>57</v>
      </c>
      <c r="AB18" s="28">
        <v>9.0</v>
      </c>
      <c r="AC18" s="28" t="s">
        <v>57</v>
      </c>
      <c r="AD18" s="28">
        <v>10.0</v>
      </c>
      <c r="AE18" s="28" t="s">
        <v>57</v>
      </c>
      <c r="AF18" s="28">
        <v>14.0</v>
      </c>
      <c r="AG18" s="28" t="s">
        <v>57</v>
      </c>
      <c r="AH18" s="28">
        <v>8.0</v>
      </c>
      <c r="AI18" s="28" t="s">
        <v>57</v>
      </c>
      <c r="AJ18" s="28">
        <v>3.0</v>
      </c>
      <c r="AK18" s="28" t="s">
        <v>57</v>
      </c>
      <c r="AL18" s="28">
        <v>9.0</v>
      </c>
      <c r="AM18" s="28" t="s">
        <v>57</v>
      </c>
      <c r="AN18" s="28">
        <v>11.0</v>
      </c>
      <c r="AO18" s="28" t="s">
        <v>57</v>
      </c>
      <c r="AP18" s="28">
        <v>18.0</v>
      </c>
    </row>
    <row r="19">
      <c r="A19" s="28" t="s">
        <v>59</v>
      </c>
      <c r="B19" s="28">
        <v>5.0</v>
      </c>
      <c r="C19" s="28" t="s">
        <v>59</v>
      </c>
      <c r="D19" s="28">
        <v>4.0</v>
      </c>
      <c r="E19" s="28" t="s">
        <v>59</v>
      </c>
      <c r="F19" s="28">
        <v>1.0</v>
      </c>
      <c r="G19" s="28" t="s">
        <v>59</v>
      </c>
      <c r="H19" s="28">
        <v>4.0</v>
      </c>
      <c r="I19" s="28" t="s">
        <v>59</v>
      </c>
      <c r="J19" s="28">
        <v>3.0</v>
      </c>
      <c r="K19" s="28" t="s">
        <v>59</v>
      </c>
      <c r="L19" s="28">
        <v>10.0</v>
      </c>
      <c r="M19" s="28" t="s">
        <v>59</v>
      </c>
      <c r="N19" s="28">
        <v>5.0</v>
      </c>
      <c r="O19" s="28" t="s">
        <v>61</v>
      </c>
      <c r="P19" s="28">
        <v>3.0</v>
      </c>
      <c r="Q19" s="28" t="s">
        <v>59</v>
      </c>
      <c r="R19" s="28">
        <v>4.0</v>
      </c>
      <c r="S19" s="28" t="s">
        <v>59</v>
      </c>
      <c r="T19" s="28">
        <v>4.0</v>
      </c>
      <c r="U19" s="28" t="s">
        <v>59</v>
      </c>
      <c r="V19" s="28">
        <v>7.0</v>
      </c>
      <c r="W19" s="28" t="s">
        <v>59</v>
      </c>
      <c r="X19" s="28">
        <v>3.0</v>
      </c>
      <c r="Y19" s="28" t="s">
        <v>59</v>
      </c>
      <c r="Z19" s="28">
        <v>1.0</v>
      </c>
      <c r="AA19" s="28" t="s">
        <v>59</v>
      </c>
      <c r="AB19" s="28">
        <v>5.0</v>
      </c>
      <c r="AC19" s="28" t="s">
        <v>59</v>
      </c>
      <c r="AD19" s="28">
        <v>3.0</v>
      </c>
      <c r="AE19" s="28" t="s">
        <v>59</v>
      </c>
      <c r="AF19" s="28">
        <v>6.0</v>
      </c>
      <c r="AG19" s="28" t="s">
        <v>59</v>
      </c>
      <c r="AH19" s="28">
        <v>2.0</v>
      </c>
      <c r="AI19" s="28" t="s">
        <v>59</v>
      </c>
      <c r="AJ19" s="28">
        <v>1.0</v>
      </c>
      <c r="AK19" s="28" t="s">
        <v>59</v>
      </c>
      <c r="AL19" s="28">
        <v>4.0</v>
      </c>
      <c r="AM19" s="28" t="s">
        <v>59</v>
      </c>
      <c r="AN19" s="28">
        <v>2.0</v>
      </c>
      <c r="AO19" s="28" t="s">
        <v>59</v>
      </c>
      <c r="AP19" s="28">
        <v>7.0</v>
      </c>
    </row>
    <row r="20">
      <c r="A20" s="28" t="s">
        <v>61</v>
      </c>
      <c r="B20" s="28">
        <v>8.0</v>
      </c>
      <c r="C20" s="28" t="s">
        <v>61</v>
      </c>
      <c r="D20" s="28">
        <v>6.0</v>
      </c>
      <c r="E20" s="28" t="s">
        <v>61</v>
      </c>
      <c r="F20" s="28">
        <v>5.0</v>
      </c>
      <c r="G20" s="28" t="s">
        <v>61</v>
      </c>
      <c r="H20" s="28">
        <v>12.0</v>
      </c>
      <c r="I20" s="28" t="s">
        <v>61</v>
      </c>
      <c r="J20" s="28">
        <v>6.0</v>
      </c>
      <c r="K20" s="28" t="s">
        <v>61</v>
      </c>
      <c r="L20" s="28">
        <v>12.0</v>
      </c>
      <c r="M20" s="28" t="s">
        <v>61</v>
      </c>
      <c r="N20" s="28">
        <v>7.0</v>
      </c>
      <c r="O20" s="76"/>
      <c r="P20" s="76"/>
      <c r="Q20" s="28" t="s">
        <v>61</v>
      </c>
      <c r="R20" s="28">
        <v>6.0</v>
      </c>
      <c r="S20" s="28" t="s">
        <v>61</v>
      </c>
      <c r="T20" s="28">
        <v>7.0</v>
      </c>
      <c r="U20" s="28" t="s">
        <v>61</v>
      </c>
      <c r="V20" s="28">
        <v>12.0</v>
      </c>
      <c r="W20" s="28" t="s">
        <v>61</v>
      </c>
      <c r="X20" s="28">
        <v>4.0</v>
      </c>
      <c r="Y20" s="28" t="s">
        <v>61</v>
      </c>
      <c r="Z20" s="28">
        <v>3.0</v>
      </c>
      <c r="AA20" s="28" t="s">
        <v>61</v>
      </c>
      <c r="AB20" s="28">
        <v>12.0</v>
      </c>
      <c r="AC20" s="28" t="s">
        <v>61</v>
      </c>
      <c r="AD20" s="28">
        <v>6.0</v>
      </c>
      <c r="AE20" s="28" t="s">
        <v>61</v>
      </c>
      <c r="AF20" s="28">
        <v>8.0</v>
      </c>
      <c r="AG20" s="28" t="s">
        <v>61</v>
      </c>
      <c r="AH20" s="28">
        <v>6.0</v>
      </c>
      <c r="AI20" s="28" t="s">
        <v>61</v>
      </c>
      <c r="AJ20" s="28">
        <v>2.0</v>
      </c>
      <c r="AK20" s="28" t="s">
        <v>61</v>
      </c>
      <c r="AL20" s="28">
        <v>9.0</v>
      </c>
      <c r="AM20" s="28" t="s">
        <v>61</v>
      </c>
      <c r="AN20" s="28">
        <v>6.0</v>
      </c>
      <c r="AO20" s="28" t="s">
        <v>61</v>
      </c>
      <c r="AP20" s="28">
        <v>10.0</v>
      </c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9">
        <v>54.0</v>
      </c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</row>
    <row r="22">
      <c r="A22" s="76"/>
      <c r="B22" s="79">
        <v>104.0</v>
      </c>
      <c r="C22" s="76"/>
      <c r="D22" s="79">
        <v>68.0</v>
      </c>
      <c r="E22" s="76"/>
      <c r="F22" s="79">
        <v>60.0</v>
      </c>
      <c r="G22" s="76"/>
      <c r="H22" s="79">
        <v>80.0</v>
      </c>
      <c r="I22" s="76"/>
      <c r="J22" s="79">
        <v>73.0</v>
      </c>
      <c r="K22" s="76"/>
      <c r="L22" s="79">
        <v>105.0</v>
      </c>
      <c r="M22" s="76"/>
      <c r="N22" s="79">
        <v>71.0</v>
      </c>
      <c r="O22" s="76"/>
      <c r="P22" s="76"/>
      <c r="Q22" s="76"/>
      <c r="R22" s="79">
        <v>86.0</v>
      </c>
      <c r="S22" s="76"/>
      <c r="T22" s="79">
        <v>65.0</v>
      </c>
      <c r="U22" s="76"/>
      <c r="V22" s="79">
        <v>108.0</v>
      </c>
      <c r="W22" s="76"/>
      <c r="X22" s="79">
        <v>70.0</v>
      </c>
      <c r="Y22" s="76"/>
      <c r="Z22" s="79">
        <v>59.0</v>
      </c>
      <c r="AA22" s="79"/>
      <c r="AB22" s="79">
        <v>87.0</v>
      </c>
      <c r="AC22" s="79"/>
      <c r="AD22" s="79">
        <v>70.0</v>
      </c>
      <c r="AE22" s="79"/>
      <c r="AF22" s="79">
        <v>98.0</v>
      </c>
      <c r="AG22" s="79"/>
      <c r="AH22" s="79">
        <v>69.0</v>
      </c>
      <c r="AI22" s="79"/>
      <c r="AJ22" s="79">
        <v>58.0</v>
      </c>
      <c r="AK22" s="79"/>
      <c r="AL22" s="79">
        <v>84.0</v>
      </c>
      <c r="AM22" s="79"/>
      <c r="AN22" s="79">
        <v>71.0</v>
      </c>
      <c r="AO22" s="79"/>
      <c r="AP22" s="79">
        <v>96.0</v>
      </c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28" t="s">
        <v>195</v>
      </c>
      <c r="P23" s="28">
        <v>1.0</v>
      </c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</row>
    <row r="24">
      <c r="A24" s="28" t="s">
        <v>176</v>
      </c>
      <c r="B24" s="28">
        <v>1.0</v>
      </c>
      <c r="C24" s="28" t="s">
        <v>174</v>
      </c>
      <c r="D24" s="28">
        <v>1.0</v>
      </c>
      <c r="E24" s="28" t="s">
        <v>183</v>
      </c>
      <c r="F24" s="28">
        <v>1.0</v>
      </c>
      <c r="G24" s="95" t="s">
        <v>174</v>
      </c>
      <c r="H24" s="28">
        <v>1.0</v>
      </c>
      <c r="I24" s="28" t="s">
        <v>174</v>
      </c>
      <c r="J24" s="28">
        <v>1.0</v>
      </c>
      <c r="K24" s="28" t="s">
        <v>176</v>
      </c>
      <c r="L24" s="28">
        <v>1.0</v>
      </c>
      <c r="M24" s="28" t="s">
        <v>174</v>
      </c>
      <c r="N24" s="28">
        <v>1.0</v>
      </c>
      <c r="O24" s="28" t="s">
        <v>186</v>
      </c>
      <c r="P24" s="28">
        <v>1.0</v>
      </c>
      <c r="Q24" s="95" t="s">
        <v>174</v>
      </c>
      <c r="R24" s="28">
        <v>1.0</v>
      </c>
      <c r="S24" s="28" t="s">
        <v>183</v>
      </c>
      <c r="T24" s="28">
        <v>5.0</v>
      </c>
      <c r="U24" s="28" t="s">
        <v>176</v>
      </c>
      <c r="V24" s="28">
        <v>1.0</v>
      </c>
      <c r="W24" s="28" t="s">
        <v>176</v>
      </c>
      <c r="X24" s="28">
        <v>1.0</v>
      </c>
      <c r="Y24" s="28" t="s">
        <v>183</v>
      </c>
      <c r="Z24" s="28">
        <v>1.0</v>
      </c>
      <c r="AA24" s="95" t="s">
        <v>176</v>
      </c>
      <c r="AB24" s="28">
        <v>1.0</v>
      </c>
      <c r="AC24" s="28" t="s">
        <v>174</v>
      </c>
      <c r="AD24" s="28">
        <v>2.0</v>
      </c>
      <c r="AE24" s="28" t="s">
        <v>176</v>
      </c>
      <c r="AF24" s="28">
        <v>2.0</v>
      </c>
      <c r="AG24" s="28" t="s">
        <v>176</v>
      </c>
      <c r="AH24" s="28">
        <v>1.0</v>
      </c>
      <c r="AI24" s="28" t="s">
        <v>176</v>
      </c>
      <c r="AJ24" s="28">
        <v>1.0</v>
      </c>
      <c r="AK24" s="95" t="s">
        <v>176</v>
      </c>
      <c r="AL24" s="28">
        <v>3.0</v>
      </c>
      <c r="AM24" s="28" t="s">
        <v>183</v>
      </c>
      <c r="AN24" s="28">
        <v>4.0</v>
      </c>
      <c r="AO24" s="28" t="s">
        <v>176</v>
      </c>
      <c r="AP24" s="28">
        <v>1.0</v>
      </c>
    </row>
    <row r="25">
      <c r="A25" s="28" t="s">
        <v>174</v>
      </c>
      <c r="B25" s="28">
        <v>1.0</v>
      </c>
      <c r="C25" s="28" t="s">
        <v>183</v>
      </c>
      <c r="D25" s="28">
        <v>1.0</v>
      </c>
      <c r="E25" s="28" t="s">
        <v>180</v>
      </c>
      <c r="F25" s="28">
        <v>1.0</v>
      </c>
      <c r="G25" s="95" t="s">
        <v>183</v>
      </c>
      <c r="H25" s="28">
        <v>2.0</v>
      </c>
      <c r="I25" s="28" t="s">
        <v>183</v>
      </c>
      <c r="J25" s="28">
        <v>5.0</v>
      </c>
      <c r="K25" s="28" t="s">
        <v>183</v>
      </c>
      <c r="L25" s="28">
        <v>3.0</v>
      </c>
      <c r="M25" s="28" t="s">
        <v>183</v>
      </c>
      <c r="N25" s="28">
        <v>1.0</v>
      </c>
      <c r="O25" s="28" t="s">
        <v>192</v>
      </c>
      <c r="P25" s="28">
        <v>2.0</v>
      </c>
      <c r="Q25" s="95" t="s">
        <v>183</v>
      </c>
      <c r="R25" s="28">
        <v>2.0</v>
      </c>
      <c r="S25" s="28" t="s">
        <v>195</v>
      </c>
      <c r="T25" s="28">
        <v>1.0</v>
      </c>
      <c r="U25" s="28" t="s">
        <v>183</v>
      </c>
      <c r="V25" s="28">
        <v>3.0</v>
      </c>
      <c r="W25" s="28" t="s">
        <v>174</v>
      </c>
      <c r="X25" s="28">
        <v>1.0</v>
      </c>
      <c r="Y25" s="28" t="s">
        <v>192</v>
      </c>
      <c r="Z25" s="28">
        <v>2.0</v>
      </c>
      <c r="AA25" s="95" t="s">
        <v>174</v>
      </c>
      <c r="AB25" s="28">
        <v>1.0</v>
      </c>
      <c r="AC25" s="28" t="s">
        <v>183</v>
      </c>
      <c r="AD25" s="28">
        <v>3.0</v>
      </c>
      <c r="AE25" s="28" t="s">
        <v>183</v>
      </c>
      <c r="AF25" s="28">
        <v>5.0</v>
      </c>
      <c r="AG25" s="28" t="s">
        <v>174</v>
      </c>
      <c r="AH25" s="28">
        <v>1.0</v>
      </c>
      <c r="AI25" s="28" t="s">
        <v>174</v>
      </c>
      <c r="AJ25" s="28">
        <v>1.0</v>
      </c>
      <c r="AK25" s="95" t="s">
        <v>174</v>
      </c>
      <c r="AL25" s="28">
        <v>1.0</v>
      </c>
      <c r="AM25" s="28" t="s">
        <v>180</v>
      </c>
      <c r="AN25" s="28">
        <v>1.0</v>
      </c>
      <c r="AO25" s="28" t="s">
        <v>183</v>
      </c>
      <c r="AP25" s="28">
        <v>5.0</v>
      </c>
    </row>
    <row r="26">
      <c r="A26" s="28" t="s">
        <v>183</v>
      </c>
      <c r="B26" s="28">
        <v>3.0</v>
      </c>
      <c r="C26" s="28" t="s">
        <v>195</v>
      </c>
      <c r="D26" s="28">
        <v>2.0</v>
      </c>
      <c r="E26" s="28" t="s">
        <v>195</v>
      </c>
      <c r="F26" s="28">
        <v>1.0</v>
      </c>
      <c r="G26" s="95" t="s">
        <v>195</v>
      </c>
      <c r="H26" s="28">
        <v>4.0</v>
      </c>
      <c r="I26" s="28" t="s">
        <v>180</v>
      </c>
      <c r="J26" s="28">
        <v>3.0</v>
      </c>
      <c r="K26" s="28" t="s">
        <v>180</v>
      </c>
      <c r="L26" s="28">
        <v>3.0</v>
      </c>
      <c r="M26" s="28" t="s">
        <v>195</v>
      </c>
      <c r="N26" s="28">
        <v>3.0</v>
      </c>
      <c r="O26" s="28" t="s">
        <v>197</v>
      </c>
      <c r="P26" s="28">
        <v>1.0</v>
      </c>
      <c r="Q26" s="95" t="s">
        <v>195</v>
      </c>
      <c r="R26" s="28">
        <v>3.0</v>
      </c>
      <c r="S26" s="28" t="s">
        <v>192</v>
      </c>
      <c r="T26" s="28">
        <v>2.0</v>
      </c>
      <c r="U26" s="28" t="s">
        <v>180</v>
      </c>
      <c r="V26" s="28">
        <v>2.0</v>
      </c>
      <c r="W26" s="28" t="s">
        <v>183</v>
      </c>
      <c r="X26" s="28">
        <v>1.0</v>
      </c>
      <c r="Y26" s="28" t="s">
        <v>197</v>
      </c>
      <c r="Z26" s="28">
        <v>1.0</v>
      </c>
      <c r="AA26" s="95" t="s">
        <v>183</v>
      </c>
      <c r="AB26" s="28">
        <v>2.0</v>
      </c>
      <c r="AC26" s="28" t="s">
        <v>180</v>
      </c>
      <c r="AD26" s="28">
        <v>4.0</v>
      </c>
      <c r="AE26" s="28" t="s">
        <v>180</v>
      </c>
      <c r="AF26" s="28">
        <v>2.0</v>
      </c>
      <c r="AG26" s="28" t="s">
        <v>195</v>
      </c>
      <c r="AH26" s="28">
        <v>2.0</v>
      </c>
      <c r="AI26" s="28" t="s">
        <v>183</v>
      </c>
      <c r="AJ26" s="28">
        <v>1.0</v>
      </c>
      <c r="AK26" s="95" t="s">
        <v>183</v>
      </c>
      <c r="AL26" s="28">
        <v>3.0</v>
      </c>
      <c r="AM26" s="28" t="s">
        <v>195</v>
      </c>
      <c r="AN26" s="28">
        <v>1.0</v>
      </c>
      <c r="AO26" s="28" t="s">
        <v>195</v>
      </c>
      <c r="AP26" s="28">
        <v>2.0</v>
      </c>
    </row>
    <row r="27">
      <c r="A27" s="28" t="s">
        <v>180</v>
      </c>
      <c r="B27" s="28">
        <v>2.0</v>
      </c>
      <c r="C27" s="28" t="s">
        <v>186</v>
      </c>
      <c r="D27" s="28">
        <v>1.0</v>
      </c>
      <c r="E27" s="28" t="s">
        <v>192</v>
      </c>
      <c r="F27" s="28">
        <v>4.0</v>
      </c>
      <c r="G27" s="95" t="s">
        <v>192</v>
      </c>
      <c r="H27" s="28">
        <v>2.0</v>
      </c>
      <c r="I27" s="28" t="s">
        <v>195</v>
      </c>
      <c r="J27" s="28">
        <v>1.0</v>
      </c>
      <c r="K27" s="28" t="s">
        <v>195</v>
      </c>
      <c r="L27" s="28">
        <v>1.0</v>
      </c>
      <c r="M27" s="28" t="s">
        <v>192</v>
      </c>
      <c r="N27" s="28">
        <v>2.0</v>
      </c>
      <c r="O27" s="28" t="s">
        <v>202</v>
      </c>
      <c r="P27" s="28">
        <v>2.0</v>
      </c>
      <c r="Q27" s="95" t="s">
        <v>192</v>
      </c>
      <c r="R27" s="28">
        <v>2.0</v>
      </c>
      <c r="S27" s="28" t="s">
        <v>197</v>
      </c>
      <c r="T27" s="28">
        <v>1.0</v>
      </c>
      <c r="U27" s="28" t="s">
        <v>195</v>
      </c>
      <c r="V27" s="28">
        <v>1.0</v>
      </c>
      <c r="W27" s="28" t="s">
        <v>195</v>
      </c>
      <c r="X27" s="28">
        <v>4.0</v>
      </c>
      <c r="Y27" s="28" t="s">
        <v>202</v>
      </c>
      <c r="Z27" s="28">
        <v>2.0</v>
      </c>
      <c r="AA27" s="95" t="s">
        <v>180</v>
      </c>
      <c r="AB27" s="28">
        <v>2.0</v>
      </c>
      <c r="AC27" s="28" t="s">
        <v>195</v>
      </c>
      <c r="AD27" s="28">
        <v>1.0</v>
      </c>
      <c r="AE27" s="28" t="s">
        <v>195</v>
      </c>
      <c r="AF27" s="28">
        <v>3.0</v>
      </c>
      <c r="AG27" s="28" t="s">
        <v>192</v>
      </c>
      <c r="AH27" s="28">
        <v>1.0</v>
      </c>
      <c r="AI27" s="28" t="s">
        <v>180</v>
      </c>
      <c r="AJ27" s="28">
        <v>1.0</v>
      </c>
      <c r="AK27" s="95" t="s">
        <v>180</v>
      </c>
      <c r="AL27" s="28">
        <v>1.0</v>
      </c>
      <c r="AM27" s="28" t="s">
        <v>192</v>
      </c>
      <c r="AN27" s="28">
        <v>3.0</v>
      </c>
      <c r="AO27" s="28" t="s">
        <v>186</v>
      </c>
      <c r="AP27" s="28">
        <v>1.0</v>
      </c>
    </row>
    <row r="28">
      <c r="A28" s="28" t="s">
        <v>195</v>
      </c>
      <c r="B28" s="28">
        <v>3.0</v>
      </c>
      <c r="C28" s="28" t="s">
        <v>192</v>
      </c>
      <c r="D28" s="28">
        <v>1.0</v>
      </c>
      <c r="E28" s="28" t="s">
        <v>202</v>
      </c>
      <c r="F28" s="28">
        <v>1.0</v>
      </c>
      <c r="G28" s="28" t="s">
        <v>202</v>
      </c>
      <c r="H28" s="28">
        <v>1.0</v>
      </c>
      <c r="I28" s="28" t="s">
        <v>186</v>
      </c>
      <c r="J28" s="28">
        <v>1.0</v>
      </c>
      <c r="K28" s="28" t="s">
        <v>186</v>
      </c>
      <c r="L28" s="28">
        <v>1.0</v>
      </c>
      <c r="M28" s="28" t="s">
        <v>197</v>
      </c>
      <c r="N28" s="28">
        <v>1.0</v>
      </c>
      <c r="O28" s="28" t="s">
        <v>203</v>
      </c>
      <c r="P28" s="28">
        <v>2.0</v>
      </c>
      <c r="Q28" s="95" t="s">
        <v>202</v>
      </c>
      <c r="R28" s="28">
        <v>2.0</v>
      </c>
      <c r="S28" s="28" t="s">
        <v>207</v>
      </c>
      <c r="T28" s="28">
        <v>1.0</v>
      </c>
      <c r="U28" s="28" t="s">
        <v>192</v>
      </c>
      <c r="V28" s="28">
        <v>3.0</v>
      </c>
      <c r="W28" s="28" t="s">
        <v>192</v>
      </c>
      <c r="X28" s="28">
        <v>2.0</v>
      </c>
      <c r="Y28" s="28" t="s">
        <v>203</v>
      </c>
      <c r="Z28" s="28">
        <v>1.0</v>
      </c>
      <c r="AA28" s="95" t="s">
        <v>195</v>
      </c>
      <c r="AB28" s="28">
        <v>2.0</v>
      </c>
      <c r="AC28" s="28" t="s">
        <v>192</v>
      </c>
      <c r="AD28" s="28">
        <v>1.0</v>
      </c>
      <c r="AE28" s="28" t="s">
        <v>186</v>
      </c>
      <c r="AF28" s="28">
        <v>1.0</v>
      </c>
      <c r="AG28" s="28" t="s">
        <v>207</v>
      </c>
      <c r="AH28" s="28">
        <v>2.0</v>
      </c>
      <c r="AI28" s="28" t="s">
        <v>195</v>
      </c>
      <c r="AJ28" s="28">
        <v>2.0</v>
      </c>
      <c r="AK28" s="95" t="s">
        <v>195</v>
      </c>
      <c r="AL28" s="28">
        <v>1.0</v>
      </c>
      <c r="AM28" s="28" t="s">
        <v>197</v>
      </c>
      <c r="AN28" s="28">
        <v>1.0</v>
      </c>
      <c r="AO28" s="28" t="s">
        <v>192</v>
      </c>
      <c r="AP28" s="28">
        <v>4.0</v>
      </c>
    </row>
    <row r="29">
      <c r="A29" s="28" t="s">
        <v>192</v>
      </c>
      <c r="B29" s="28">
        <v>6.0</v>
      </c>
      <c r="C29" s="28" t="s">
        <v>202</v>
      </c>
      <c r="D29" s="28">
        <v>2.0</v>
      </c>
      <c r="E29" s="28" t="s">
        <v>210</v>
      </c>
      <c r="F29" s="28">
        <v>2.0</v>
      </c>
      <c r="G29" s="28" t="s">
        <v>207</v>
      </c>
      <c r="H29" s="28">
        <v>3.0</v>
      </c>
      <c r="I29" s="28" t="s">
        <v>192</v>
      </c>
      <c r="J29" s="28">
        <v>1.0</v>
      </c>
      <c r="K29" s="28" t="s">
        <v>192</v>
      </c>
      <c r="L29" s="28">
        <v>4.0</v>
      </c>
      <c r="M29" s="28" t="s">
        <v>202</v>
      </c>
      <c r="N29" s="28">
        <v>4.0</v>
      </c>
      <c r="O29" s="28" t="s">
        <v>210</v>
      </c>
      <c r="P29" s="28">
        <v>2.0</v>
      </c>
      <c r="Q29" s="28" t="s">
        <v>207</v>
      </c>
      <c r="R29" s="28">
        <v>3.0</v>
      </c>
      <c r="S29" s="28" t="s">
        <v>223</v>
      </c>
      <c r="T29" s="28">
        <v>1.0</v>
      </c>
      <c r="U29" s="28" t="s">
        <v>197</v>
      </c>
      <c r="V29" s="28">
        <v>2.0</v>
      </c>
      <c r="W29" s="28" t="s">
        <v>202</v>
      </c>
      <c r="X29" s="28">
        <v>4.0</v>
      </c>
      <c r="Y29" s="28" t="s">
        <v>207</v>
      </c>
      <c r="Z29" s="28">
        <v>1.0</v>
      </c>
      <c r="AA29" s="28" t="s">
        <v>186</v>
      </c>
      <c r="AB29" s="28">
        <v>1.0</v>
      </c>
      <c r="AC29" s="28" t="s">
        <v>197</v>
      </c>
      <c r="AD29" s="28">
        <v>1.0</v>
      </c>
      <c r="AE29" s="28" t="s">
        <v>192</v>
      </c>
      <c r="AF29" s="28">
        <v>2.0</v>
      </c>
      <c r="AG29" s="28" t="s">
        <v>210</v>
      </c>
      <c r="AH29" s="28">
        <v>1.0</v>
      </c>
      <c r="AI29" s="28" t="s">
        <v>192</v>
      </c>
      <c r="AJ29" s="28">
        <v>1.0</v>
      </c>
      <c r="AK29" s="28" t="s">
        <v>186</v>
      </c>
      <c r="AL29" s="28">
        <v>2.0</v>
      </c>
      <c r="AM29" s="28" t="s">
        <v>207</v>
      </c>
      <c r="AN29" s="28">
        <v>1.0</v>
      </c>
      <c r="AO29" s="28" t="s">
        <v>202</v>
      </c>
      <c r="AP29" s="28">
        <v>2.0</v>
      </c>
    </row>
    <row r="30">
      <c r="A30" s="28" t="s">
        <v>197</v>
      </c>
      <c r="B30" s="28">
        <v>1.0</v>
      </c>
      <c r="C30" s="28" t="s">
        <v>207</v>
      </c>
      <c r="D30" s="28">
        <v>2.0</v>
      </c>
      <c r="E30" s="28" t="s">
        <v>223</v>
      </c>
      <c r="F30" s="28">
        <v>2.0</v>
      </c>
      <c r="G30" s="28" t="s">
        <v>210</v>
      </c>
      <c r="H30" s="28">
        <v>1.0</v>
      </c>
      <c r="I30" s="28" t="s">
        <v>207</v>
      </c>
      <c r="J30" s="28">
        <v>3.0</v>
      </c>
      <c r="K30" s="28" t="s">
        <v>197</v>
      </c>
      <c r="L30" s="28">
        <v>1.0</v>
      </c>
      <c r="M30" s="28" t="s">
        <v>207</v>
      </c>
      <c r="N30" s="28">
        <v>4.0</v>
      </c>
      <c r="O30" s="28" t="s">
        <v>212</v>
      </c>
      <c r="P30" s="28">
        <v>4.0</v>
      </c>
      <c r="Q30" s="28" t="s">
        <v>210</v>
      </c>
      <c r="R30" s="28">
        <v>2.0</v>
      </c>
      <c r="S30" s="28" t="s">
        <v>221</v>
      </c>
      <c r="T30" s="28">
        <v>1.0</v>
      </c>
      <c r="U30" s="28" t="s">
        <v>203</v>
      </c>
      <c r="V30" s="28">
        <v>2.0</v>
      </c>
      <c r="W30" s="28" t="s">
        <v>203</v>
      </c>
      <c r="X30" s="28">
        <v>2.0</v>
      </c>
      <c r="Y30" s="28" t="s">
        <v>212</v>
      </c>
      <c r="Z30" s="28">
        <v>3.0</v>
      </c>
      <c r="AA30" s="28" t="s">
        <v>192</v>
      </c>
      <c r="AB30" s="28">
        <v>3.0</v>
      </c>
      <c r="AC30" s="28" t="s">
        <v>207</v>
      </c>
      <c r="AD30" s="28">
        <v>1.0</v>
      </c>
      <c r="AE30" s="28" t="s">
        <v>202</v>
      </c>
      <c r="AF30" s="28">
        <v>2.0</v>
      </c>
      <c r="AG30" s="28" t="s">
        <v>212</v>
      </c>
      <c r="AH30" s="28">
        <v>3.0</v>
      </c>
      <c r="AI30" s="28" t="s">
        <v>197</v>
      </c>
      <c r="AJ30" s="28">
        <v>1.0</v>
      </c>
      <c r="AK30" s="28" t="s">
        <v>192</v>
      </c>
      <c r="AL30" s="28">
        <v>4.0</v>
      </c>
      <c r="AM30" s="28" t="s">
        <v>210</v>
      </c>
      <c r="AN30" s="28">
        <v>1.0</v>
      </c>
      <c r="AO30" s="28" t="s">
        <v>203</v>
      </c>
      <c r="AP30" s="28">
        <v>1.0</v>
      </c>
    </row>
    <row r="31">
      <c r="A31" s="28" t="s">
        <v>212</v>
      </c>
      <c r="B31" s="28">
        <v>1.0</v>
      </c>
      <c r="C31" s="28" t="s">
        <v>210</v>
      </c>
      <c r="D31" s="28">
        <v>2.0</v>
      </c>
      <c r="E31" s="28" t="s">
        <v>212</v>
      </c>
      <c r="F31" s="28">
        <v>1.0</v>
      </c>
      <c r="G31" s="28" t="s">
        <v>223</v>
      </c>
      <c r="H31" s="28">
        <v>2.0</v>
      </c>
      <c r="I31" s="28" t="s">
        <v>210</v>
      </c>
      <c r="J31" s="28">
        <v>2.0</v>
      </c>
      <c r="K31" s="28" t="s">
        <v>202</v>
      </c>
      <c r="L31" s="28">
        <v>1.0</v>
      </c>
      <c r="M31" s="28" t="s">
        <v>210</v>
      </c>
      <c r="N31" s="28">
        <v>1.0</v>
      </c>
      <c r="O31" s="28" t="s">
        <v>216</v>
      </c>
      <c r="P31" s="28">
        <v>2.0</v>
      </c>
      <c r="Q31" s="28" t="s">
        <v>223</v>
      </c>
      <c r="R31" s="28">
        <v>1.0</v>
      </c>
      <c r="S31" s="28" t="s">
        <v>216</v>
      </c>
      <c r="T31" s="28">
        <v>1.0</v>
      </c>
      <c r="U31" s="28" t="s">
        <v>207</v>
      </c>
      <c r="V31" s="28">
        <v>1.0</v>
      </c>
      <c r="W31" s="28" t="s">
        <v>207</v>
      </c>
      <c r="X31" s="28">
        <v>4.0</v>
      </c>
      <c r="Y31" s="28" t="s">
        <v>216</v>
      </c>
      <c r="Z31" s="28">
        <v>2.0</v>
      </c>
      <c r="AA31" s="28" t="s">
        <v>202</v>
      </c>
      <c r="AB31" s="28">
        <v>2.0</v>
      </c>
      <c r="AC31" s="28" t="s">
        <v>210</v>
      </c>
      <c r="AD31" s="28">
        <v>1.0</v>
      </c>
      <c r="AE31" s="28" t="s">
        <v>210</v>
      </c>
      <c r="AF31" s="28">
        <v>1.0</v>
      </c>
      <c r="AG31" s="28" t="s">
        <v>466</v>
      </c>
      <c r="AH31" s="28">
        <v>1.0</v>
      </c>
      <c r="AI31" s="28" t="s">
        <v>202</v>
      </c>
      <c r="AJ31" s="28">
        <v>1.0</v>
      </c>
      <c r="AK31" s="28" t="s">
        <v>197</v>
      </c>
      <c r="AL31" s="28">
        <v>1.0</v>
      </c>
      <c r="AM31" s="28" t="s">
        <v>212</v>
      </c>
      <c r="AN31" s="28">
        <v>1.0</v>
      </c>
      <c r="AO31" s="28" t="s">
        <v>210</v>
      </c>
      <c r="AP31" s="28">
        <v>1.0</v>
      </c>
    </row>
    <row r="32">
      <c r="A32" s="28" t="s">
        <v>466</v>
      </c>
      <c r="B32" s="28">
        <v>1.0</v>
      </c>
      <c r="C32" s="28" t="s">
        <v>223</v>
      </c>
      <c r="D32" s="28">
        <v>2.0</v>
      </c>
      <c r="E32" s="28" t="s">
        <v>466</v>
      </c>
      <c r="F32" s="28">
        <v>2.0</v>
      </c>
      <c r="G32" s="28" t="s">
        <v>212</v>
      </c>
      <c r="H32" s="28">
        <v>1.0</v>
      </c>
      <c r="I32" s="28" t="s">
        <v>223</v>
      </c>
      <c r="J32" s="28">
        <v>1.0</v>
      </c>
      <c r="K32" s="28" t="s">
        <v>203</v>
      </c>
      <c r="L32" s="28">
        <v>1.0</v>
      </c>
      <c r="M32" s="28" t="s">
        <v>223</v>
      </c>
      <c r="N32" s="28">
        <v>1.0</v>
      </c>
      <c r="O32" s="28" t="s">
        <v>225</v>
      </c>
      <c r="P32" s="28">
        <v>6.0</v>
      </c>
      <c r="Q32" s="28" t="s">
        <v>212</v>
      </c>
      <c r="R32" s="28">
        <v>1.0</v>
      </c>
      <c r="S32" s="28" t="s">
        <v>225</v>
      </c>
      <c r="T32" s="28">
        <v>6.0</v>
      </c>
      <c r="U32" s="28" t="s">
        <v>210</v>
      </c>
      <c r="V32" s="28">
        <v>1.0</v>
      </c>
      <c r="W32" s="28" t="s">
        <v>223</v>
      </c>
      <c r="X32" s="28">
        <v>1.0</v>
      </c>
      <c r="Y32" s="28" t="s">
        <v>225</v>
      </c>
      <c r="Z32" s="28">
        <v>6.0</v>
      </c>
      <c r="AA32" s="28" t="s">
        <v>203</v>
      </c>
      <c r="AB32" s="28">
        <v>1.0</v>
      </c>
      <c r="AC32" s="28" t="s">
        <v>212</v>
      </c>
      <c r="AD32" s="28">
        <v>1.0</v>
      </c>
      <c r="AE32" s="28" t="s">
        <v>223</v>
      </c>
      <c r="AF32" s="28">
        <v>4.0</v>
      </c>
      <c r="AG32" s="28" t="s">
        <v>216</v>
      </c>
      <c r="AH32" s="28">
        <v>6.0</v>
      </c>
      <c r="AI32" s="28" t="s">
        <v>203</v>
      </c>
      <c r="AJ32" s="28">
        <v>1.0</v>
      </c>
      <c r="AK32" s="28" t="s">
        <v>202</v>
      </c>
      <c r="AL32" s="28">
        <v>2.0</v>
      </c>
      <c r="AM32" s="28" t="s">
        <v>216</v>
      </c>
      <c r="AN32" s="28">
        <v>4.0</v>
      </c>
      <c r="AO32" s="28" t="s">
        <v>223</v>
      </c>
      <c r="AP32" s="28">
        <v>2.0</v>
      </c>
    </row>
    <row r="33">
      <c r="A33" s="28" t="s">
        <v>216</v>
      </c>
      <c r="B33" s="28">
        <v>1.0</v>
      </c>
      <c r="C33" s="28" t="s">
        <v>466</v>
      </c>
      <c r="D33" s="28">
        <v>1.0</v>
      </c>
      <c r="E33" s="28" t="s">
        <v>216</v>
      </c>
      <c r="F33" s="28">
        <v>7.0</v>
      </c>
      <c r="G33" s="28" t="s">
        <v>216</v>
      </c>
      <c r="H33" s="28">
        <v>6.0</v>
      </c>
      <c r="I33" s="28" t="s">
        <v>212</v>
      </c>
      <c r="J33" s="28">
        <v>1.0</v>
      </c>
      <c r="K33" s="28" t="s">
        <v>210</v>
      </c>
      <c r="L33" s="28">
        <v>1.0</v>
      </c>
      <c r="M33" s="28" t="s">
        <v>212</v>
      </c>
      <c r="N33" s="28">
        <v>1.0</v>
      </c>
      <c r="O33" s="28" t="s">
        <v>230</v>
      </c>
      <c r="P33" s="28">
        <v>3.0</v>
      </c>
      <c r="Q33" s="28" t="s">
        <v>466</v>
      </c>
      <c r="R33" s="28">
        <v>1.0</v>
      </c>
      <c r="S33" s="28" t="s">
        <v>230</v>
      </c>
      <c r="T33" s="28">
        <v>3.0</v>
      </c>
      <c r="U33" s="28" t="s">
        <v>223</v>
      </c>
      <c r="V33" s="28">
        <v>1.0</v>
      </c>
      <c r="W33" s="28" t="s">
        <v>212</v>
      </c>
      <c r="X33" s="28">
        <v>1.0</v>
      </c>
      <c r="Y33" s="28" t="s">
        <v>230</v>
      </c>
      <c r="Z33" s="28">
        <v>3.0</v>
      </c>
      <c r="AA33" s="28" t="s">
        <v>207</v>
      </c>
      <c r="AB33" s="28">
        <v>6.0</v>
      </c>
      <c r="AC33" s="28" t="s">
        <v>216</v>
      </c>
      <c r="AD33" s="28">
        <v>3.0</v>
      </c>
      <c r="AE33" s="28" t="s">
        <v>212</v>
      </c>
      <c r="AF33" s="28">
        <v>4.0</v>
      </c>
      <c r="AG33" s="28" t="s">
        <v>468</v>
      </c>
      <c r="AH33" s="28">
        <v>1.0</v>
      </c>
      <c r="AI33" s="28" t="s">
        <v>210</v>
      </c>
      <c r="AJ33" s="28">
        <v>1.0</v>
      </c>
      <c r="AK33" s="28" t="s">
        <v>203</v>
      </c>
      <c r="AL33" s="28">
        <v>1.0</v>
      </c>
      <c r="AM33" s="28" t="s">
        <v>225</v>
      </c>
      <c r="AN33" s="28">
        <v>6.0</v>
      </c>
      <c r="AO33" s="28" t="s">
        <v>212</v>
      </c>
      <c r="AP33" s="28">
        <v>5.0</v>
      </c>
    </row>
    <row r="34">
      <c r="A34" s="28" t="s">
        <v>225</v>
      </c>
      <c r="B34" s="28">
        <v>7.0</v>
      </c>
      <c r="C34" s="28" t="s">
        <v>216</v>
      </c>
      <c r="D34" s="28">
        <v>7.0</v>
      </c>
      <c r="E34" s="28" t="s">
        <v>225</v>
      </c>
      <c r="F34" s="28">
        <v>7.0</v>
      </c>
      <c r="G34" s="28" t="s">
        <v>225</v>
      </c>
      <c r="H34" s="28">
        <v>5.0</v>
      </c>
      <c r="I34" s="28" t="s">
        <v>216</v>
      </c>
      <c r="J34" s="28">
        <v>1.0</v>
      </c>
      <c r="K34" s="28" t="s">
        <v>223</v>
      </c>
      <c r="L34" s="28">
        <v>1.0</v>
      </c>
      <c r="M34" s="28" t="s">
        <v>216</v>
      </c>
      <c r="N34" s="28">
        <v>9.0</v>
      </c>
      <c r="O34" s="28" t="s">
        <v>236</v>
      </c>
      <c r="P34" s="28">
        <v>1.0</v>
      </c>
      <c r="Q34" s="28" t="s">
        <v>216</v>
      </c>
      <c r="R34" s="28">
        <v>7.0</v>
      </c>
      <c r="S34" s="28" t="s">
        <v>236</v>
      </c>
      <c r="T34" s="28">
        <v>1.0</v>
      </c>
      <c r="U34" s="28" t="s">
        <v>221</v>
      </c>
      <c r="V34" s="28">
        <v>1.0</v>
      </c>
      <c r="W34" s="28" t="s">
        <v>216</v>
      </c>
      <c r="X34" s="28">
        <v>8.0</v>
      </c>
      <c r="Y34" s="28" t="s">
        <v>236</v>
      </c>
      <c r="Z34" s="28">
        <v>2.0</v>
      </c>
      <c r="AA34" s="28" t="s">
        <v>210</v>
      </c>
      <c r="AB34" s="28">
        <v>1.0</v>
      </c>
      <c r="AC34" s="28" t="s">
        <v>225</v>
      </c>
      <c r="AD34" s="28">
        <v>7.0</v>
      </c>
      <c r="AE34" s="28" t="s">
        <v>466</v>
      </c>
      <c r="AF34" s="28">
        <v>1.0</v>
      </c>
      <c r="AG34" s="28" t="s">
        <v>225</v>
      </c>
      <c r="AH34" s="28">
        <v>7.0</v>
      </c>
      <c r="AI34" s="28" t="s">
        <v>223</v>
      </c>
      <c r="AJ34" s="28">
        <v>1.0</v>
      </c>
      <c r="AK34" s="28" t="s">
        <v>207</v>
      </c>
      <c r="AL34" s="28">
        <v>3.0</v>
      </c>
      <c r="AM34" s="28" t="s">
        <v>230</v>
      </c>
      <c r="AN34" s="28">
        <v>4.0</v>
      </c>
      <c r="AO34" s="28" t="s">
        <v>466</v>
      </c>
      <c r="AP34" s="28">
        <v>1.0</v>
      </c>
    </row>
    <row r="35">
      <c r="A35" s="28" t="s">
        <v>230</v>
      </c>
      <c r="B35" s="28">
        <v>6.0</v>
      </c>
      <c r="C35" s="28" t="s">
        <v>225</v>
      </c>
      <c r="D35" s="28">
        <v>3.0</v>
      </c>
      <c r="E35" s="28" t="s">
        <v>230</v>
      </c>
      <c r="F35" s="28">
        <v>2.0</v>
      </c>
      <c r="G35" s="28" t="s">
        <v>230</v>
      </c>
      <c r="H35" s="28">
        <v>3.0</v>
      </c>
      <c r="I35" s="28" t="s">
        <v>225</v>
      </c>
      <c r="J35" s="28">
        <v>6.0</v>
      </c>
      <c r="K35" s="28" t="s">
        <v>212</v>
      </c>
      <c r="L35" s="28">
        <v>3.0</v>
      </c>
      <c r="M35" s="28" t="s">
        <v>225</v>
      </c>
      <c r="N35" s="28">
        <v>4.0</v>
      </c>
      <c r="O35" s="28" t="s">
        <v>246</v>
      </c>
      <c r="P35" s="28">
        <v>1.0</v>
      </c>
      <c r="Q35" s="28" t="s">
        <v>239</v>
      </c>
      <c r="R35" s="28">
        <v>1.0</v>
      </c>
      <c r="S35" s="28" t="s">
        <v>291</v>
      </c>
      <c r="T35" s="28">
        <v>2.0</v>
      </c>
      <c r="U35" s="28" t="s">
        <v>212</v>
      </c>
      <c r="V35" s="28">
        <v>1.0</v>
      </c>
      <c r="W35" s="28" t="s">
        <v>225</v>
      </c>
      <c r="X35" s="28">
        <v>7.0</v>
      </c>
      <c r="Y35" s="28" t="s">
        <v>244</v>
      </c>
      <c r="Z35" s="28">
        <v>1.0</v>
      </c>
      <c r="AA35" s="28" t="s">
        <v>223</v>
      </c>
      <c r="AB35" s="28">
        <v>1.0</v>
      </c>
      <c r="AC35" s="28" t="s">
        <v>230</v>
      </c>
      <c r="AD35" s="28">
        <v>2.0</v>
      </c>
      <c r="AE35" s="28" t="s">
        <v>216</v>
      </c>
      <c r="AF35" s="28">
        <v>3.0</v>
      </c>
      <c r="AG35" s="28" t="s">
        <v>230</v>
      </c>
      <c r="AH35" s="28">
        <v>6.0</v>
      </c>
      <c r="AI35" s="28" t="s">
        <v>212</v>
      </c>
      <c r="AJ35" s="28">
        <v>3.0</v>
      </c>
      <c r="AK35" s="28" t="s">
        <v>210</v>
      </c>
      <c r="AL35" s="28">
        <v>1.0</v>
      </c>
      <c r="AM35" s="28" t="s">
        <v>236</v>
      </c>
      <c r="AN35" s="28">
        <v>2.0</v>
      </c>
      <c r="AO35" s="28" t="s">
        <v>216</v>
      </c>
      <c r="AP35" s="28">
        <v>2.0</v>
      </c>
    </row>
    <row r="36">
      <c r="A36" s="28" t="s">
        <v>236</v>
      </c>
      <c r="B36" s="28">
        <v>1.0</v>
      </c>
      <c r="C36" s="28" t="s">
        <v>230</v>
      </c>
      <c r="D36" s="28">
        <v>8.0</v>
      </c>
      <c r="E36" s="28" t="s">
        <v>236</v>
      </c>
      <c r="F36" s="28">
        <v>3.0</v>
      </c>
      <c r="G36" s="28" t="s">
        <v>236</v>
      </c>
      <c r="H36" s="28">
        <v>2.0</v>
      </c>
      <c r="I36" s="28" t="s">
        <v>230</v>
      </c>
      <c r="J36" s="28">
        <v>4.0</v>
      </c>
      <c r="K36" s="28" t="s">
        <v>216</v>
      </c>
      <c r="L36" s="28">
        <v>4.0</v>
      </c>
      <c r="M36" s="28" t="s">
        <v>230</v>
      </c>
      <c r="N36" s="28">
        <v>6.0</v>
      </c>
      <c r="O36" s="28" t="s">
        <v>273</v>
      </c>
      <c r="P36" s="28">
        <v>1.0</v>
      </c>
      <c r="Q36" s="28" t="s">
        <v>225</v>
      </c>
      <c r="R36" s="28">
        <v>7.0</v>
      </c>
      <c r="S36" s="28" t="s">
        <v>241</v>
      </c>
      <c r="T36" s="28">
        <v>1.0</v>
      </c>
      <c r="U36" s="28" t="s">
        <v>466</v>
      </c>
      <c r="V36" s="28">
        <v>1.0</v>
      </c>
      <c r="W36" s="28" t="s">
        <v>230</v>
      </c>
      <c r="X36" s="28">
        <v>5.0</v>
      </c>
      <c r="Y36" s="28" t="s">
        <v>266</v>
      </c>
      <c r="Z36" s="28">
        <v>1.0</v>
      </c>
      <c r="AA36" s="28" t="s">
        <v>212</v>
      </c>
      <c r="AB36" s="28">
        <v>3.0</v>
      </c>
      <c r="AC36" s="28" t="s">
        <v>236</v>
      </c>
      <c r="AD36" s="28">
        <v>1.0</v>
      </c>
      <c r="AE36" s="28" t="s">
        <v>225</v>
      </c>
      <c r="AF36" s="28">
        <v>9.0</v>
      </c>
      <c r="AG36" s="28" t="s">
        <v>236</v>
      </c>
      <c r="AH36" s="28">
        <v>1.0</v>
      </c>
      <c r="AI36" s="28" t="s">
        <v>216</v>
      </c>
      <c r="AJ36" s="28">
        <v>2.0</v>
      </c>
      <c r="AK36" s="28" t="s">
        <v>223</v>
      </c>
      <c r="AL36" s="28">
        <v>2.0</v>
      </c>
      <c r="AM36" s="28" t="s">
        <v>243</v>
      </c>
      <c r="AN36" s="28">
        <v>1.0</v>
      </c>
      <c r="AO36" s="28" t="s">
        <v>225</v>
      </c>
      <c r="AP36" s="28">
        <v>7.0</v>
      </c>
    </row>
    <row r="37">
      <c r="A37" s="28" t="s">
        <v>246</v>
      </c>
      <c r="B37" s="28">
        <v>1.0</v>
      </c>
      <c r="C37" s="28" t="s">
        <v>236</v>
      </c>
      <c r="D37" s="28">
        <v>2.0</v>
      </c>
      <c r="E37" s="28" t="s">
        <v>246</v>
      </c>
      <c r="F37" s="28">
        <v>1.0</v>
      </c>
      <c r="G37" s="28" t="s">
        <v>246</v>
      </c>
      <c r="H37" s="28">
        <v>1.0</v>
      </c>
      <c r="I37" s="28" t="s">
        <v>236</v>
      </c>
      <c r="J37" s="28">
        <v>3.0</v>
      </c>
      <c r="K37" s="28" t="s">
        <v>225</v>
      </c>
      <c r="L37" s="28">
        <v>7.0</v>
      </c>
      <c r="M37" s="28" t="s">
        <v>236</v>
      </c>
      <c r="N37" s="28">
        <v>3.0</v>
      </c>
      <c r="O37" s="28" t="s">
        <v>266</v>
      </c>
      <c r="P37" s="28">
        <v>2.0</v>
      </c>
      <c r="Q37" s="28" t="s">
        <v>230</v>
      </c>
      <c r="R37" s="28">
        <v>6.0</v>
      </c>
      <c r="S37" s="28" t="s">
        <v>257</v>
      </c>
      <c r="T37" s="28">
        <v>2.0</v>
      </c>
      <c r="U37" s="28" t="s">
        <v>216</v>
      </c>
      <c r="V37" s="28">
        <v>5.0</v>
      </c>
      <c r="W37" s="28" t="s">
        <v>236</v>
      </c>
      <c r="X37" s="28">
        <v>4.0</v>
      </c>
      <c r="Y37" s="28" t="s">
        <v>471</v>
      </c>
      <c r="Z37" s="28">
        <v>1.0</v>
      </c>
      <c r="AA37" s="28" t="s">
        <v>466</v>
      </c>
      <c r="AB37" s="28">
        <v>1.0</v>
      </c>
      <c r="AC37" s="28" t="s">
        <v>246</v>
      </c>
      <c r="AD37" s="28">
        <v>1.0</v>
      </c>
      <c r="AE37" s="28" t="s">
        <v>230</v>
      </c>
      <c r="AF37" s="28">
        <v>4.0</v>
      </c>
      <c r="AG37" s="28" t="s">
        <v>472</v>
      </c>
      <c r="AH37" s="28">
        <v>1.0</v>
      </c>
      <c r="AI37" s="28" t="s">
        <v>225</v>
      </c>
      <c r="AJ37" s="28">
        <v>6.0</v>
      </c>
      <c r="AK37" s="28" t="s">
        <v>212</v>
      </c>
      <c r="AL37" s="28">
        <v>1.0</v>
      </c>
      <c r="AM37" s="28" t="s">
        <v>291</v>
      </c>
      <c r="AN37" s="28">
        <v>1.0</v>
      </c>
      <c r="AO37" s="28" t="s">
        <v>230</v>
      </c>
      <c r="AP37" s="28">
        <v>3.0</v>
      </c>
    </row>
    <row r="38">
      <c r="A38" s="28" t="s">
        <v>287</v>
      </c>
      <c r="B38" s="28">
        <v>1.0</v>
      </c>
      <c r="C38" s="28" t="s">
        <v>291</v>
      </c>
      <c r="D38" s="28">
        <v>1.0</v>
      </c>
      <c r="E38" s="28" t="s">
        <v>244</v>
      </c>
      <c r="F38" s="28">
        <v>1.0</v>
      </c>
      <c r="G38" s="28" t="s">
        <v>273</v>
      </c>
      <c r="H38" s="28">
        <v>1.0</v>
      </c>
      <c r="I38" s="28" t="s">
        <v>246</v>
      </c>
      <c r="J38" s="28">
        <v>1.0</v>
      </c>
      <c r="K38" s="28" t="s">
        <v>230</v>
      </c>
      <c r="L38" s="28">
        <v>1.0</v>
      </c>
      <c r="M38" s="28" t="s">
        <v>266</v>
      </c>
      <c r="N38" s="28">
        <v>1.0</v>
      </c>
      <c r="O38" s="28" t="s">
        <v>257</v>
      </c>
      <c r="P38" s="28">
        <v>1.0</v>
      </c>
      <c r="Q38" s="28" t="s">
        <v>236</v>
      </c>
      <c r="R38" s="28">
        <v>5.0</v>
      </c>
      <c r="S38" s="28" t="s">
        <v>258</v>
      </c>
      <c r="T38" s="28">
        <v>1.0</v>
      </c>
      <c r="U38" s="28" t="s">
        <v>225</v>
      </c>
      <c r="V38" s="28">
        <v>6.0</v>
      </c>
      <c r="W38" s="28" t="s">
        <v>291</v>
      </c>
      <c r="X38" s="28">
        <v>2.0</v>
      </c>
      <c r="Y38" s="28" t="s">
        <v>276</v>
      </c>
      <c r="Z38" s="28">
        <v>1.0</v>
      </c>
      <c r="AA38" s="28" t="s">
        <v>216</v>
      </c>
      <c r="AB38" s="28">
        <v>6.0</v>
      </c>
      <c r="AC38" s="28" t="s">
        <v>243</v>
      </c>
      <c r="AD38" s="28">
        <v>1.0</v>
      </c>
      <c r="AE38" s="28" t="s">
        <v>236</v>
      </c>
      <c r="AF38" s="28">
        <v>1.0</v>
      </c>
      <c r="AG38" s="28" t="s">
        <v>291</v>
      </c>
      <c r="AH38" s="28">
        <v>1.0</v>
      </c>
      <c r="AI38" s="28" t="s">
        <v>236</v>
      </c>
      <c r="AJ38" s="28">
        <v>2.0</v>
      </c>
      <c r="AK38" s="28" t="s">
        <v>466</v>
      </c>
      <c r="AL38" s="28">
        <v>1.0</v>
      </c>
      <c r="AM38" s="28" t="s">
        <v>248</v>
      </c>
      <c r="AN38" s="28">
        <v>1.0</v>
      </c>
      <c r="AO38" s="28" t="s">
        <v>236</v>
      </c>
      <c r="AP38" s="28">
        <v>2.0</v>
      </c>
    </row>
    <row r="39">
      <c r="A39" s="28" t="s">
        <v>241</v>
      </c>
      <c r="B39" s="28">
        <v>1.0</v>
      </c>
      <c r="C39" s="28" t="s">
        <v>276</v>
      </c>
      <c r="D39" s="28">
        <v>1.0</v>
      </c>
      <c r="E39" s="28" t="s">
        <v>269</v>
      </c>
      <c r="F39" s="28">
        <v>1.0</v>
      </c>
      <c r="G39" s="28" t="s">
        <v>291</v>
      </c>
      <c r="H39" s="28">
        <v>1.0</v>
      </c>
      <c r="I39" s="28" t="s">
        <v>291</v>
      </c>
      <c r="J39" s="28">
        <v>1.0</v>
      </c>
      <c r="K39" s="28" t="s">
        <v>246</v>
      </c>
      <c r="L39" s="28">
        <v>1.0</v>
      </c>
      <c r="M39" s="28" t="s">
        <v>471</v>
      </c>
      <c r="N39" s="28">
        <v>1.0</v>
      </c>
      <c r="O39" s="28" t="s">
        <v>258</v>
      </c>
      <c r="P39" s="28">
        <v>1.0</v>
      </c>
      <c r="Q39" s="28" t="s">
        <v>472</v>
      </c>
      <c r="R39" s="28">
        <v>1.0</v>
      </c>
      <c r="S39" s="28" t="s">
        <v>263</v>
      </c>
      <c r="T39" s="28">
        <v>1.0</v>
      </c>
      <c r="U39" s="28" t="s">
        <v>230</v>
      </c>
      <c r="V39" s="28">
        <v>4.0</v>
      </c>
      <c r="W39" s="28" t="s">
        <v>471</v>
      </c>
      <c r="X39" s="28">
        <v>1.0</v>
      </c>
      <c r="Y39" s="28" t="s">
        <v>249</v>
      </c>
      <c r="Z39" s="28">
        <v>2.0</v>
      </c>
      <c r="AA39" s="28" t="s">
        <v>225</v>
      </c>
      <c r="AB39" s="28">
        <v>3.0</v>
      </c>
      <c r="AC39" s="28" t="s">
        <v>291</v>
      </c>
      <c r="AD39" s="28">
        <v>2.0</v>
      </c>
      <c r="AE39" s="28" t="s">
        <v>246</v>
      </c>
      <c r="AF39" s="28">
        <v>2.0</v>
      </c>
      <c r="AG39" s="28" t="s">
        <v>248</v>
      </c>
      <c r="AH39" s="28">
        <v>1.0</v>
      </c>
      <c r="AI39" s="28" t="s">
        <v>244</v>
      </c>
      <c r="AJ39" s="28">
        <v>1.0</v>
      </c>
      <c r="AK39" s="28" t="s">
        <v>216</v>
      </c>
      <c r="AL39" s="28">
        <v>4.0</v>
      </c>
      <c r="AM39" s="28" t="s">
        <v>288</v>
      </c>
      <c r="AN39" s="28">
        <v>1.0</v>
      </c>
      <c r="AO39" s="28" t="s">
        <v>269</v>
      </c>
      <c r="AP39" s="28">
        <v>1.0</v>
      </c>
    </row>
    <row r="40">
      <c r="A40" s="28" t="s">
        <v>249</v>
      </c>
      <c r="B40" s="28">
        <v>1.0</v>
      </c>
      <c r="C40" s="28" t="s">
        <v>249</v>
      </c>
      <c r="D40" s="28">
        <v>1.0</v>
      </c>
      <c r="E40" s="28" t="s">
        <v>276</v>
      </c>
      <c r="F40" s="28">
        <v>1.0</v>
      </c>
      <c r="G40" s="28" t="s">
        <v>288</v>
      </c>
      <c r="H40" s="28">
        <v>1.0</v>
      </c>
      <c r="I40" s="28" t="s">
        <v>266</v>
      </c>
      <c r="J40" s="28">
        <v>1.0</v>
      </c>
      <c r="K40" s="28" t="s">
        <v>269</v>
      </c>
      <c r="L40" s="28">
        <v>1.0</v>
      </c>
      <c r="M40" s="28" t="s">
        <v>276</v>
      </c>
      <c r="N40" s="28">
        <v>2.0</v>
      </c>
      <c r="O40" s="28" t="s">
        <v>255</v>
      </c>
      <c r="P40" s="28">
        <v>1.0</v>
      </c>
      <c r="Q40" s="28" t="s">
        <v>241</v>
      </c>
      <c r="R40" s="28">
        <v>1.0</v>
      </c>
      <c r="S40" s="28" t="s">
        <v>304</v>
      </c>
      <c r="T40" s="28">
        <v>1.0</v>
      </c>
      <c r="U40" s="28" t="s">
        <v>236</v>
      </c>
      <c r="V40" s="28">
        <v>1.0</v>
      </c>
      <c r="W40" s="28" t="s">
        <v>258</v>
      </c>
      <c r="X40" s="28">
        <v>1.0</v>
      </c>
      <c r="Y40" s="28" t="s">
        <v>257</v>
      </c>
      <c r="Z40" s="28">
        <v>2.0</v>
      </c>
      <c r="AA40" s="28" t="s">
        <v>473</v>
      </c>
      <c r="AB40" s="28">
        <v>1.0</v>
      </c>
      <c r="AC40" s="28" t="s">
        <v>266</v>
      </c>
      <c r="AD40" s="28">
        <v>1.0</v>
      </c>
      <c r="AE40" s="28" t="s">
        <v>273</v>
      </c>
      <c r="AF40" s="28">
        <v>1.0</v>
      </c>
      <c r="AG40" s="28" t="s">
        <v>471</v>
      </c>
      <c r="AH40" s="28">
        <v>1.0</v>
      </c>
      <c r="AI40" s="28" t="s">
        <v>291</v>
      </c>
      <c r="AJ40" s="28">
        <v>1.0</v>
      </c>
      <c r="AK40" s="28" t="s">
        <v>225</v>
      </c>
      <c r="AL40" s="28">
        <v>3.0</v>
      </c>
      <c r="AM40" s="28" t="s">
        <v>292</v>
      </c>
      <c r="AN40" s="28">
        <v>1.0</v>
      </c>
      <c r="AO40" s="28" t="s">
        <v>273</v>
      </c>
      <c r="AP40" s="28">
        <v>1.0</v>
      </c>
    </row>
    <row r="41">
      <c r="A41" s="28" t="s">
        <v>475</v>
      </c>
      <c r="B41" s="28">
        <v>1.0</v>
      </c>
      <c r="C41" s="28" t="s">
        <v>257</v>
      </c>
      <c r="D41" s="28">
        <v>1.0</v>
      </c>
      <c r="E41" s="28" t="s">
        <v>279</v>
      </c>
      <c r="F41" s="28">
        <v>1.0</v>
      </c>
      <c r="G41" s="28" t="s">
        <v>249</v>
      </c>
      <c r="H41" s="28">
        <v>3.0</v>
      </c>
      <c r="I41" s="28" t="s">
        <v>292</v>
      </c>
      <c r="J41" s="28">
        <v>1.0</v>
      </c>
      <c r="K41" s="28" t="s">
        <v>287</v>
      </c>
      <c r="L41" s="28">
        <v>1.0</v>
      </c>
      <c r="M41" s="28" t="s">
        <v>304</v>
      </c>
      <c r="N41" s="28">
        <v>1.0</v>
      </c>
      <c r="O41" s="28" t="s">
        <v>476</v>
      </c>
      <c r="P41" s="28">
        <v>1.0</v>
      </c>
      <c r="Q41" s="28" t="s">
        <v>248</v>
      </c>
      <c r="R41" s="28">
        <v>1.0</v>
      </c>
      <c r="S41" s="28" t="s">
        <v>285</v>
      </c>
      <c r="T41" s="28">
        <v>1.0</v>
      </c>
      <c r="U41" s="28" t="s">
        <v>246</v>
      </c>
      <c r="V41" s="28">
        <v>1.0</v>
      </c>
      <c r="W41" s="28" t="s">
        <v>255</v>
      </c>
      <c r="X41" s="28">
        <v>1.0</v>
      </c>
      <c r="Y41" s="28" t="s">
        <v>475</v>
      </c>
      <c r="Z41" s="28">
        <v>1.0</v>
      </c>
      <c r="AA41" s="28" t="s">
        <v>230</v>
      </c>
      <c r="AB41" s="28">
        <v>6.0</v>
      </c>
      <c r="AC41" s="28" t="s">
        <v>292</v>
      </c>
      <c r="AD41" s="28">
        <v>1.0</v>
      </c>
      <c r="AE41" s="28" t="s">
        <v>287</v>
      </c>
      <c r="AF41" s="28">
        <v>1.0</v>
      </c>
      <c r="AG41" s="28" t="s">
        <v>279</v>
      </c>
      <c r="AH41" s="28">
        <v>1.0</v>
      </c>
      <c r="AI41" s="28" t="s">
        <v>266</v>
      </c>
      <c r="AJ41" s="28">
        <v>1.0</v>
      </c>
      <c r="AK41" s="28" t="s">
        <v>230</v>
      </c>
      <c r="AL41" s="28">
        <v>5.0</v>
      </c>
      <c r="AM41" s="28" t="s">
        <v>276</v>
      </c>
      <c r="AN41" s="28">
        <v>1.0</v>
      </c>
      <c r="AO41" s="28" t="s">
        <v>241</v>
      </c>
      <c r="AP41" s="28">
        <v>1.0</v>
      </c>
    </row>
    <row r="42">
      <c r="A42" s="28" t="s">
        <v>255</v>
      </c>
      <c r="B42" s="28">
        <v>1.0</v>
      </c>
      <c r="C42" s="28" t="s">
        <v>255</v>
      </c>
      <c r="D42" s="28">
        <v>1.0</v>
      </c>
      <c r="E42" s="28" t="s">
        <v>257</v>
      </c>
      <c r="F42" s="28">
        <v>1.0</v>
      </c>
      <c r="G42" s="28" t="s">
        <v>258</v>
      </c>
      <c r="H42" s="28">
        <v>1.0</v>
      </c>
      <c r="I42" s="28" t="s">
        <v>249</v>
      </c>
      <c r="J42" s="28">
        <v>1.0</v>
      </c>
      <c r="K42" s="28" t="s">
        <v>241</v>
      </c>
      <c r="L42" s="28">
        <v>1.0</v>
      </c>
      <c r="M42" s="28" t="s">
        <v>299</v>
      </c>
      <c r="N42" s="28">
        <v>1.0</v>
      </c>
      <c r="O42" s="28" t="s">
        <v>311</v>
      </c>
      <c r="P42" s="28">
        <v>1.0</v>
      </c>
      <c r="Q42" s="28" t="s">
        <v>288</v>
      </c>
      <c r="R42" s="28">
        <v>1.0</v>
      </c>
      <c r="S42" s="28" t="s">
        <v>281</v>
      </c>
      <c r="T42" s="28">
        <v>2.0</v>
      </c>
      <c r="U42" s="28" t="s">
        <v>291</v>
      </c>
      <c r="V42" s="28">
        <v>1.0</v>
      </c>
      <c r="W42" s="28" t="s">
        <v>304</v>
      </c>
      <c r="X42" s="28">
        <v>2.0</v>
      </c>
      <c r="Y42" s="28" t="s">
        <v>258</v>
      </c>
      <c r="Z42" s="28">
        <v>1.0</v>
      </c>
      <c r="AA42" s="28" t="s">
        <v>236</v>
      </c>
      <c r="AB42" s="28">
        <v>2.0</v>
      </c>
      <c r="AC42" s="28" t="s">
        <v>276</v>
      </c>
      <c r="AD42" s="28">
        <v>1.0</v>
      </c>
      <c r="AE42" s="28" t="s">
        <v>291</v>
      </c>
      <c r="AF42" s="28">
        <v>2.0</v>
      </c>
      <c r="AG42" s="28" t="s">
        <v>249</v>
      </c>
      <c r="AH42" s="28">
        <v>2.0</v>
      </c>
      <c r="AI42" s="28" t="s">
        <v>276</v>
      </c>
      <c r="AJ42" s="28">
        <v>1.0</v>
      </c>
      <c r="AK42" s="28" t="s">
        <v>236</v>
      </c>
      <c r="AL42" s="28">
        <v>1.0</v>
      </c>
      <c r="AM42" s="28" t="s">
        <v>257</v>
      </c>
      <c r="AN42" s="28">
        <v>1.0</v>
      </c>
      <c r="AO42" s="28" t="s">
        <v>288</v>
      </c>
      <c r="AP42" s="28">
        <v>1.0</v>
      </c>
    </row>
    <row r="43">
      <c r="A43" s="28" t="s">
        <v>283</v>
      </c>
      <c r="B43" s="28">
        <v>1.0</v>
      </c>
      <c r="C43" s="28" t="s">
        <v>283</v>
      </c>
      <c r="D43" s="28">
        <v>1.0</v>
      </c>
      <c r="E43" s="28" t="s">
        <v>258</v>
      </c>
      <c r="F43" s="28">
        <v>2.0</v>
      </c>
      <c r="G43" s="28" t="s">
        <v>311</v>
      </c>
      <c r="H43" s="28">
        <v>1.0</v>
      </c>
      <c r="I43" s="28" t="s">
        <v>258</v>
      </c>
      <c r="J43" s="28">
        <v>3.0</v>
      </c>
      <c r="K43" s="28" t="s">
        <v>248</v>
      </c>
      <c r="L43" s="28">
        <v>2.0</v>
      </c>
      <c r="M43" s="28" t="s">
        <v>261</v>
      </c>
      <c r="N43" s="28">
        <v>1.0</v>
      </c>
      <c r="O43" s="28" t="s">
        <v>261</v>
      </c>
      <c r="P43" s="28">
        <v>1.0</v>
      </c>
      <c r="Q43" s="28" t="s">
        <v>279</v>
      </c>
      <c r="R43" s="28">
        <v>1.0</v>
      </c>
      <c r="S43" s="28" t="s">
        <v>294</v>
      </c>
      <c r="T43" s="28">
        <v>1.0</v>
      </c>
      <c r="U43" s="28" t="s">
        <v>241</v>
      </c>
      <c r="V43" s="28">
        <v>1.0</v>
      </c>
      <c r="W43" s="28" t="s">
        <v>285</v>
      </c>
      <c r="X43" s="28">
        <v>2.0</v>
      </c>
      <c r="Y43" s="28" t="s">
        <v>476</v>
      </c>
      <c r="Z43" s="28">
        <v>1.0</v>
      </c>
      <c r="AA43" s="28" t="s">
        <v>244</v>
      </c>
      <c r="AB43" s="28">
        <v>1.0</v>
      </c>
      <c r="AC43" s="28" t="s">
        <v>279</v>
      </c>
      <c r="AD43" s="28">
        <v>1.0</v>
      </c>
      <c r="AE43" s="28" t="s">
        <v>241</v>
      </c>
      <c r="AF43" s="28">
        <v>2.0</v>
      </c>
      <c r="AG43" s="28" t="s">
        <v>255</v>
      </c>
      <c r="AH43" s="28">
        <v>3.0</v>
      </c>
      <c r="AI43" s="28" t="s">
        <v>279</v>
      </c>
      <c r="AJ43" s="28">
        <v>1.0</v>
      </c>
      <c r="AK43" s="28" t="s">
        <v>472</v>
      </c>
      <c r="AL43" s="28">
        <v>1.0</v>
      </c>
      <c r="AM43" s="28" t="s">
        <v>255</v>
      </c>
      <c r="AN43" s="28">
        <v>1.0</v>
      </c>
      <c r="AO43" s="28" t="s">
        <v>292</v>
      </c>
      <c r="AP43" s="28">
        <v>1.0</v>
      </c>
    </row>
    <row r="44">
      <c r="A44" s="28" t="s">
        <v>311</v>
      </c>
      <c r="B44" s="28">
        <v>1.0</v>
      </c>
      <c r="C44" s="28" t="s">
        <v>304</v>
      </c>
      <c r="D44" s="28">
        <v>1.0</v>
      </c>
      <c r="E44" s="28" t="s">
        <v>261</v>
      </c>
      <c r="F44" s="28">
        <v>1.0</v>
      </c>
      <c r="G44" s="28" t="s">
        <v>261</v>
      </c>
      <c r="H44" s="28">
        <v>4.0</v>
      </c>
      <c r="I44" s="28" t="s">
        <v>476</v>
      </c>
      <c r="J44" s="28">
        <v>1.0</v>
      </c>
      <c r="K44" s="28" t="s">
        <v>257</v>
      </c>
      <c r="L44" s="28">
        <v>1.0</v>
      </c>
      <c r="M44" s="28" t="s">
        <v>281</v>
      </c>
      <c r="N44" s="28">
        <v>2.0</v>
      </c>
      <c r="O44" s="28" t="s">
        <v>285</v>
      </c>
      <c r="P44" s="28">
        <v>2.0</v>
      </c>
      <c r="Q44" s="28" t="s">
        <v>249</v>
      </c>
      <c r="R44" s="28">
        <v>2.0</v>
      </c>
      <c r="S44" s="28" t="s">
        <v>317</v>
      </c>
      <c r="T44" s="28">
        <v>1.0</v>
      </c>
      <c r="U44" s="28" t="s">
        <v>248</v>
      </c>
      <c r="V44" s="28">
        <v>1.0</v>
      </c>
      <c r="W44" s="28" t="s">
        <v>319</v>
      </c>
      <c r="X44" s="28">
        <v>2.0</v>
      </c>
      <c r="Y44" s="28" t="s">
        <v>283</v>
      </c>
      <c r="Z44" s="28">
        <v>1.0</v>
      </c>
      <c r="AA44" s="28" t="s">
        <v>291</v>
      </c>
      <c r="AB44" s="28">
        <v>1.0</v>
      </c>
      <c r="AC44" s="28" t="s">
        <v>249</v>
      </c>
      <c r="AD44" s="28">
        <v>1.0</v>
      </c>
      <c r="AE44" s="28" t="s">
        <v>292</v>
      </c>
      <c r="AF44" s="28">
        <v>1.0</v>
      </c>
      <c r="AG44" s="28" t="s">
        <v>261</v>
      </c>
      <c r="AH44" s="28">
        <v>2.0</v>
      </c>
      <c r="AI44" s="28" t="s">
        <v>257</v>
      </c>
      <c r="AJ44" s="28">
        <v>3.0</v>
      </c>
      <c r="AK44" s="28" t="s">
        <v>248</v>
      </c>
      <c r="AL44" s="28">
        <v>1.0</v>
      </c>
      <c r="AM44" s="28" t="s">
        <v>263</v>
      </c>
      <c r="AN44" s="28">
        <v>1.0</v>
      </c>
      <c r="AO44" s="28" t="s">
        <v>475</v>
      </c>
      <c r="AP44" s="28">
        <v>1.0</v>
      </c>
    </row>
    <row r="45">
      <c r="A45" s="28" t="s">
        <v>261</v>
      </c>
      <c r="B45" s="28">
        <v>6.0</v>
      </c>
      <c r="C45" s="28" t="s">
        <v>261</v>
      </c>
      <c r="D45" s="28">
        <v>2.0</v>
      </c>
      <c r="E45" s="28" t="s">
        <v>271</v>
      </c>
      <c r="F45" s="28">
        <v>1.0</v>
      </c>
      <c r="G45" s="28" t="s">
        <v>285</v>
      </c>
      <c r="H45" s="28">
        <v>3.0</v>
      </c>
      <c r="I45" s="28" t="s">
        <v>271</v>
      </c>
      <c r="J45" s="28">
        <v>1.0</v>
      </c>
      <c r="K45" s="28" t="s">
        <v>475</v>
      </c>
      <c r="L45" s="28">
        <v>1.0</v>
      </c>
      <c r="M45" s="28" t="s">
        <v>294</v>
      </c>
      <c r="N45" s="28">
        <v>1.0</v>
      </c>
      <c r="O45" s="28" t="s">
        <v>281</v>
      </c>
      <c r="P45" s="28">
        <v>2.0</v>
      </c>
      <c r="Q45" s="28" t="s">
        <v>262</v>
      </c>
      <c r="R45" s="28">
        <v>1.0</v>
      </c>
      <c r="S45" s="28" t="s">
        <v>319</v>
      </c>
      <c r="T45" s="28">
        <v>2.0</v>
      </c>
      <c r="U45" s="28" t="s">
        <v>266</v>
      </c>
      <c r="V45" s="28">
        <v>1.0</v>
      </c>
      <c r="W45" s="28" t="s">
        <v>301</v>
      </c>
      <c r="X45" s="28">
        <v>1.0</v>
      </c>
      <c r="Y45" s="28" t="s">
        <v>304</v>
      </c>
      <c r="Z45" s="28">
        <v>1.0</v>
      </c>
      <c r="AA45" s="28" t="s">
        <v>241</v>
      </c>
      <c r="AB45" s="28">
        <v>1.0</v>
      </c>
      <c r="AC45" s="28" t="s">
        <v>257</v>
      </c>
      <c r="AD45" s="28">
        <v>1.0</v>
      </c>
      <c r="AE45" s="28" t="s">
        <v>257</v>
      </c>
      <c r="AF45" s="28">
        <v>1.0</v>
      </c>
      <c r="AG45" s="28" t="s">
        <v>281</v>
      </c>
      <c r="AH45" s="28">
        <v>2.0</v>
      </c>
      <c r="AI45" s="28" t="s">
        <v>475</v>
      </c>
      <c r="AJ45" s="28">
        <v>1.0</v>
      </c>
      <c r="AK45" s="28" t="s">
        <v>266</v>
      </c>
      <c r="AL45" s="28">
        <v>2.0</v>
      </c>
      <c r="AM45" s="28" t="s">
        <v>261</v>
      </c>
      <c r="AN45" s="28">
        <v>1.0</v>
      </c>
      <c r="AO45" s="28" t="s">
        <v>479</v>
      </c>
      <c r="AP45" s="28">
        <v>1.0</v>
      </c>
    </row>
    <row r="46">
      <c r="A46" s="28" t="s">
        <v>271</v>
      </c>
      <c r="B46" s="28">
        <v>2.0</v>
      </c>
      <c r="C46" s="28" t="s">
        <v>281</v>
      </c>
      <c r="D46" s="28">
        <v>1.0</v>
      </c>
      <c r="E46" s="28" t="s">
        <v>285</v>
      </c>
      <c r="F46" s="28">
        <v>4.0</v>
      </c>
      <c r="G46" s="28" t="s">
        <v>281</v>
      </c>
      <c r="H46" s="28">
        <v>1.0</v>
      </c>
      <c r="I46" s="28" t="s">
        <v>281</v>
      </c>
      <c r="J46" s="28">
        <v>1.0</v>
      </c>
      <c r="K46" s="28" t="s">
        <v>258</v>
      </c>
      <c r="L46" s="28">
        <v>1.0</v>
      </c>
      <c r="M46" s="28" t="s">
        <v>319</v>
      </c>
      <c r="N46" s="28">
        <v>1.0</v>
      </c>
      <c r="O46" s="28" t="s">
        <v>294</v>
      </c>
      <c r="P46" s="28">
        <v>1.0</v>
      </c>
      <c r="Q46" s="28" t="s">
        <v>283</v>
      </c>
      <c r="R46" s="28">
        <v>3.0</v>
      </c>
      <c r="S46" s="28" t="s">
        <v>306</v>
      </c>
      <c r="T46" s="28">
        <v>1.0</v>
      </c>
      <c r="U46" s="28" t="s">
        <v>292</v>
      </c>
      <c r="V46" s="28">
        <v>2.0</v>
      </c>
      <c r="W46" s="28" t="s">
        <v>323</v>
      </c>
      <c r="X46" s="28">
        <v>1.0</v>
      </c>
      <c r="Y46" s="28" t="s">
        <v>281</v>
      </c>
      <c r="Z46" s="28">
        <v>2.0</v>
      </c>
      <c r="AA46" s="28" t="s">
        <v>249</v>
      </c>
      <c r="AB46" s="28">
        <v>1.0</v>
      </c>
      <c r="AC46" s="28" t="s">
        <v>475</v>
      </c>
      <c r="AD46" s="28">
        <v>2.0</v>
      </c>
      <c r="AE46" s="28" t="s">
        <v>258</v>
      </c>
      <c r="AF46" s="28">
        <v>2.0</v>
      </c>
      <c r="AG46" s="28" t="s">
        <v>317</v>
      </c>
      <c r="AH46" s="28">
        <v>1.0</v>
      </c>
      <c r="AI46" s="28" t="s">
        <v>258</v>
      </c>
      <c r="AJ46" s="28">
        <v>1.0</v>
      </c>
      <c r="AK46" s="28" t="s">
        <v>276</v>
      </c>
      <c r="AL46" s="28">
        <v>1.0</v>
      </c>
      <c r="AM46" s="28" t="s">
        <v>285</v>
      </c>
      <c r="AN46" s="28">
        <v>1.0</v>
      </c>
      <c r="AO46" s="28" t="s">
        <v>258</v>
      </c>
      <c r="AP46" s="28">
        <v>1.0</v>
      </c>
    </row>
    <row r="47">
      <c r="A47" s="28" t="s">
        <v>285</v>
      </c>
      <c r="B47" s="28">
        <v>3.0</v>
      </c>
      <c r="C47" s="28" t="s">
        <v>297</v>
      </c>
      <c r="D47" s="28">
        <v>1.0</v>
      </c>
      <c r="E47" s="28" t="s">
        <v>319</v>
      </c>
      <c r="F47" s="28">
        <v>2.0</v>
      </c>
      <c r="G47" s="28" t="s">
        <v>301</v>
      </c>
      <c r="H47" s="28">
        <v>2.0</v>
      </c>
      <c r="I47" s="28" t="s">
        <v>317</v>
      </c>
      <c r="J47" s="28">
        <v>2.0</v>
      </c>
      <c r="K47" s="28" t="s">
        <v>255</v>
      </c>
      <c r="L47" s="28">
        <v>3.0</v>
      </c>
      <c r="M47" s="28" t="s">
        <v>297</v>
      </c>
      <c r="N47" s="28">
        <v>1.0</v>
      </c>
      <c r="O47" s="28" t="s">
        <v>301</v>
      </c>
      <c r="P47" s="28">
        <v>1.0</v>
      </c>
      <c r="Q47" s="28" t="s">
        <v>263</v>
      </c>
      <c r="R47" s="28">
        <v>1.0</v>
      </c>
      <c r="S47" s="28" t="s">
        <v>301</v>
      </c>
      <c r="T47" s="28">
        <v>4.0</v>
      </c>
      <c r="U47" s="28" t="s">
        <v>257</v>
      </c>
      <c r="V47" s="28">
        <v>2.0</v>
      </c>
      <c r="W47" s="28" t="s">
        <v>310</v>
      </c>
      <c r="X47" s="28">
        <v>1.0</v>
      </c>
      <c r="Y47" s="28" t="s">
        <v>319</v>
      </c>
      <c r="Z47" s="28">
        <v>2.0</v>
      </c>
      <c r="AA47" s="28" t="s">
        <v>475</v>
      </c>
      <c r="AB47" s="28">
        <v>1.0</v>
      </c>
      <c r="AC47" s="28" t="s">
        <v>255</v>
      </c>
      <c r="AD47" s="28">
        <v>2.0</v>
      </c>
      <c r="AE47" s="28" t="s">
        <v>283</v>
      </c>
      <c r="AF47" s="28">
        <v>1.0</v>
      </c>
      <c r="AG47" s="28" t="s">
        <v>319</v>
      </c>
      <c r="AH47" s="28">
        <v>1.0</v>
      </c>
      <c r="AI47" s="28" t="s">
        <v>304</v>
      </c>
      <c r="AJ47" s="28">
        <v>1.0</v>
      </c>
      <c r="AK47" s="28" t="s">
        <v>257</v>
      </c>
      <c r="AL47" s="28">
        <v>1.0</v>
      </c>
      <c r="AM47" s="28" t="s">
        <v>319</v>
      </c>
      <c r="AN47" s="28">
        <v>1.0</v>
      </c>
      <c r="AO47" s="28" t="s">
        <v>255</v>
      </c>
      <c r="AP47" s="28">
        <v>1.0</v>
      </c>
    </row>
    <row r="48">
      <c r="A48" s="28" t="s">
        <v>294</v>
      </c>
      <c r="B48" s="28">
        <v>1.0</v>
      </c>
      <c r="C48" s="28" t="s">
        <v>315</v>
      </c>
      <c r="D48" s="28">
        <v>1.0</v>
      </c>
      <c r="E48" s="28" t="s">
        <v>306</v>
      </c>
      <c r="F48" s="28">
        <v>1.0</v>
      </c>
      <c r="G48" s="28" t="s">
        <v>315</v>
      </c>
      <c r="H48" s="28">
        <v>1.0</v>
      </c>
      <c r="I48" s="28" t="s">
        <v>319</v>
      </c>
      <c r="J48" s="28">
        <v>1.0</v>
      </c>
      <c r="K48" s="28" t="s">
        <v>304</v>
      </c>
      <c r="L48" s="28">
        <v>1.0</v>
      </c>
      <c r="M48" s="28" t="s">
        <v>323</v>
      </c>
      <c r="N48" s="28">
        <v>1.0</v>
      </c>
      <c r="O48" s="28" t="s">
        <v>297</v>
      </c>
      <c r="P48" s="28">
        <v>1.0</v>
      </c>
      <c r="Q48" s="28" t="s">
        <v>304</v>
      </c>
      <c r="R48" s="28">
        <v>1.0</v>
      </c>
      <c r="S48" s="28" t="s">
        <v>315</v>
      </c>
      <c r="T48" s="28">
        <v>1.0</v>
      </c>
      <c r="U48" s="28" t="s">
        <v>475</v>
      </c>
      <c r="V48" s="28">
        <v>1.0</v>
      </c>
      <c r="W48" s="28" t="s">
        <v>305</v>
      </c>
      <c r="X48" s="28">
        <v>3.0</v>
      </c>
      <c r="Y48" s="28" t="s">
        <v>301</v>
      </c>
      <c r="Z48" s="28">
        <v>3.0</v>
      </c>
      <c r="AA48" s="28" t="s">
        <v>258</v>
      </c>
      <c r="AB48" s="28">
        <v>1.0</v>
      </c>
      <c r="AC48" s="28" t="s">
        <v>261</v>
      </c>
      <c r="AD48" s="28">
        <v>3.0</v>
      </c>
      <c r="AE48" s="28" t="s">
        <v>263</v>
      </c>
      <c r="AF48" s="28">
        <v>1.0</v>
      </c>
      <c r="AG48" s="28" t="s">
        <v>301</v>
      </c>
      <c r="AH48" s="28">
        <v>1.0</v>
      </c>
      <c r="AI48" s="28" t="s">
        <v>299</v>
      </c>
      <c r="AJ48" s="28">
        <v>1.0</v>
      </c>
      <c r="AK48" s="28" t="s">
        <v>262</v>
      </c>
      <c r="AL48" s="28">
        <v>1.0</v>
      </c>
      <c r="AM48" s="28" t="s">
        <v>301</v>
      </c>
      <c r="AN48" s="28">
        <v>6.0</v>
      </c>
      <c r="AO48" s="28" t="s">
        <v>283</v>
      </c>
      <c r="AP48" s="28">
        <v>1.0</v>
      </c>
    </row>
    <row r="49">
      <c r="A49" s="28" t="s">
        <v>317</v>
      </c>
      <c r="B49" s="28">
        <v>2.0</v>
      </c>
      <c r="C49" s="28" t="s">
        <v>331</v>
      </c>
      <c r="D49" s="28">
        <v>1.0</v>
      </c>
      <c r="E49" s="28" t="s">
        <v>297</v>
      </c>
      <c r="F49" s="28">
        <v>1.0</v>
      </c>
      <c r="G49" s="28" t="s">
        <v>323</v>
      </c>
      <c r="H49" s="28">
        <v>4.0</v>
      </c>
      <c r="I49" s="28" t="s">
        <v>301</v>
      </c>
      <c r="J49" s="28">
        <v>3.0</v>
      </c>
      <c r="K49" s="28" t="s">
        <v>261</v>
      </c>
      <c r="L49" s="28">
        <v>7.0</v>
      </c>
      <c r="M49" s="28" t="s">
        <v>331</v>
      </c>
      <c r="N49" s="28">
        <v>1.0</v>
      </c>
      <c r="O49" s="28" t="s">
        <v>310</v>
      </c>
      <c r="P49" s="28">
        <v>1.0</v>
      </c>
      <c r="Q49" s="28" t="s">
        <v>261</v>
      </c>
      <c r="R49" s="28">
        <v>3.0</v>
      </c>
      <c r="S49" s="28" t="s">
        <v>336</v>
      </c>
      <c r="T49" s="28">
        <v>1.0</v>
      </c>
      <c r="U49" s="28" t="s">
        <v>262</v>
      </c>
      <c r="V49" s="28">
        <v>1.0</v>
      </c>
      <c r="W49" s="28" t="s">
        <v>312</v>
      </c>
      <c r="X49" s="28">
        <v>1.0</v>
      </c>
      <c r="Y49" s="28" t="s">
        <v>336</v>
      </c>
      <c r="Z49" s="28">
        <v>1.0</v>
      </c>
      <c r="AA49" s="28" t="s">
        <v>476</v>
      </c>
      <c r="AB49" s="28">
        <v>1.0</v>
      </c>
      <c r="AC49" s="28" t="s">
        <v>271</v>
      </c>
      <c r="AD49" s="28">
        <v>1.0</v>
      </c>
      <c r="AE49" s="28" t="s">
        <v>261</v>
      </c>
      <c r="AF49" s="28">
        <v>3.0</v>
      </c>
      <c r="AG49" s="28" t="s">
        <v>297</v>
      </c>
      <c r="AH49" s="28">
        <v>1.0</v>
      </c>
      <c r="AI49" s="28" t="s">
        <v>261</v>
      </c>
      <c r="AJ49" s="28">
        <v>1.0</v>
      </c>
      <c r="AK49" s="28" t="s">
        <v>263</v>
      </c>
      <c r="AL49" s="28">
        <v>1.0</v>
      </c>
      <c r="AM49" s="28" t="s">
        <v>331</v>
      </c>
      <c r="AN49" s="28">
        <v>1.0</v>
      </c>
      <c r="AO49" s="28" t="s">
        <v>299</v>
      </c>
      <c r="AP49" s="28">
        <v>1.0</v>
      </c>
    </row>
    <row r="50">
      <c r="A50" s="28" t="s">
        <v>319</v>
      </c>
      <c r="B50" s="28">
        <v>1.0</v>
      </c>
      <c r="C50" s="28" t="s">
        <v>340</v>
      </c>
      <c r="D50" s="28">
        <v>1.0</v>
      </c>
      <c r="E50" s="28" t="s">
        <v>341</v>
      </c>
      <c r="F50" s="28">
        <v>1.0</v>
      </c>
      <c r="G50" s="28" t="s">
        <v>300</v>
      </c>
      <c r="H50" s="28">
        <v>1.0</v>
      </c>
      <c r="I50" s="28" t="s">
        <v>331</v>
      </c>
      <c r="J50" s="28">
        <v>1.0</v>
      </c>
      <c r="K50" s="28" t="s">
        <v>271</v>
      </c>
      <c r="L50" s="28">
        <v>1.0</v>
      </c>
      <c r="M50" s="28" t="s">
        <v>305</v>
      </c>
      <c r="N50" s="28">
        <v>2.0</v>
      </c>
      <c r="O50" s="28" t="s">
        <v>343</v>
      </c>
      <c r="P50" s="28">
        <v>1.0</v>
      </c>
      <c r="Q50" s="28" t="s">
        <v>285</v>
      </c>
      <c r="R50" s="28">
        <v>1.0</v>
      </c>
      <c r="S50" s="28" t="s">
        <v>341</v>
      </c>
      <c r="T50" s="28">
        <v>1.0</v>
      </c>
      <c r="U50" s="28" t="s">
        <v>283</v>
      </c>
      <c r="V50" s="28">
        <v>1.0</v>
      </c>
      <c r="W50" s="28" t="s">
        <v>354</v>
      </c>
      <c r="X50" s="28">
        <v>1.0</v>
      </c>
      <c r="Y50" s="28" t="s">
        <v>352</v>
      </c>
      <c r="Z50" s="28">
        <v>1.0</v>
      </c>
      <c r="AA50" s="28" t="s">
        <v>263</v>
      </c>
      <c r="AB50" s="28">
        <v>1.0</v>
      </c>
      <c r="AC50" s="28" t="s">
        <v>285</v>
      </c>
      <c r="AD50" s="28">
        <v>1.0</v>
      </c>
      <c r="AE50" s="28" t="s">
        <v>271</v>
      </c>
      <c r="AF50" s="28">
        <v>1.0</v>
      </c>
      <c r="AG50" s="28" t="s">
        <v>323</v>
      </c>
      <c r="AH50" s="28">
        <v>2.0</v>
      </c>
      <c r="AI50" s="28" t="s">
        <v>285</v>
      </c>
      <c r="AJ50" s="28">
        <v>1.0</v>
      </c>
      <c r="AK50" s="28" t="s">
        <v>304</v>
      </c>
      <c r="AL50" s="28">
        <v>1.0</v>
      </c>
      <c r="AM50" s="28" t="s">
        <v>340</v>
      </c>
      <c r="AN50" s="28">
        <v>1.0</v>
      </c>
      <c r="AO50" s="28" t="s">
        <v>261</v>
      </c>
      <c r="AP50" s="28">
        <v>1.0</v>
      </c>
    </row>
    <row r="51">
      <c r="A51" s="28" t="s">
        <v>306</v>
      </c>
      <c r="B51" s="28">
        <v>1.0</v>
      </c>
      <c r="C51" s="28" t="s">
        <v>310</v>
      </c>
      <c r="D51" s="28">
        <v>1.0</v>
      </c>
      <c r="E51" s="28" t="s">
        <v>347</v>
      </c>
      <c r="F51" s="28">
        <v>1.0</v>
      </c>
      <c r="G51" s="28" t="s">
        <v>307</v>
      </c>
      <c r="H51" s="28">
        <v>1.0</v>
      </c>
      <c r="I51" s="28" t="s">
        <v>310</v>
      </c>
      <c r="J51" s="28">
        <v>1.0</v>
      </c>
      <c r="K51" s="28" t="s">
        <v>285</v>
      </c>
      <c r="L51" s="28">
        <v>3.0</v>
      </c>
      <c r="M51" s="28" t="s">
        <v>309</v>
      </c>
      <c r="N51" s="28">
        <v>1.0</v>
      </c>
      <c r="O51" s="28" t="s">
        <v>352</v>
      </c>
      <c r="P51" s="28">
        <v>2.0</v>
      </c>
      <c r="Q51" s="28" t="s">
        <v>281</v>
      </c>
      <c r="R51" s="28">
        <v>1.0</v>
      </c>
      <c r="S51" s="28" t="s">
        <v>360</v>
      </c>
      <c r="T51" s="28">
        <v>2.0</v>
      </c>
      <c r="U51" s="28" t="s">
        <v>302</v>
      </c>
      <c r="V51" s="28">
        <v>2.0</v>
      </c>
      <c r="W51" s="28" t="s">
        <v>366</v>
      </c>
      <c r="X51" s="28">
        <v>1.0</v>
      </c>
      <c r="Y51" s="28" t="s">
        <v>305</v>
      </c>
      <c r="Z51" s="28">
        <v>2.0</v>
      </c>
      <c r="AA51" s="28" t="s">
        <v>304</v>
      </c>
      <c r="AB51" s="28">
        <v>1.0</v>
      </c>
      <c r="AC51" s="28" t="s">
        <v>281</v>
      </c>
      <c r="AD51" s="28">
        <v>2.0</v>
      </c>
      <c r="AE51" s="28" t="s">
        <v>285</v>
      </c>
      <c r="AF51" s="28">
        <v>1.0</v>
      </c>
      <c r="AG51" s="28" t="s">
        <v>316</v>
      </c>
      <c r="AH51" s="28">
        <v>1.0</v>
      </c>
      <c r="AI51" s="28" t="s">
        <v>281</v>
      </c>
      <c r="AJ51" s="28">
        <v>2.0</v>
      </c>
      <c r="AK51" s="28" t="s">
        <v>261</v>
      </c>
      <c r="AL51" s="28">
        <v>1.0</v>
      </c>
      <c r="AM51" s="28" t="s">
        <v>343</v>
      </c>
      <c r="AN51" s="28">
        <v>1.0</v>
      </c>
      <c r="AO51" s="28" t="s">
        <v>271</v>
      </c>
      <c r="AP51" s="28">
        <v>1.0</v>
      </c>
    </row>
    <row r="52">
      <c r="A52" s="28" t="s">
        <v>301</v>
      </c>
      <c r="B52" s="28">
        <v>5.0</v>
      </c>
      <c r="C52" s="28" t="s">
        <v>305</v>
      </c>
      <c r="D52" s="28">
        <v>2.0</v>
      </c>
      <c r="E52" s="28" t="s">
        <v>375</v>
      </c>
      <c r="F52" s="28">
        <v>1.0</v>
      </c>
      <c r="G52" s="28" t="s">
        <v>331</v>
      </c>
      <c r="H52" s="28">
        <v>1.0</v>
      </c>
      <c r="I52" s="28" t="s">
        <v>341</v>
      </c>
      <c r="J52" s="28">
        <v>1.0</v>
      </c>
      <c r="K52" s="28" t="s">
        <v>281</v>
      </c>
      <c r="L52" s="28">
        <v>1.0</v>
      </c>
      <c r="M52" s="28" t="s">
        <v>354</v>
      </c>
      <c r="N52" s="28">
        <v>1.0</v>
      </c>
      <c r="O52" s="28" t="s">
        <v>305</v>
      </c>
      <c r="P52" s="28">
        <v>1.0</v>
      </c>
      <c r="Q52" s="28" t="s">
        <v>319</v>
      </c>
      <c r="R52" s="28">
        <v>1.0</v>
      </c>
      <c r="S52" s="28" t="s">
        <v>372</v>
      </c>
      <c r="T52" s="28">
        <v>1.0</v>
      </c>
      <c r="U52" s="28" t="s">
        <v>261</v>
      </c>
      <c r="V52" s="28">
        <v>6.0</v>
      </c>
      <c r="W52" s="28" t="s">
        <v>379</v>
      </c>
      <c r="X52" s="28">
        <v>1.0</v>
      </c>
      <c r="Y52" s="28" t="s">
        <v>309</v>
      </c>
      <c r="Z52" s="28">
        <v>1.0</v>
      </c>
      <c r="AA52" s="28" t="s">
        <v>302</v>
      </c>
      <c r="AB52" s="28">
        <v>1.0</v>
      </c>
      <c r="AC52" s="28" t="s">
        <v>294</v>
      </c>
      <c r="AD52" s="28">
        <v>1.0</v>
      </c>
      <c r="AE52" s="28" t="s">
        <v>294</v>
      </c>
      <c r="AF52" s="28">
        <v>3.0</v>
      </c>
      <c r="AG52" s="28" t="s">
        <v>331</v>
      </c>
      <c r="AH52" s="28">
        <v>1.0</v>
      </c>
      <c r="AI52" s="28" t="s">
        <v>294</v>
      </c>
      <c r="AJ52" s="28">
        <v>1.0</v>
      </c>
      <c r="AK52" s="28" t="s">
        <v>271</v>
      </c>
      <c r="AL52" s="28">
        <v>1.0</v>
      </c>
      <c r="AM52" s="28" t="s">
        <v>352</v>
      </c>
      <c r="AN52" s="28">
        <v>2.0</v>
      </c>
      <c r="AO52" s="28" t="s">
        <v>281</v>
      </c>
      <c r="AP52" s="28">
        <v>1.0</v>
      </c>
    </row>
    <row r="53">
      <c r="A53" s="28" t="s">
        <v>297</v>
      </c>
      <c r="B53" s="28">
        <v>1.0</v>
      </c>
      <c r="C53" s="28" t="s">
        <v>320</v>
      </c>
      <c r="D53" s="28">
        <v>1.0</v>
      </c>
      <c r="E53" s="28" t="s">
        <v>312</v>
      </c>
      <c r="F53" s="28">
        <v>1.0</v>
      </c>
      <c r="G53" s="28" t="s">
        <v>310</v>
      </c>
      <c r="H53" s="28">
        <v>2.0</v>
      </c>
      <c r="I53" s="28" t="s">
        <v>343</v>
      </c>
      <c r="J53" s="28">
        <v>1.0</v>
      </c>
      <c r="K53" s="28" t="s">
        <v>294</v>
      </c>
      <c r="L53" s="28">
        <v>1.0</v>
      </c>
      <c r="M53" s="28" t="s">
        <v>366</v>
      </c>
      <c r="N53" s="28">
        <v>1.0</v>
      </c>
      <c r="O53" s="28" t="s">
        <v>312</v>
      </c>
      <c r="P53" s="28">
        <v>1.0</v>
      </c>
      <c r="Q53" s="28" t="s">
        <v>315</v>
      </c>
      <c r="R53" s="28">
        <v>1.0</v>
      </c>
      <c r="S53" s="28" t="s">
        <v>305</v>
      </c>
      <c r="T53" s="28">
        <v>1.0</v>
      </c>
      <c r="U53" s="28" t="s">
        <v>285</v>
      </c>
      <c r="V53" s="28">
        <v>2.0</v>
      </c>
      <c r="W53" s="28" t="s">
        <v>392</v>
      </c>
      <c r="X53" s="28">
        <v>1.0</v>
      </c>
      <c r="Y53" s="28" t="s">
        <v>312</v>
      </c>
      <c r="Z53" s="28">
        <v>2.0</v>
      </c>
      <c r="AA53" s="28" t="s">
        <v>261</v>
      </c>
      <c r="AB53" s="28">
        <v>3.0</v>
      </c>
      <c r="AC53" s="28" t="s">
        <v>317</v>
      </c>
      <c r="AD53" s="28">
        <v>1.0</v>
      </c>
      <c r="AE53" s="28" t="s">
        <v>319</v>
      </c>
      <c r="AF53" s="28">
        <v>2.0</v>
      </c>
      <c r="AG53" s="28" t="s">
        <v>305</v>
      </c>
      <c r="AH53" s="28">
        <v>2.0</v>
      </c>
      <c r="AI53" s="28" t="s">
        <v>301</v>
      </c>
      <c r="AJ53" s="28">
        <v>2.0</v>
      </c>
      <c r="AK53" s="28" t="s">
        <v>294</v>
      </c>
      <c r="AL53" s="28">
        <v>1.0</v>
      </c>
      <c r="AM53" s="28" t="s">
        <v>360</v>
      </c>
      <c r="AN53" s="28">
        <v>2.0</v>
      </c>
      <c r="AO53" s="28" t="s">
        <v>294</v>
      </c>
      <c r="AP53" s="28">
        <v>2.0</v>
      </c>
    </row>
    <row r="54">
      <c r="A54" s="28" t="s">
        <v>307</v>
      </c>
      <c r="B54" s="28">
        <v>2.0</v>
      </c>
      <c r="C54" s="28" t="s">
        <v>309</v>
      </c>
      <c r="D54" s="28">
        <v>2.0</v>
      </c>
      <c r="E54" s="28" t="s">
        <v>366</v>
      </c>
      <c r="F54" s="28">
        <v>1.0</v>
      </c>
      <c r="G54" s="28" t="s">
        <v>348</v>
      </c>
      <c r="H54" s="28">
        <v>1.0</v>
      </c>
      <c r="I54" s="28" t="s">
        <v>360</v>
      </c>
      <c r="J54" s="28">
        <v>1.0</v>
      </c>
      <c r="K54" s="28" t="s">
        <v>317</v>
      </c>
      <c r="L54" s="28">
        <v>1.0</v>
      </c>
      <c r="M54" s="28" t="s">
        <v>314</v>
      </c>
      <c r="N54" s="28">
        <v>1.0</v>
      </c>
      <c r="O54" s="28" t="s">
        <v>314</v>
      </c>
      <c r="P54" s="28">
        <v>1.0</v>
      </c>
      <c r="Q54" s="28" t="s">
        <v>323</v>
      </c>
      <c r="R54" s="28">
        <v>1.0</v>
      </c>
      <c r="S54" s="28" t="s">
        <v>309</v>
      </c>
      <c r="T54" s="28">
        <v>3.0</v>
      </c>
      <c r="U54" s="28" t="s">
        <v>281</v>
      </c>
      <c r="V54" s="28">
        <v>1.0</v>
      </c>
      <c r="W54" s="28" t="s">
        <v>334</v>
      </c>
      <c r="X54" s="28">
        <v>1.0</v>
      </c>
      <c r="Y54" s="28" t="s">
        <v>314</v>
      </c>
      <c r="Z54" s="28">
        <v>1.0</v>
      </c>
      <c r="AA54" s="28" t="s">
        <v>285</v>
      </c>
      <c r="AB54" s="28">
        <v>2.0</v>
      </c>
      <c r="AC54" s="28" t="s">
        <v>319</v>
      </c>
      <c r="AD54" s="28">
        <v>2.0</v>
      </c>
      <c r="AE54" s="28" t="s">
        <v>301</v>
      </c>
      <c r="AF54" s="28">
        <v>1.0</v>
      </c>
      <c r="AG54" s="28" t="s">
        <v>309</v>
      </c>
      <c r="AH54" s="28">
        <v>1.0</v>
      </c>
      <c r="AI54" s="28" t="s">
        <v>372</v>
      </c>
      <c r="AJ54" s="28">
        <v>1.0</v>
      </c>
      <c r="AK54" s="28" t="s">
        <v>317</v>
      </c>
      <c r="AL54" s="28">
        <v>1.0</v>
      </c>
      <c r="AM54" s="28" t="s">
        <v>375</v>
      </c>
      <c r="AN54" s="28">
        <v>1.0</v>
      </c>
      <c r="AO54" s="28" t="s">
        <v>319</v>
      </c>
      <c r="AP54" s="28">
        <v>1.0</v>
      </c>
    </row>
    <row r="55">
      <c r="A55" s="28" t="s">
        <v>310</v>
      </c>
      <c r="B55" s="28">
        <v>1.0</v>
      </c>
      <c r="C55" s="28" t="s">
        <v>354</v>
      </c>
      <c r="D55" s="28">
        <v>2.0</v>
      </c>
      <c r="E55" s="28" t="s">
        <v>314</v>
      </c>
      <c r="F55" s="28">
        <v>1.0</v>
      </c>
      <c r="G55" s="28" t="s">
        <v>343</v>
      </c>
      <c r="H55" s="28">
        <v>1.0</v>
      </c>
      <c r="I55" s="28" t="s">
        <v>372</v>
      </c>
      <c r="J55" s="28">
        <v>2.0</v>
      </c>
      <c r="K55" s="28" t="s">
        <v>319</v>
      </c>
      <c r="L55" s="28">
        <v>2.0</v>
      </c>
      <c r="M55" s="28" t="s">
        <v>327</v>
      </c>
      <c r="N55" s="28">
        <v>2.0</v>
      </c>
      <c r="O55" s="28" t="s">
        <v>379</v>
      </c>
      <c r="P55" s="28">
        <v>1.0</v>
      </c>
      <c r="Q55" s="28" t="s">
        <v>300</v>
      </c>
      <c r="R55" s="28">
        <v>3.0</v>
      </c>
      <c r="S55" s="28" t="s">
        <v>314</v>
      </c>
      <c r="T55" s="28">
        <v>2.0</v>
      </c>
      <c r="U55" s="28" t="s">
        <v>294</v>
      </c>
      <c r="V55" s="28">
        <v>1.0</v>
      </c>
      <c r="W55" s="28" t="s">
        <v>353</v>
      </c>
      <c r="X55" s="28">
        <v>1.0</v>
      </c>
      <c r="Y55" s="28" t="s">
        <v>322</v>
      </c>
      <c r="Z55" s="28">
        <v>2.0</v>
      </c>
      <c r="AA55" s="28" t="s">
        <v>319</v>
      </c>
      <c r="AB55" s="28">
        <v>2.0</v>
      </c>
      <c r="AC55" s="28" t="s">
        <v>301</v>
      </c>
      <c r="AD55" s="28">
        <v>2.0</v>
      </c>
      <c r="AE55" s="28" t="s">
        <v>297</v>
      </c>
      <c r="AF55" s="28">
        <v>1.0</v>
      </c>
      <c r="AG55" s="28" t="s">
        <v>366</v>
      </c>
      <c r="AH55" s="28">
        <v>1.0</v>
      </c>
      <c r="AI55" s="28" t="s">
        <v>305</v>
      </c>
      <c r="AJ55" s="28">
        <v>3.0</v>
      </c>
      <c r="AK55" s="28" t="s">
        <v>306</v>
      </c>
      <c r="AL55" s="28">
        <v>1.0</v>
      </c>
      <c r="AM55" s="28" t="s">
        <v>362</v>
      </c>
      <c r="AN55" s="28">
        <v>1.0</v>
      </c>
      <c r="AO55" s="28" t="s">
        <v>301</v>
      </c>
      <c r="AP55" s="28">
        <v>3.0</v>
      </c>
    </row>
    <row r="56">
      <c r="A56" s="28" t="s">
        <v>348</v>
      </c>
      <c r="B56" s="28">
        <v>1.0</v>
      </c>
      <c r="C56" s="28" t="s">
        <v>366</v>
      </c>
      <c r="D56" s="28">
        <v>1.0</v>
      </c>
      <c r="E56" s="28" t="s">
        <v>327</v>
      </c>
      <c r="F56" s="28">
        <v>1.0</v>
      </c>
      <c r="G56" s="28" t="s">
        <v>362</v>
      </c>
      <c r="H56" s="28">
        <v>1.0</v>
      </c>
      <c r="I56" s="28" t="s">
        <v>305</v>
      </c>
      <c r="J56" s="28">
        <v>1.0</v>
      </c>
      <c r="K56" s="28" t="s">
        <v>306</v>
      </c>
      <c r="L56" s="28">
        <v>1.0</v>
      </c>
      <c r="M56" s="28" t="s">
        <v>361</v>
      </c>
      <c r="N56" s="28">
        <v>2.0</v>
      </c>
      <c r="O56" s="28" t="s">
        <v>322</v>
      </c>
      <c r="P56" s="28">
        <v>1.0</v>
      </c>
      <c r="Q56" s="28" t="s">
        <v>316</v>
      </c>
      <c r="R56" s="28">
        <v>1.0</v>
      </c>
      <c r="S56" s="28" t="s">
        <v>322</v>
      </c>
      <c r="T56" s="28">
        <v>1.0</v>
      </c>
      <c r="U56" s="28" t="s">
        <v>317</v>
      </c>
      <c r="V56" s="28">
        <v>1.0</v>
      </c>
      <c r="W56" s="28" t="s">
        <v>346</v>
      </c>
      <c r="X56" s="28">
        <v>1.0</v>
      </c>
      <c r="Y56" s="28" t="s">
        <v>361</v>
      </c>
      <c r="Z56" s="28">
        <v>3.0</v>
      </c>
      <c r="AA56" s="28" t="s">
        <v>306</v>
      </c>
      <c r="AB56" s="28">
        <v>1.0</v>
      </c>
      <c r="AC56" s="28" t="s">
        <v>297</v>
      </c>
      <c r="AD56" s="28">
        <v>1.0</v>
      </c>
      <c r="AE56" s="28" t="s">
        <v>315</v>
      </c>
      <c r="AF56" s="28">
        <v>1.0</v>
      </c>
      <c r="AG56" s="28" t="s">
        <v>385</v>
      </c>
      <c r="AH56" s="28">
        <v>1.0</v>
      </c>
      <c r="AI56" s="28" t="s">
        <v>354</v>
      </c>
      <c r="AJ56" s="28">
        <v>3.0</v>
      </c>
      <c r="AK56" s="28" t="s">
        <v>301</v>
      </c>
      <c r="AL56" s="28">
        <v>2.0</v>
      </c>
      <c r="AM56" s="28" t="s">
        <v>372</v>
      </c>
      <c r="AN56" s="28">
        <v>1.0</v>
      </c>
      <c r="AO56" s="28" t="s">
        <v>297</v>
      </c>
      <c r="AP56" s="28">
        <v>1.0</v>
      </c>
    </row>
    <row r="57">
      <c r="A57" s="28" t="s">
        <v>343</v>
      </c>
      <c r="B57" s="28">
        <v>2.0</v>
      </c>
      <c r="C57" s="28" t="s">
        <v>379</v>
      </c>
      <c r="D57" s="28">
        <v>1.0</v>
      </c>
      <c r="E57" s="28" t="s">
        <v>392</v>
      </c>
      <c r="F57" s="28">
        <v>1.0</v>
      </c>
      <c r="G57" s="28" t="s">
        <v>305</v>
      </c>
      <c r="H57" s="28">
        <v>1.0</v>
      </c>
      <c r="I57" s="28" t="s">
        <v>357</v>
      </c>
      <c r="J57" s="28">
        <v>1.0</v>
      </c>
      <c r="K57" s="28" t="s">
        <v>301</v>
      </c>
      <c r="L57" s="28">
        <v>4.0</v>
      </c>
      <c r="M57" s="28" t="s">
        <v>364</v>
      </c>
      <c r="N57" s="28">
        <v>1.0</v>
      </c>
      <c r="O57" s="28" t="s">
        <v>361</v>
      </c>
      <c r="P57" s="28">
        <v>1.0</v>
      </c>
      <c r="Q57" s="28" t="s">
        <v>331</v>
      </c>
      <c r="R57" s="28">
        <v>1.0</v>
      </c>
      <c r="S57" s="28" t="s">
        <v>349</v>
      </c>
      <c r="T57" s="28">
        <v>1.0</v>
      </c>
      <c r="U57" s="28" t="s">
        <v>319</v>
      </c>
      <c r="V57" s="28">
        <v>3.0</v>
      </c>
      <c r="W57" s="76"/>
      <c r="X57" s="76"/>
      <c r="Y57" s="28" t="s">
        <v>334</v>
      </c>
      <c r="Z57" s="28">
        <v>1.0</v>
      </c>
      <c r="AA57" s="28" t="s">
        <v>315</v>
      </c>
      <c r="AB57" s="28">
        <v>1.0</v>
      </c>
      <c r="AC57" s="28" t="s">
        <v>323</v>
      </c>
      <c r="AD57" s="28">
        <v>2.0</v>
      </c>
      <c r="AE57" s="28" t="s">
        <v>323</v>
      </c>
      <c r="AF57" s="28">
        <v>1.0</v>
      </c>
      <c r="AG57" s="28" t="s">
        <v>379</v>
      </c>
      <c r="AH57" s="28">
        <v>1.0</v>
      </c>
      <c r="AI57" s="28" t="s">
        <v>366</v>
      </c>
      <c r="AJ57" s="28">
        <v>1.0</v>
      </c>
      <c r="AK57" s="28" t="s">
        <v>297</v>
      </c>
      <c r="AL57" s="28">
        <v>1.0</v>
      </c>
      <c r="AM57" s="28" t="s">
        <v>305</v>
      </c>
      <c r="AN57" s="28">
        <v>1.0</v>
      </c>
      <c r="AO57" s="28" t="s">
        <v>323</v>
      </c>
      <c r="AP57" s="28">
        <v>2.0</v>
      </c>
    </row>
    <row r="58">
      <c r="A58" s="28" t="s">
        <v>347</v>
      </c>
      <c r="B58" s="28">
        <v>1.0</v>
      </c>
      <c r="C58" s="28" t="s">
        <v>356</v>
      </c>
      <c r="D58" s="28">
        <v>1.0</v>
      </c>
      <c r="E58" s="28" t="s">
        <v>368</v>
      </c>
      <c r="F58" s="28">
        <v>1.0</v>
      </c>
      <c r="G58" s="28" t="s">
        <v>357</v>
      </c>
      <c r="H58" s="28">
        <v>1.0</v>
      </c>
      <c r="I58" s="28" t="s">
        <v>309</v>
      </c>
      <c r="J58" s="28">
        <v>1.0</v>
      </c>
      <c r="K58" s="28" t="s">
        <v>297</v>
      </c>
      <c r="L58" s="28">
        <v>1.0</v>
      </c>
      <c r="M58" s="28" t="s">
        <v>392</v>
      </c>
      <c r="N58" s="28">
        <v>1.0</v>
      </c>
      <c r="O58" s="76"/>
      <c r="P58" s="76"/>
      <c r="Q58" s="28" t="s">
        <v>310</v>
      </c>
      <c r="R58" s="28">
        <v>1.0</v>
      </c>
      <c r="S58" s="28" t="s">
        <v>361</v>
      </c>
      <c r="T58" s="28">
        <v>1.0</v>
      </c>
      <c r="U58" s="28" t="s">
        <v>301</v>
      </c>
      <c r="V58" s="28">
        <v>1.0</v>
      </c>
      <c r="W58" s="76"/>
      <c r="X58" s="79">
        <v>70.0</v>
      </c>
      <c r="Y58" s="28" t="s">
        <v>346</v>
      </c>
      <c r="Z58" s="28">
        <v>1.0</v>
      </c>
      <c r="AA58" s="28" t="s">
        <v>323</v>
      </c>
      <c r="AB58" s="28">
        <v>1.0</v>
      </c>
      <c r="AC58" s="28" t="s">
        <v>300</v>
      </c>
      <c r="AD58" s="28">
        <v>1.0</v>
      </c>
      <c r="AE58" s="28" t="s">
        <v>307</v>
      </c>
      <c r="AF58" s="28">
        <v>1.0</v>
      </c>
      <c r="AG58" s="28" t="s">
        <v>327</v>
      </c>
      <c r="AH58" s="28">
        <v>1.0</v>
      </c>
      <c r="AI58" s="28" t="s">
        <v>314</v>
      </c>
      <c r="AJ58" s="28">
        <v>2.0</v>
      </c>
      <c r="AK58" s="28" t="s">
        <v>315</v>
      </c>
      <c r="AL58" s="28">
        <v>1.0</v>
      </c>
      <c r="AM58" s="28" t="s">
        <v>320</v>
      </c>
      <c r="AN58" s="28">
        <v>1.0</v>
      </c>
      <c r="AO58" s="28" t="s">
        <v>316</v>
      </c>
      <c r="AP58" s="28">
        <v>1.0</v>
      </c>
    </row>
    <row r="59">
      <c r="A59" s="28" t="s">
        <v>352</v>
      </c>
      <c r="B59" s="28">
        <v>2.0</v>
      </c>
      <c r="C59" s="28" t="s">
        <v>322</v>
      </c>
      <c r="D59" s="28">
        <v>1.0</v>
      </c>
      <c r="E59" s="76"/>
      <c r="F59" s="76"/>
      <c r="G59" s="28" t="s">
        <v>309</v>
      </c>
      <c r="H59" s="28">
        <v>2.0</v>
      </c>
      <c r="I59" s="28" t="s">
        <v>312</v>
      </c>
      <c r="J59" s="28">
        <v>1.0</v>
      </c>
      <c r="K59" s="28" t="s">
        <v>323</v>
      </c>
      <c r="L59" s="28">
        <v>1.0</v>
      </c>
      <c r="M59" s="28" t="s">
        <v>329</v>
      </c>
      <c r="N59" s="28">
        <v>1.0</v>
      </c>
      <c r="O59" s="76"/>
      <c r="P59" s="79">
        <v>54.0</v>
      </c>
      <c r="Q59" s="28" t="s">
        <v>348</v>
      </c>
      <c r="R59" s="28">
        <v>1.0</v>
      </c>
      <c r="S59" s="28" t="s">
        <v>329</v>
      </c>
      <c r="T59" s="28">
        <v>1.0</v>
      </c>
      <c r="U59" s="28" t="s">
        <v>297</v>
      </c>
      <c r="V59" s="28">
        <v>2.0</v>
      </c>
      <c r="Y59" s="76"/>
      <c r="Z59" s="76"/>
      <c r="AA59" s="28" t="s">
        <v>300</v>
      </c>
      <c r="AB59" s="28">
        <v>1.0</v>
      </c>
      <c r="AC59" s="28" t="s">
        <v>336</v>
      </c>
      <c r="AD59" s="28">
        <v>1.0</v>
      </c>
      <c r="AE59" s="28" t="s">
        <v>348</v>
      </c>
      <c r="AF59" s="28">
        <v>1.0</v>
      </c>
      <c r="AG59" s="28" t="s">
        <v>361</v>
      </c>
      <c r="AH59" s="28">
        <v>1.0</v>
      </c>
      <c r="AI59" s="28" t="s">
        <v>379</v>
      </c>
      <c r="AJ59" s="28">
        <v>1.0</v>
      </c>
      <c r="AK59" s="28" t="s">
        <v>323</v>
      </c>
      <c r="AL59" s="28">
        <v>2.0</v>
      </c>
      <c r="AM59" s="28" t="s">
        <v>312</v>
      </c>
      <c r="AN59" s="28">
        <v>1.0</v>
      </c>
      <c r="AO59" s="28" t="s">
        <v>340</v>
      </c>
      <c r="AP59" s="28">
        <v>1.0</v>
      </c>
    </row>
    <row r="60">
      <c r="A60" s="28" t="s">
        <v>355</v>
      </c>
      <c r="B60" s="28">
        <v>1.0</v>
      </c>
      <c r="C60" s="28" t="s">
        <v>327</v>
      </c>
      <c r="D60" s="28">
        <v>2.0</v>
      </c>
      <c r="E60" s="76"/>
      <c r="F60" s="79">
        <v>61.0</v>
      </c>
      <c r="G60" s="28" t="s">
        <v>366</v>
      </c>
      <c r="H60" s="28">
        <v>2.0</v>
      </c>
      <c r="I60" s="28" t="s">
        <v>354</v>
      </c>
      <c r="J60" s="28">
        <v>1.0</v>
      </c>
      <c r="K60" s="28" t="s">
        <v>307</v>
      </c>
      <c r="L60" s="28">
        <v>1.0</v>
      </c>
      <c r="M60" s="28" t="s">
        <v>353</v>
      </c>
      <c r="N60" s="28">
        <v>1.0</v>
      </c>
      <c r="Q60" s="28" t="s">
        <v>341</v>
      </c>
      <c r="R60" s="28">
        <v>1.0</v>
      </c>
      <c r="S60" s="28" t="s">
        <v>374</v>
      </c>
      <c r="T60" s="28">
        <v>2.0</v>
      </c>
      <c r="U60" s="28" t="s">
        <v>300</v>
      </c>
      <c r="V60" s="28">
        <v>1.0</v>
      </c>
      <c r="Y60" s="76"/>
      <c r="Z60" s="79">
        <v>59.0</v>
      </c>
      <c r="AA60" s="28" t="s">
        <v>316</v>
      </c>
      <c r="AB60" s="28">
        <v>1.0</v>
      </c>
      <c r="AC60" s="28" t="s">
        <v>348</v>
      </c>
      <c r="AD60" s="28">
        <v>1.0</v>
      </c>
      <c r="AE60" s="28" t="s">
        <v>341</v>
      </c>
      <c r="AF60" s="28">
        <v>1.0</v>
      </c>
      <c r="AG60" s="28" t="s">
        <v>364</v>
      </c>
      <c r="AH60" s="28">
        <v>1.0</v>
      </c>
      <c r="AI60" s="28" t="s">
        <v>486</v>
      </c>
      <c r="AJ60" s="28">
        <v>1.0</v>
      </c>
      <c r="AK60" s="28" t="s">
        <v>300</v>
      </c>
      <c r="AL60" s="28">
        <v>2.0</v>
      </c>
      <c r="AM60" s="28" t="s">
        <v>354</v>
      </c>
      <c r="AN60" s="28">
        <v>1.0</v>
      </c>
      <c r="AO60" s="28" t="s">
        <v>343</v>
      </c>
      <c r="AP60" s="28">
        <v>1.0</v>
      </c>
    </row>
    <row r="61">
      <c r="A61" s="28" t="s">
        <v>363</v>
      </c>
      <c r="B61" s="28">
        <v>1.0</v>
      </c>
      <c r="C61" s="28" t="s">
        <v>361</v>
      </c>
      <c r="D61" s="28">
        <v>1.0</v>
      </c>
      <c r="G61" s="28" t="s">
        <v>356</v>
      </c>
      <c r="H61" s="28">
        <v>2.0</v>
      </c>
      <c r="I61" s="28" t="s">
        <v>366</v>
      </c>
      <c r="J61" s="28">
        <v>1.0</v>
      </c>
      <c r="K61" s="28" t="s">
        <v>341</v>
      </c>
      <c r="L61" s="28">
        <v>2.0</v>
      </c>
      <c r="M61" s="28" t="s">
        <v>346</v>
      </c>
      <c r="N61" s="28">
        <v>1.0</v>
      </c>
      <c r="Q61" s="28" t="s">
        <v>305</v>
      </c>
      <c r="R61" s="28">
        <v>3.0</v>
      </c>
      <c r="S61" s="28" t="s">
        <v>334</v>
      </c>
      <c r="T61" s="28">
        <v>1.0</v>
      </c>
      <c r="U61" s="28" t="s">
        <v>307</v>
      </c>
      <c r="V61" s="28">
        <v>2.0</v>
      </c>
      <c r="AA61" s="28" t="s">
        <v>341</v>
      </c>
      <c r="AB61" s="28">
        <v>1.0</v>
      </c>
      <c r="AC61" s="28" t="s">
        <v>343</v>
      </c>
      <c r="AD61" s="28">
        <v>1.0</v>
      </c>
      <c r="AE61" s="28" t="s">
        <v>343</v>
      </c>
      <c r="AF61" s="28">
        <v>2.0</v>
      </c>
      <c r="AG61" s="28" t="s">
        <v>486</v>
      </c>
      <c r="AH61" s="28">
        <v>1.0</v>
      </c>
      <c r="AI61" s="28" t="s">
        <v>329</v>
      </c>
      <c r="AJ61" s="28">
        <v>1.0</v>
      </c>
      <c r="AK61" s="28" t="s">
        <v>341</v>
      </c>
      <c r="AL61" s="28">
        <v>1.0</v>
      </c>
      <c r="AM61" s="28" t="s">
        <v>367</v>
      </c>
      <c r="AN61" s="28">
        <v>1.0</v>
      </c>
      <c r="AO61" s="28" t="s">
        <v>352</v>
      </c>
      <c r="AP61" s="28">
        <v>1.0</v>
      </c>
    </row>
    <row r="62">
      <c r="A62" s="28" t="s">
        <v>305</v>
      </c>
      <c r="B62" s="28">
        <v>3.0</v>
      </c>
      <c r="C62" s="28" t="s">
        <v>353</v>
      </c>
      <c r="D62" s="28">
        <v>1.0</v>
      </c>
      <c r="G62" s="28" t="s">
        <v>322</v>
      </c>
      <c r="H62" s="28">
        <v>1.0</v>
      </c>
      <c r="I62" s="28" t="s">
        <v>314</v>
      </c>
      <c r="J62" s="28">
        <v>1.0</v>
      </c>
      <c r="K62" s="28" t="s">
        <v>343</v>
      </c>
      <c r="L62" s="28">
        <v>3.0</v>
      </c>
      <c r="M62" s="28" t="s">
        <v>487</v>
      </c>
      <c r="N62" s="28">
        <v>1.0</v>
      </c>
      <c r="Q62" s="28" t="s">
        <v>309</v>
      </c>
      <c r="R62" s="28">
        <v>2.0</v>
      </c>
      <c r="S62" s="28" t="s">
        <v>368</v>
      </c>
      <c r="T62" s="28">
        <v>1.0</v>
      </c>
      <c r="U62" s="28" t="s">
        <v>340</v>
      </c>
      <c r="V62" s="28">
        <v>2.0</v>
      </c>
      <c r="AA62" s="28" t="s">
        <v>355</v>
      </c>
      <c r="AB62" s="28">
        <v>1.0</v>
      </c>
      <c r="AC62" s="28" t="s">
        <v>360</v>
      </c>
      <c r="AD62" s="28">
        <v>2.0</v>
      </c>
      <c r="AE62" s="28" t="s">
        <v>355</v>
      </c>
      <c r="AF62" s="28">
        <v>1.0</v>
      </c>
      <c r="AG62" s="28" t="s">
        <v>370</v>
      </c>
      <c r="AH62" s="28">
        <v>1.0</v>
      </c>
      <c r="AI62" s="28" t="s">
        <v>368</v>
      </c>
      <c r="AJ62" s="28">
        <v>1.0</v>
      </c>
      <c r="AK62" s="28" t="s">
        <v>344</v>
      </c>
      <c r="AL62" s="28">
        <v>2.0</v>
      </c>
      <c r="AM62" s="28" t="s">
        <v>366</v>
      </c>
      <c r="AN62" s="28">
        <v>1.0</v>
      </c>
      <c r="AO62" s="28" t="s">
        <v>362</v>
      </c>
      <c r="AP62" s="28">
        <v>1.0</v>
      </c>
    </row>
    <row r="63">
      <c r="A63" s="28" t="s">
        <v>357</v>
      </c>
      <c r="B63" s="28">
        <v>1.0</v>
      </c>
      <c r="C63" s="28" t="s">
        <v>339</v>
      </c>
      <c r="D63" s="28">
        <v>1.0</v>
      </c>
      <c r="G63" s="28" t="s">
        <v>327</v>
      </c>
      <c r="H63" s="28">
        <v>1.0</v>
      </c>
      <c r="I63" s="28" t="s">
        <v>385</v>
      </c>
      <c r="J63" s="28">
        <v>1.0</v>
      </c>
      <c r="K63" s="28" t="s">
        <v>347</v>
      </c>
      <c r="L63" s="28">
        <v>1.0</v>
      </c>
      <c r="M63" s="76"/>
      <c r="N63" s="76"/>
      <c r="Q63" s="28" t="s">
        <v>335</v>
      </c>
      <c r="R63" s="28">
        <v>1.0</v>
      </c>
      <c r="S63" s="28" t="s">
        <v>353</v>
      </c>
      <c r="T63" s="28">
        <v>1.0</v>
      </c>
      <c r="U63" s="28" t="s">
        <v>310</v>
      </c>
      <c r="V63" s="28">
        <v>1.0</v>
      </c>
      <c r="AA63" s="28" t="s">
        <v>305</v>
      </c>
      <c r="AB63" s="28">
        <v>1.0</v>
      </c>
      <c r="AC63" s="28" t="s">
        <v>366</v>
      </c>
      <c r="AD63" s="28">
        <v>1.0</v>
      </c>
      <c r="AE63" s="28" t="s">
        <v>350</v>
      </c>
      <c r="AF63" s="28">
        <v>1.0</v>
      </c>
      <c r="AG63" s="28" t="s">
        <v>329</v>
      </c>
      <c r="AH63" s="28">
        <v>1.0</v>
      </c>
      <c r="AI63" s="28"/>
      <c r="AJ63" s="28"/>
      <c r="AK63" s="28" t="s">
        <v>305</v>
      </c>
      <c r="AL63" s="28">
        <v>4.0</v>
      </c>
      <c r="AM63" s="28" t="s">
        <v>327</v>
      </c>
      <c r="AN63" s="28">
        <v>2.0</v>
      </c>
      <c r="AO63" s="28" t="s">
        <v>305</v>
      </c>
      <c r="AP63" s="28">
        <v>5.0</v>
      </c>
    </row>
    <row r="64">
      <c r="A64" s="28" t="s">
        <v>320</v>
      </c>
      <c r="B64" s="28">
        <v>1.0</v>
      </c>
      <c r="C64" s="28" t="s">
        <v>346</v>
      </c>
      <c r="D64" s="28">
        <v>1.0</v>
      </c>
      <c r="G64" s="28" t="s">
        <v>349</v>
      </c>
      <c r="H64" s="28">
        <v>1.0</v>
      </c>
      <c r="I64" s="28" t="s">
        <v>379</v>
      </c>
      <c r="J64" s="28">
        <v>1.0</v>
      </c>
      <c r="K64" s="28" t="s">
        <v>362</v>
      </c>
      <c r="L64" s="28">
        <v>1.0</v>
      </c>
      <c r="M64" s="76"/>
      <c r="N64" s="79">
        <v>71.0</v>
      </c>
      <c r="Q64" s="28" t="s">
        <v>314</v>
      </c>
      <c r="R64" s="28">
        <v>1.0</v>
      </c>
      <c r="S64" s="28" t="s">
        <v>487</v>
      </c>
      <c r="T64" s="28">
        <v>1.0</v>
      </c>
      <c r="U64" s="28" t="s">
        <v>341</v>
      </c>
      <c r="V64" s="28">
        <v>1.0</v>
      </c>
      <c r="AA64" s="28" t="s">
        <v>357</v>
      </c>
      <c r="AB64" s="28">
        <v>1.0</v>
      </c>
      <c r="AC64" s="28" t="s">
        <v>349</v>
      </c>
      <c r="AD64" s="28">
        <v>1.0</v>
      </c>
      <c r="AE64" s="28" t="s">
        <v>305</v>
      </c>
      <c r="AF64" s="28">
        <v>3.0</v>
      </c>
      <c r="AG64" s="28" t="s">
        <v>353</v>
      </c>
      <c r="AH64" s="28">
        <v>1.0</v>
      </c>
      <c r="AI64" s="28"/>
      <c r="AJ64" s="126">
        <v>58.0</v>
      </c>
      <c r="AK64" s="28" t="s">
        <v>320</v>
      </c>
      <c r="AL64" s="28">
        <v>1.0</v>
      </c>
      <c r="AM64" s="28" t="s">
        <v>349</v>
      </c>
      <c r="AN64" s="28">
        <v>1.0</v>
      </c>
      <c r="AO64" s="28" t="s">
        <v>357</v>
      </c>
      <c r="AP64" s="28">
        <v>1.0</v>
      </c>
    </row>
    <row r="65">
      <c r="A65" s="28" t="s">
        <v>309</v>
      </c>
      <c r="B65" s="28">
        <v>1.0</v>
      </c>
      <c r="C65" s="28" t="s">
        <v>487</v>
      </c>
      <c r="D65" s="28">
        <v>1.0</v>
      </c>
      <c r="G65" s="28" t="s">
        <v>488</v>
      </c>
      <c r="H65" s="28">
        <v>1.0</v>
      </c>
      <c r="I65" s="28" t="s">
        <v>322</v>
      </c>
      <c r="J65" s="28">
        <v>2.0</v>
      </c>
      <c r="K65" s="28" t="s">
        <v>357</v>
      </c>
      <c r="L65" s="28">
        <v>1.0</v>
      </c>
      <c r="Q65" s="28" t="s">
        <v>385</v>
      </c>
      <c r="R65" s="28">
        <v>1.0</v>
      </c>
      <c r="S65" s="76"/>
      <c r="T65" s="76"/>
      <c r="U65" s="28" t="s">
        <v>343</v>
      </c>
      <c r="V65" s="28">
        <v>2.0</v>
      </c>
      <c r="AA65" s="28" t="s">
        <v>309</v>
      </c>
      <c r="AB65" s="28">
        <v>2.0</v>
      </c>
      <c r="AC65" s="28" t="s">
        <v>361</v>
      </c>
      <c r="AD65" s="28">
        <v>1.0</v>
      </c>
      <c r="AE65" s="28" t="s">
        <v>320</v>
      </c>
      <c r="AF65" s="28">
        <v>1.0</v>
      </c>
      <c r="AG65" s="28" t="s">
        <v>346</v>
      </c>
      <c r="AH65" s="28">
        <v>1.0</v>
      </c>
      <c r="AI65" s="127"/>
      <c r="AJ65" s="127"/>
      <c r="AK65" s="28" t="s">
        <v>309</v>
      </c>
      <c r="AL65" s="28">
        <v>3.0</v>
      </c>
      <c r="AM65" s="28" t="s">
        <v>361</v>
      </c>
      <c r="AN65" s="28">
        <v>1.0</v>
      </c>
      <c r="AO65" s="28" t="s">
        <v>309</v>
      </c>
      <c r="AP65" s="28">
        <v>4.0</v>
      </c>
    </row>
    <row r="66">
      <c r="A66" s="28" t="s">
        <v>312</v>
      </c>
      <c r="B66" s="28">
        <v>1.0</v>
      </c>
      <c r="C66" s="76"/>
      <c r="D66" s="76"/>
      <c r="G66" s="28" t="s">
        <v>383</v>
      </c>
      <c r="H66" s="28">
        <v>1.0</v>
      </c>
      <c r="I66" s="28" t="s">
        <v>349</v>
      </c>
      <c r="J66" s="28">
        <v>1.0</v>
      </c>
      <c r="K66" s="28" t="s">
        <v>320</v>
      </c>
      <c r="L66" s="28">
        <v>1.0</v>
      </c>
      <c r="Q66" s="28" t="s">
        <v>322</v>
      </c>
      <c r="R66" s="28">
        <v>1.0</v>
      </c>
      <c r="S66" s="76"/>
      <c r="T66" s="79">
        <v>65.0</v>
      </c>
      <c r="U66" s="28" t="s">
        <v>352</v>
      </c>
      <c r="V66" s="28">
        <v>1.0</v>
      </c>
      <c r="AA66" s="28" t="s">
        <v>354</v>
      </c>
      <c r="AB66" s="28">
        <v>1.0</v>
      </c>
      <c r="AC66" s="28" t="s">
        <v>383</v>
      </c>
      <c r="AD66" s="28">
        <v>2.0</v>
      </c>
      <c r="AE66" s="28" t="s">
        <v>309</v>
      </c>
      <c r="AF66" s="28">
        <v>1.0</v>
      </c>
      <c r="AG66" s="28"/>
      <c r="AH66" s="28"/>
      <c r="AI66" s="127"/>
      <c r="AJ66" s="127"/>
      <c r="AK66" s="28" t="s">
        <v>335</v>
      </c>
      <c r="AL66" s="28">
        <v>1.0</v>
      </c>
      <c r="AM66" s="28" t="s">
        <v>364</v>
      </c>
      <c r="AN66" s="28">
        <v>1.0</v>
      </c>
      <c r="AO66" s="28" t="s">
        <v>354</v>
      </c>
      <c r="AP66" s="28">
        <v>1.0</v>
      </c>
    </row>
    <row r="67">
      <c r="A67" s="28" t="s">
        <v>335</v>
      </c>
      <c r="B67" s="28">
        <v>1.0</v>
      </c>
      <c r="C67" s="76"/>
      <c r="D67" s="79">
        <v>68.0</v>
      </c>
      <c r="G67" s="28" t="s">
        <v>486</v>
      </c>
      <c r="H67" s="28">
        <v>2.0</v>
      </c>
      <c r="I67" s="28" t="s">
        <v>329</v>
      </c>
      <c r="J67" s="28">
        <v>1.0</v>
      </c>
      <c r="K67" s="28" t="s">
        <v>335</v>
      </c>
      <c r="L67" s="28">
        <v>1.0</v>
      </c>
      <c r="Q67" s="28" t="s">
        <v>486</v>
      </c>
      <c r="R67" s="28">
        <v>1.0</v>
      </c>
      <c r="U67" s="28" t="s">
        <v>305</v>
      </c>
      <c r="V67" s="28">
        <v>1.0</v>
      </c>
      <c r="AA67" s="28" t="s">
        <v>366</v>
      </c>
      <c r="AB67" s="28">
        <v>3.0</v>
      </c>
      <c r="AC67" s="28" t="s">
        <v>353</v>
      </c>
      <c r="AD67" s="28">
        <v>1.0</v>
      </c>
      <c r="AE67" s="28" t="s">
        <v>354</v>
      </c>
      <c r="AF67" s="28">
        <v>2.0</v>
      </c>
      <c r="AG67" s="28"/>
      <c r="AH67" s="126">
        <v>69.0</v>
      </c>
      <c r="AI67" s="133"/>
      <c r="AJ67" s="133"/>
      <c r="AK67" s="28" t="s">
        <v>367</v>
      </c>
      <c r="AL67" s="28">
        <v>1.0</v>
      </c>
      <c r="AM67" s="28" t="s">
        <v>329</v>
      </c>
      <c r="AN67" s="28">
        <v>3.0</v>
      </c>
      <c r="AO67" s="28" t="s">
        <v>366</v>
      </c>
      <c r="AP67" s="28">
        <v>2.0</v>
      </c>
    </row>
    <row r="68">
      <c r="A68" s="28" t="s">
        <v>354</v>
      </c>
      <c r="B68" s="28">
        <v>3.0</v>
      </c>
      <c r="G68" s="28" t="s">
        <v>374</v>
      </c>
      <c r="H68" s="28">
        <v>1.0</v>
      </c>
      <c r="I68" s="28" t="s">
        <v>374</v>
      </c>
      <c r="J68" s="28">
        <v>2.0</v>
      </c>
      <c r="K68" s="28" t="s">
        <v>354</v>
      </c>
      <c r="L68" s="28">
        <v>1.0</v>
      </c>
      <c r="Q68" s="28" t="s">
        <v>370</v>
      </c>
      <c r="R68" s="28">
        <v>1.0</v>
      </c>
      <c r="U68" s="28" t="s">
        <v>357</v>
      </c>
      <c r="V68" s="28">
        <v>2.0</v>
      </c>
      <c r="AA68" s="28" t="s">
        <v>379</v>
      </c>
      <c r="AB68" s="28">
        <v>3.0</v>
      </c>
      <c r="AC68" s="28"/>
      <c r="AD68" s="28"/>
      <c r="AE68" s="28" t="s">
        <v>366</v>
      </c>
      <c r="AF68" s="28">
        <v>1.0</v>
      </c>
      <c r="AG68" s="127"/>
      <c r="AH68" s="127"/>
      <c r="AI68" s="127"/>
      <c r="AJ68" s="127"/>
      <c r="AK68" s="28" t="s">
        <v>366</v>
      </c>
      <c r="AL68" s="28">
        <v>3.0</v>
      </c>
      <c r="AM68" s="28"/>
      <c r="AN68" s="28"/>
      <c r="AO68" s="28" t="s">
        <v>314</v>
      </c>
      <c r="AP68" s="28">
        <v>1.0</v>
      </c>
    </row>
    <row r="69">
      <c r="A69" s="28" t="s">
        <v>367</v>
      </c>
      <c r="B69" s="28">
        <v>1.0</v>
      </c>
      <c r="G69" s="28" t="s">
        <v>346</v>
      </c>
      <c r="H69" s="28">
        <v>1.0</v>
      </c>
      <c r="I69" s="28" t="s">
        <v>353</v>
      </c>
      <c r="J69" s="28">
        <v>1.0</v>
      </c>
      <c r="K69" s="28" t="s">
        <v>367</v>
      </c>
      <c r="L69" s="28">
        <v>1.0</v>
      </c>
      <c r="Q69" s="28" t="s">
        <v>368</v>
      </c>
      <c r="R69" s="28">
        <v>2.0</v>
      </c>
      <c r="U69" s="28" t="s">
        <v>320</v>
      </c>
      <c r="V69" s="28">
        <v>1.0</v>
      </c>
      <c r="AA69" s="28" t="s">
        <v>486</v>
      </c>
      <c r="AB69" s="28">
        <v>1.0</v>
      </c>
      <c r="AC69" s="28"/>
      <c r="AD69" s="126">
        <v>70.0</v>
      </c>
      <c r="AE69" s="28" t="s">
        <v>379</v>
      </c>
      <c r="AF69" s="28">
        <v>1.0</v>
      </c>
      <c r="AG69" s="127"/>
      <c r="AH69" s="127"/>
      <c r="AI69" s="127"/>
      <c r="AJ69" s="127"/>
      <c r="AK69" s="28" t="s">
        <v>385</v>
      </c>
      <c r="AL69" s="28">
        <v>1.0</v>
      </c>
      <c r="AM69" s="28"/>
      <c r="AN69" s="126">
        <v>71.0</v>
      </c>
      <c r="AO69" s="28" t="s">
        <v>385</v>
      </c>
      <c r="AP69" s="28">
        <v>1.0</v>
      </c>
    </row>
    <row r="70">
      <c r="A70" s="28" t="s">
        <v>366</v>
      </c>
      <c r="B70" s="28">
        <v>3.0</v>
      </c>
      <c r="G70" s="76"/>
      <c r="H70" s="76"/>
      <c r="I70" s="28" t="s">
        <v>339</v>
      </c>
      <c r="J70" s="28">
        <v>1.0</v>
      </c>
      <c r="K70" s="28" t="s">
        <v>366</v>
      </c>
      <c r="L70" s="28">
        <v>2.0</v>
      </c>
      <c r="Q70" s="28" t="s">
        <v>353</v>
      </c>
      <c r="R70" s="28">
        <v>1.0</v>
      </c>
      <c r="U70" s="28" t="s">
        <v>309</v>
      </c>
      <c r="V70" s="28">
        <v>2.0</v>
      </c>
      <c r="AA70" s="28" t="s">
        <v>392</v>
      </c>
      <c r="AB70" s="28">
        <v>1.0</v>
      </c>
      <c r="AC70" s="127"/>
      <c r="AD70" s="127"/>
      <c r="AE70" s="28" t="s">
        <v>356</v>
      </c>
      <c r="AF70" s="28">
        <v>3.0</v>
      </c>
      <c r="AG70" s="127"/>
      <c r="AH70" s="127"/>
      <c r="AI70" s="127"/>
      <c r="AJ70" s="127"/>
      <c r="AK70" s="28" t="s">
        <v>379</v>
      </c>
      <c r="AL70" s="28">
        <v>1.0</v>
      </c>
      <c r="AM70" s="127"/>
      <c r="AN70" s="127"/>
      <c r="AO70" s="28" t="s">
        <v>322</v>
      </c>
      <c r="AP70" s="28">
        <v>1.0</v>
      </c>
    </row>
    <row r="71">
      <c r="A71" s="28" t="s">
        <v>385</v>
      </c>
      <c r="B71" s="28">
        <v>1.0</v>
      </c>
      <c r="G71" s="76"/>
      <c r="H71" s="79">
        <v>82.0</v>
      </c>
      <c r="I71" s="76"/>
      <c r="J71" s="76"/>
      <c r="K71" s="28" t="s">
        <v>379</v>
      </c>
      <c r="L71" s="28">
        <v>2.0</v>
      </c>
      <c r="Q71" s="76"/>
      <c r="R71" s="76"/>
      <c r="U71" s="28" t="s">
        <v>312</v>
      </c>
      <c r="V71" s="28">
        <v>1.0</v>
      </c>
      <c r="AA71" s="28" t="s">
        <v>370</v>
      </c>
      <c r="AB71" s="28">
        <v>2.0</v>
      </c>
      <c r="AC71" s="127"/>
      <c r="AD71" s="127"/>
      <c r="AE71" s="28" t="s">
        <v>322</v>
      </c>
      <c r="AF71" s="28">
        <v>1.0</v>
      </c>
      <c r="AG71" s="127"/>
      <c r="AH71" s="127"/>
      <c r="AI71" s="127"/>
      <c r="AJ71" s="127"/>
      <c r="AK71" s="28" t="s">
        <v>356</v>
      </c>
      <c r="AL71" s="28">
        <v>1.0</v>
      </c>
      <c r="AM71" s="127"/>
      <c r="AN71" s="127"/>
      <c r="AO71" s="28" t="s">
        <v>361</v>
      </c>
      <c r="AP71" s="28">
        <v>2.0</v>
      </c>
    </row>
    <row r="72">
      <c r="A72" s="28" t="s">
        <v>379</v>
      </c>
      <c r="B72" s="28">
        <v>1.0</v>
      </c>
      <c r="I72" s="76"/>
      <c r="J72" s="79">
        <v>74.0</v>
      </c>
      <c r="K72" s="28" t="s">
        <v>356</v>
      </c>
      <c r="L72" s="28">
        <v>1.0</v>
      </c>
      <c r="Q72" s="76"/>
      <c r="R72" s="79">
        <v>87.0</v>
      </c>
      <c r="U72" s="28" t="s">
        <v>354</v>
      </c>
      <c r="V72" s="28">
        <v>2.0</v>
      </c>
      <c r="AA72" s="28" t="s">
        <v>374</v>
      </c>
      <c r="AB72" s="28">
        <v>1.0</v>
      </c>
      <c r="AC72" s="127"/>
      <c r="AD72" s="127"/>
      <c r="AE72" s="28" t="s">
        <v>378</v>
      </c>
      <c r="AF72" s="28">
        <v>1.0</v>
      </c>
      <c r="AG72" s="127"/>
      <c r="AH72" s="127"/>
      <c r="AI72" s="127"/>
      <c r="AJ72" s="127"/>
      <c r="AK72" s="28" t="s">
        <v>370</v>
      </c>
      <c r="AL72" s="28">
        <v>1.0</v>
      </c>
      <c r="AM72" s="127"/>
      <c r="AN72" s="127"/>
      <c r="AO72" s="28" t="s">
        <v>488</v>
      </c>
      <c r="AP72" s="28">
        <v>1.0</v>
      </c>
    </row>
    <row r="73">
      <c r="A73" s="28" t="s">
        <v>322</v>
      </c>
      <c r="B73" s="28">
        <v>3.0</v>
      </c>
      <c r="K73" s="28" t="s">
        <v>322</v>
      </c>
      <c r="L73" s="28">
        <v>2.0</v>
      </c>
      <c r="U73" s="28" t="s">
        <v>367</v>
      </c>
      <c r="V73" s="28">
        <v>1.0</v>
      </c>
      <c r="AA73" s="28" t="s">
        <v>368</v>
      </c>
      <c r="AB73" s="28">
        <v>2.0</v>
      </c>
      <c r="AC73" s="127"/>
      <c r="AD73" s="127"/>
      <c r="AE73" s="28" t="s">
        <v>327</v>
      </c>
      <c r="AF73" s="28">
        <v>1.0</v>
      </c>
      <c r="AG73" s="127"/>
      <c r="AH73" s="127"/>
      <c r="AI73" s="127"/>
      <c r="AJ73" s="127"/>
      <c r="AK73" s="28" t="s">
        <v>334</v>
      </c>
      <c r="AL73" s="28">
        <v>1.0</v>
      </c>
      <c r="AM73" s="127"/>
      <c r="AN73" s="127"/>
      <c r="AO73" s="28" t="s">
        <v>364</v>
      </c>
      <c r="AP73" s="28">
        <v>3.0</v>
      </c>
    </row>
    <row r="74">
      <c r="A74" s="28" t="s">
        <v>327</v>
      </c>
      <c r="B74" s="28">
        <v>1.0</v>
      </c>
      <c r="K74" s="28" t="s">
        <v>327</v>
      </c>
      <c r="L74" s="28">
        <v>3.0</v>
      </c>
      <c r="U74" s="28" t="s">
        <v>366</v>
      </c>
      <c r="V74" s="28">
        <v>4.0</v>
      </c>
      <c r="AA74" s="28" t="s">
        <v>353</v>
      </c>
      <c r="AB74" s="28">
        <v>2.0</v>
      </c>
      <c r="AC74" s="127"/>
      <c r="AD74" s="127"/>
      <c r="AE74" s="28" t="s">
        <v>488</v>
      </c>
      <c r="AF74" s="28">
        <v>1.0</v>
      </c>
      <c r="AG74" s="127"/>
      <c r="AH74" s="127"/>
      <c r="AI74" s="127"/>
      <c r="AJ74" s="127"/>
      <c r="AK74" s="28" t="s">
        <v>368</v>
      </c>
      <c r="AL74" s="28">
        <v>1.0</v>
      </c>
      <c r="AM74" s="127"/>
      <c r="AN74" s="127"/>
      <c r="AO74" s="28" t="s">
        <v>489</v>
      </c>
      <c r="AP74" s="28">
        <v>1.0</v>
      </c>
    </row>
    <row r="75">
      <c r="A75" s="28" t="s">
        <v>349</v>
      </c>
      <c r="B75" s="28">
        <v>1.0</v>
      </c>
      <c r="K75" s="28" t="s">
        <v>349</v>
      </c>
      <c r="L75" s="28">
        <v>1.0</v>
      </c>
      <c r="U75" s="28" t="s">
        <v>314</v>
      </c>
      <c r="V75" s="28">
        <v>2.0</v>
      </c>
      <c r="AA75" s="76"/>
      <c r="AB75" s="76"/>
      <c r="AC75" s="134"/>
      <c r="AD75" s="134"/>
      <c r="AE75" s="28" t="s">
        <v>364</v>
      </c>
      <c r="AF75" s="28">
        <v>1.0</v>
      </c>
      <c r="AG75" s="127"/>
      <c r="AH75" s="127"/>
      <c r="AI75" s="127"/>
      <c r="AJ75" s="127"/>
      <c r="AK75" s="28" t="s">
        <v>353</v>
      </c>
      <c r="AL75" s="28">
        <v>1.0</v>
      </c>
      <c r="AM75" s="127"/>
      <c r="AN75" s="127"/>
      <c r="AO75" s="28" t="s">
        <v>329</v>
      </c>
      <c r="AP75" s="28">
        <v>1.0</v>
      </c>
    </row>
    <row r="76">
      <c r="A76" s="28" t="s">
        <v>361</v>
      </c>
      <c r="B76" s="28">
        <v>1.0</v>
      </c>
      <c r="K76" s="28" t="s">
        <v>361</v>
      </c>
      <c r="L76" s="28">
        <v>3.0</v>
      </c>
      <c r="U76" s="28" t="s">
        <v>379</v>
      </c>
      <c r="V76" s="28">
        <v>1.0</v>
      </c>
      <c r="AA76" s="76"/>
      <c r="AB76" s="79">
        <v>89.0</v>
      </c>
      <c r="AC76" s="135"/>
      <c r="AD76" s="135"/>
      <c r="AE76" s="28" t="s">
        <v>486</v>
      </c>
      <c r="AF76" s="28">
        <v>1.0</v>
      </c>
      <c r="AG76" s="127"/>
      <c r="AH76" s="127"/>
      <c r="AI76" s="127"/>
      <c r="AJ76" s="127"/>
      <c r="AK76" s="28"/>
      <c r="AL76" s="28"/>
      <c r="AM76" s="127"/>
      <c r="AN76" s="127"/>
      <c r="AO76" s="28" t="s">
        <v>334</v>
      </c>
      <c r="AP76" s="28">
        <v>1.0</v>
      </c>
    </row>
    <row r="77">
      <c r="A77" s="28" t="s">
        <v>370</v>
      </c>
      <c r="B77" s="28">
        <v>1.0</v>
      </c>
      <c r="K77" s="28" t="s">
        <v>486</v>
      </c>
      <c r="L77" s="28">
        <v>1.0</v>
      </c>
      <c r="U77" s="28" t="s">
        <v>322</v>
      </c>
      <c r="V77" s="28">
        <v>1.0</v>
      </c>
      <c r="AE77" s="28" t="s">
        <v>368</v>
      </c>
      <c r="AF77" s="28">
        <v>1.0</v>
      </c>
      <c r="AG77" s="127"/>
      <c r="AH77" s="127"/>
      <c r="AI77" s="127"/>
      <c r="AJ77" s="127"/>
      <c r="AK77" s="28"/>
      <c r="AL77" s="126">
        <v>85.0</v>
      </c>
      <c r="AM77" s="133"/>
      <c r="AN77" s="133"/>
      <c r="AO77" s="28" t="s">
        <v>368</v>
      </c>
      <c r="AP77" s="28">
        <v>2.0</v>
      </c>
    </row>
    <row r="78">
      <c r="A78" s="28" t="s">
        <v>374</v>
      </c>
      <c r="B78" s="28">
        <v>2.0</v>
      </c>
      <c r="K78" s="28" t="s">
        <v>489</v>
      </c>
      <c r="L78" s="28">
        <v>1.0</v>
      </c>
      <c r="U78" s="28" t="s">
        <v>327</v>
      </c>
      <c r="V78" s="28">
        <v>1.0</v>
      </c>
      <c r="AE78" s="28" t="s">
        <v>353</v>
      </c>
      <c r="AF78" s="28">
        <v>1.0</v>
      </c>
      <c r="AG78" s="127"/>
      <c r="AH78" s="127"/>
      <c r="AI78" s="127"/>
      <c r="AJ78" s="127"/>
      <c r="AK78" s="127"/>
      <c r="AL78" s="127"/>
      <c r="AM78" s="127"/>
      <c r="AN78" s="127"/>
      <c r="AO78" s="28" t="s">
        <v>353</v>
      </c>
      <c r="AP78" s="28">
        <v>1.0</v>
      </c>
    </row>
    <row r="79">
      <c r="A79" s="28" t="s">
        <v>368</v>
      </c>
      <c r="B79" s="28">
        <v>2.0</v>
      </c>
      <c r="K79" s="28" t="s">
        <v>374</v>
      </c>
      <c r="L79" s="28">
        <v>2.0</v>
      </c>
      <c r="U79" s="28" t="s">
        <v>349</v>
      </c>
      <c r="V79" s="28">
        <v>1.0</v>
      </c>
      <c r="AE79" s="28" t="s">
        <v>346</v>
      </c>
      <c r="AF79" s="28">
        <v>1.0</v>
      </c>
      <c r="AG79" s="127"/>
      <c r="AH79" s="127"/>
      <c r="AI79" s="127"/>
      <c r="AJ79" s="127"/>
      <c r="AK79" s="127"/>
      <c r="AL79" s="127"/>
      <c r="AM79" s="127"/>
      <c r="AN79" s="127"/>
      <c r="AO79" s="28" t="s">
        <v>339</v>
      </c>
      <c r="AP79" s="28">
        <v>1.0</v>
      </c>
    </row>
    <row r="80">
      <c r="A80" s="28" t="s">
        <v>353</v>
      </c>
      <c r="B80" s="28">
        <v>1.0</v>
      </c>
      <c r="K80" s="28" t="s">
        <v>368</v>
      </c>
      <c r="L80" s="28">
        <v>2.0</v>
      </c>
      <c r="U80" s="28" t="s">
        <v>383</v>
      </c>
      <c r="V80" s="28">
        <v>1.0</v>
      </c>
      <c r="AE80" s="76"/>
      <c r="AF80" s="76"/>
      <c r="AG80" s="134"/>
      <c r="AH80" s="134"/>
      <c r="AI80" s="134"/>
      <c r="AJ80" s="134"/>
      <c r="AK80" s="134"/>
      <c r="AL80" s="134"/>
      <c r="AM80" s="134"/>
      <c r="AN80" s="134"/>
      <c r="AO80" s="28" t="s">
        <v>346</v>
      </c>
      <c r="AP80" s="28">
        <v>1.0</v>
      </c>
    </row>
    <row r="81">
      <c r="A81" s="28" t="s">
        <v>339</v>
      </c>
      <c r="B81" s="28">
        <v>1.0</v>
      </c>
      <c r="K81" s="28" t="s">
        <v>353</v>
      </c>
      <c r="L81" s="28">
        <v>1.0</v>
      </c>
      <c r="U81" s="28" t="s">
        <v>486</v>
      </c>
      <c r="V81" s="28">
        <v>1.0</v>
      </c>
      <c r="AE81" s="76"/>
      <c r="AF81" s="79">
        <v>100.0</v>
      </c>
      <c r="AG81" s="135"/>
      <c r="AH81" s="135"/>
      <c r="AI81" s="135"/>
      <c r="AJ81" s="135"/>
      <c r="AK81" s="135"/>
      <c r="AL81" s="135"/>
      <c r="AM81" s="135"/>
      <c r="AN81" s="135"/>
      <c r="AO81" s="79"/>
      <c r="AP81" s="79"/>
    </row>
    <row r="82">
      <c r="A82" s="28" t="s">
        <v>346</v>
      </c>
      <c r="B82" s="28">
        <v>1.0</v>
      </c>
      <c r="K82" s="28" t="s">
        <v>346</v>
      </c>
      <c r="L82" s="28">
        <v>3.0</v>
      </c>
      <c r="U82" s="28" t="s">
        <v>334</v>
      </c>
      <c r="V82" s="28">
        <v>1.0</v>
      </c>
      <c r="AO82" s="76"/>
      <c r="AP82" s="79">
        <v>97.0</v>
      </c>
    </row>
    <row r="83">
      <c r="A83" s="76"/>
      <c r="B83" s="76"/>
      <c r="K83" s="76"/>
      <c r="L83" s="76"/>
      <c r="U83" s="28" t="s">
        <v>368</v>
      </c>
      <c r="V83" s="28">
        <v>3.0</v>
      </c>
    </row>
    <row r="84">
      <c r="A84" s="76"/>
      <c r="B84" s="79">
        <v>106.0</v>
      </c>
      <c r="K84" s="76"/>
      <c r="L84" s="79">
        <v>106.0</v>
      </c>
      <c r="U84" s="28" t="s">
        <v>353</v>
      </c>
      <c r="V84" s="28">
        <v>2.0</v>
      </c>
    </row>
    <row r="85">
      <c r="U85" s="28" t="s">
        <v>339</v>
      </c>
      <c r="V85" s="28">
        <v>1.0</v>
      </c>
    </row>
    <row r="86">
      <c r="U86" s="28" t="s">
        <v>346</v>
      </c>
      <c r="V86" s="28">
        <v>2.0</v>
      </c>
    </row>
    <row r="87">
      <c r="U87" s="28" t="s">
        <v>487</v>
      </c>
      <c r="V87" s="28">
        <v>1.0</v>
      </c>
    </row>
    <row r="88">
      <c r="U88" s="76"/>
      <c r="V88" s="76"/>
    </row>
    <row r="89">
      <c r="U89" s="76"/>
      <c r="V89" s="79">
        <v>109.0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1.75"/>
    <col customWidth="1" hidden="1" min="2" max="2" width="16.75"/>
    <col customWidth="1" hidden="1" min="3" max="3" width="31.75"/>
    <col customWidth="1" hidden="1" min="4" max="4" width="16.75"/>
    <col customWidth="1" hidden="1" min="5" max="5" width="31.75"/>
    <col customWidth="1" hidden="1" min="6" max="6" width="16.75"/>
    <col customWidth="1" hidden="1" min="7" max="7" width="31.75"/>
    <col customWidth="1" hidden="1" min="8" max="8" width="16.75"/>
    <col customWidth="1" hidden="1" min="9" max="9" width="31.75"/>
    <col customWidth="1" hidden="1" min="10" max="10" width="16.75"/>
    <col customWidth="1" hidden="1" min="11" max="11" width="31.75"/>
    <col customWidth="1" hidden="1" min="12" max="12" width="16.75"/>
    <col customWidth="1" hidden="1" min="13" max="13" width="31.75"/>
    <col customWidth="1" hidden="1" min="14" max="14" width="16.75"/>
    <col customWidth="1" hidden="1" min="15" max="15" width="31.75"/>
    <col customWidth="1" hidden="1" min="16" max="16" width="16.75"/>
    <col customWidth="1" hidden="1" min="17" max="17" width="31.75"/>
    <col customWidth="1" hidden="1" min="18" max="18" width="16.75"/>
    <col customWidth="1" hidden="1" min="19" max="19" width="31.75"/>
    <col customWidth="1" hidden="1" min="20" max="20" width="16.75"/>
    <col customWidth="1" hidden="1" min="21" max="21" width="31.75"/>
    <col customWidth="1" hidden="1" min="22" max="22" width="16.75"/>
    <col customWidth="1" hidden="1" min="23" max="23" width="31.75"/>
    <col customWidth="1" hidden="1" min="24" max="24" width="16.75"/>
    <col customWidth="1" hidden="1" min="25" max="25" width="31.75"/>
    <col customWidth="1" hidden="1" min="26" max="26" width="16.75"/>
    <col customWidth="1" hidden="1" min="27" max="27" width="31.75"/>
    <col customWidth="1" hidden="1" min="28" max="28" width="16.75"/>
    <col customWidth="1" hidden="1" min="29" max="29" width="31.75"/>
    <col customWidth="1" hidden="1" min="30" max="30" width="16.75"/>
    <col customWidth="1" hidden="1" min="31" max="31" width="31.75"/>
    <col customWidth="1" hidden="1" min="32" max="32" width="16.75"/>
    <col customWidth="1" hidden="1" min="33" max="33" width="31.75"/>
    <col customWidth="1" hidden="1" min="34" max="34" width="16.75"/>
    <col customWidth="1" hidden="1" min="35" max="35" width="31.75"/>
    <col customWidth="1" hidden="1" min="36" max="36" width="16.75"/>
    <col customWidth="1" min="37" max="37" width="37.0"/>
    <col customWidth="1" min="38" max="38" width="5.0"/>
    <col customWidth="1" min="39" max="39" width="37.0"/>
    <col customWidth="1" min="40" max="40" width="5.0"/>
    <col customWidth="1" min="41" max="41" width="18.0"/>
    <col customWidth="1" min="42" max="42" width="18.63"/>
    <col customWidth="1" min="43" max="43" width="25.5"/>
    <col customWidth="1" min="44" max="44" width="16.75"/>
  </cols>
  <sheetData>
    <row r="1">
      <c r="A1" s="147" t="s">
        <v>445</v>
      </c>
      <c r="B1" s="9"/>
      <c r="C1" s="7" t="s">
        <v>446</v>
      </c>
      <c r="D1" s="9"/>
      <c r="E1" s="7" t="s">
        <v>447</v>
      </c>
      <c r="F1" s="9"/>
      <c r="G1" s="7" t="s">
        <v>448</v>
      </c>
      <c r="H1" s="9"/>
      <c r="I1" s="7" t="s">
        <v>449</v>
      </c>
      <c r="J1" s="9"/>
      <c r="K1" s="7" t="s">
        <v>450</v>
      </c>
      <c r="L1" s="9"/>
      <c r="M1" s="7" t="s">
        <v>451</v>
      </c>
      <c r="N1" s="9"/>
      <c r="O1" s="7" t="s">
        <v>452</v>
      </c>
      <c r="P1" s="9"/>
      <c r="Q1" s="7" t="s">
        <v>453</v>
      </c>
      <c r="R1" s="9"/>
      <c r="S1" s="7" t="s">
        <v>454</v>
      </c>
      <c r="T1" s="9"/>
      <c r="U1" s="7" t="s">
        <v>455</v>
      </c>
      <c r="V1" s="9"/>
      <c r="W1" s="7" t="s">
        <v>456</v>
      </c>
      <c r="X1" s="9"/>
      <c r="Y1" s="7" t="s">
        <v>457</v>
      </c>
      <c r="Z1" s="9"/>
      <c r="AA1" s="7" t="s">
        <v>458</v>
      </c>
      <c r="AB1" s="9"/>
      <c r="AC1" s="7" t="s">
        <v>459</v>
      </c>
      <c r="AD1" s="9"/>
      <c r="AE1" s="7" t="s">
        <v>460</v>
      </c>
      <c r="AF1" s="9"/>
      <c r="AG1" s="7" t="s">
        <v>461</v>
      </c>
      <c r="AH1" s="9"/>
      <c r="AI1" s="7" t="s">
        <v>462</v>
      </c>
      <c r="AJ1" s="9"/>
      <c r="AK1" s="147" t="s">
        <v>463</v>
      </c>
      <c r="AL1" s="9"/>
      <c r="AM1" s="147" t="s">
        <v>464</v>
      </c>
      <c r="AN1" s="9"/>
      <c r="AO1" s="148"/>
      <c r="AP1" s="148"/>
      <c r="AQ1" s="148"/>
      <c r="AR1" s="148"/>
    </row>
    <row r="2">
      <c r="A2" s="28" t="s">
        <v>20</v>
      </c>
      <c r="B2" s="28">
        <v>6.0</v>
      </c>
      <c r="C2" s="31" t="s">
        <v>20</v>
      </c>
      <c r="D2" s="28">
        <v>6.0</v>
      </c>
      <c r="E2" s="28" t="s">
        <v>20</v>
      </c>
      <c r="F2" s="28">
        <v>7.0</v>
      </c>
      <c r="G2" s="28" t="s">
        <v>20</v>
      </c>
      <c r="H2" s="28">
        <v>3.0</v>
      </c>
      <c r="I2" s="28" t="s">
        <v>20</v>
      </c>
      <c r="J2" s="28">
        <v>8.0</v>
      </c>
      <c r="K2" s="28" t="s">
        <v>20</v>
      </c>
      <c r="L2" s="28">
        <v>6.0</v>
      </c>
      <c r="M2" s="28" t="s">
        <v>20</v>
      </c>
      <c r="N2" s="28">
        <v>9.0</v>
      </c>
      <c r="O2" s="28" t="s">
        <v>20</v>
      </c>
      <c r="P2" s="28">
        <v>4.0</v>
      </c>
      <c r="Q2" s="28" t="s">
        <v>20</v>
      </c>
      <c r="R2" s="28">
        <v>5.0</v>
      </c>
      <c r="S2" s="28" t="s">
        <v>20</v>
      </c>
      <c r="T2" s="28">
        <v>6.0</v>
      </c>
      <c r="U2" s="28" t="s">
        <v>20</v>
      </c>
      <c r="V2" s="28">
        <v>5.0</v>
      </c>
      <c r="W2" s="28" t="s">
        <v>20</v>
      </c>
      <c r="X2" s="28">
        <v>5.0</v>
      </c>
      <c r="Y2" s="28" t="s">
        <v>20</v>
      </c>
      <c r="Z2" s="28">
        <v>11.0</v>
      </c>
      <c r="AA2" s="28" t="s">
        <v>20</v>
      </c>
      <c r="AB2" s="28">
        <v>4.0</v>
      </c>
      <c r="AC2" s="28" t="s">
        <v>20</v>
      </c>
      <c r="AD2" s="28">
        <v>6.0</v>
      </c>
      <c r="AE2" s="28" t="s">
        <v>20</v>
      </c>
      <c r="AF2" s="28">
        <v>7.0</v>
      </c>
      <c r="AG2" s="28" t="s">
        <v>20</v>
      </c>
      <c r="AH2" s="28">
        <v>6.0</v>
      </c>
      <c r="AI2" s="28" t="s">
        <v>20</v>
      </c>
      <c r="AJ2" s="28">
        <v>9.0</v>
      </c>
      <c r="AK2" s="28" t="s">
        <v>20</v>
      </c>
      <c r="AL2" s="28">
        <v>3.0</v>
      </c>
      <c r="AM2" s="28" t="s">
        <v>20</v>
      </c>
      <c r="AN2" s="28">
        <v>6.0</v>
      </c>
      <c r="AO2" s="127"/>
      <c r="AP2" s="127"/>
      <c r="AQ2" s="127"/>
      <c r="AR2" s="127"/>
    </row>
    <row r="3">
      <c r="A3" s="28" t="s">
        <v>25</v>
      </c>
      <c r="B3" s="28">
        <v>11.0</v>
      </c>
      <c r="C3" s="31" t="s">
        <v>25</v>
      </c>
      <c r="D3" s="28">
        <v>15.0</v>
      </c>
      <c r="E3" s="28" t="s">
        <v>25</v>
      </c>
      <c r="F3" s="28">
        <v>16.0</v>
      </c>
      <c r="G3" s="28" t="s">
        <v>25</v>
      </c>
      <c r="H3" s="28">
        <v>12.0</v>
      </c>
      <c r="I3" s="28" t="s">
        <v>25</v>
      </c>
      <c r="J3" s="28">
        <v>18.0</v>
      </c>
      <c r="K3" s="28" t="s">
        <v>25</v>
      </c>
      <c r="L3" s="28">
        <v>14.0</v>
      </c>
      <c r="M3" s="31" t="s">
        <v>25</v>
      </c>
      <c r="N3" s="28">
        <v>12.0</v>
      </c>
      <c r="O3" s="28" t="s">
        <v>25</v>
      </c>
      <c r="P3" s="28">
        <v>18.0</v>
      </c>
      <c r="Q3" s="28" t="s">
        <v>25</v>
      </c>
      <c r="R3" s="28">
        <v>12.0</v>
      </c>
      <c r="S3" s="28" t="s">
        <v>25</v>
      </c>
      <c r="T3" s="28">
        <v>15.0</v>
      </c>
      <c r="U3" s="28" t="s">
        <v>25</v>
      </c>
      <c r="V3" s="28">
        <v>17.0</v>
      </c>
      <c r="W3" s="31" t="s">
        <v>25</v>
      </c>
      <c r="X3" s="28">
        <v>13.0</v>
      </c>
      <c r="Y3" s="28" t="s">
        <v>25</v>
      </c>
      <c r="Z3" s="28">
        <v>12.0</v>
      </c>
      <c r="AA3" s="28" t="s">
        <v>25</v>
      </c>
      <c r="AB3" s="28">
        <v>10.0</v>
      </c>
      <c r="AC3" s="28" t="s">
        <v>25</v>
      </c>
      <c r="AD3" s="28">
        <v>20.0</v>
      </c>
      <c r="AE3" s="28" t="s">
        <v>25</v>
      </c>
      <c r="AF3" s="28">
        <v>10.0</v>
      </c>
      <c r="AG3" s="28" t="s">
        <v>25</v>
      </c>
      <c r="AH3" s="28">
        <v>17.0</v>
      </c>
      <c r="AI3" s="28" t="s">
        <v>25</v>
      </c>
      <c r="AJ3" s="28">
        <v>18.0</v>
      </c>
      <c r="AK3" s="28" t="s">
        <v>25</v>
      </c>
      <c r="AL3" s="28">
        <v>17.0</v>
      </c>
      <c r="AM3" s="28" t="s">
        <v>25</v>
      </c>
      <c r="AN3" s="28">
        <v>21.0</v>
      </c>
      <c r="AO3" s="127"/>
      <c r="AP3" s="127"/>
      <c r="AQ3" s="127"/>
      <c r="AR3" s="127"/>
    </row>
    <row r="4">
      <c r="A4" s="28" t="s">
        <v>28</v>
      </c>
      <c r="B4" s="28">
        <v>6.0</v>
      </c>
      <c r="C4" s="31" t="s">
        <v>28</v>
      </c>
      <c r="D4" s="28">
        <v>6.0</v>
      </c>
      <c r="E4" s="28" t="s">
        <v>28</v>
      </c>
      <c r="F4" s="28">
        <v>10.0</v>
      </c>
      <c r="G4" s="28" t="s">
        <v>28</v>
      </c>
      <c r="H4" s="28">
        <v>7.0</v>
      </c>
      <c r="I4" s="28" t="s">
        <v>28</v>
      </c>
      <c r="J4" s="28">
        <v>9.0</v>
      </c>
      <c r="K4" s="28" t="s">
        <v>28</v>
      </c>
      <c r="L4" s="28">
        <v>6.0</v>
      </c>
      <c r="M4" s="31" t="s">
        <v>28</v>
      </c>
      <c r="N4" s="28">
        <v>4.0</v>
      </c>
      <c r="O4" s="28" t="s">
        <v>28</v>
      </c>
      <c r="P4" s="28">
        <v>5.0</v>
      </c>
      <c r="Q4" s="28" t="s">
        <v>28</v>
      </c>
      <c r="R4" s="28">
        <v>11.0</v>
      </c>
      <c r="S4" s="28" t="s">
        <v>28</v>
      </c>
      <c r="T4" s="28">
        <v>9.0</v>
      </c>
      <c r="U4" s="28" t="s">
        <v>28</v>
      </c>
      <c r="V4" s="28">
        <v>5.0</v>
      </c>
      <c r="W4" s="31" t="s">
        <v>28</v>
      </c>
      <c r="X4" s="28">
        <v>9.0</v>
      </c>
      <c r="Y4" s="28" t="s">
        <v>28</v>
      </c>
      <c r="Z4" s="28">
        <v>3.0</v>
      </c>
      <c r="AA4" s="28" t="s">
        <v>28</v>
      </c>
      <c r="AB4" s="28">
        <v>2.0</v>
      </c>
      <c r="AC4" s="28" t="s">
        <v>28</v>
      </c>
      <c r="AD4" s="28">
        <v>11.0</v>
      </c>
      <c r="AE4" s="28" t="s">
        <v>28</v>
      </c>
      <c r="AF4" s="28">
        <v>3.0</v>
      </c>
      <c r="AG4" s="31" t="s">
        <v>28</v>
      </c>
      <c r="AH4" s="28">
        <v>8.0</v>
      </c>
      <c r="AI4" s="28" t="s">
        <v>28</v>
      </c>
      <c r="AJ4" s="28">
        <v>7.0</v>
      </c>
      <c r="AK4" s="28" t="s">
        <v>28</v>
      </c>
      <c r="AL4" s="28">
        <v>4.0</v>
      </c>
      <c r="AM4" s="28" t="s">
        <v>28</v>
      </c>
      <c r="AN4" s="28">
        <v>7.0</v>
      </c>
      <c r="AO4" s="127"/>
      <c r="AP4" s="127"/>
      <c r="AQ4" s="127"/>
      <c r="AR4" s="127"/>
    </row>
    <row r="5">
      <c r="A5" s="28" t="s">
        <v>33</v>
      </c>
      <c r="B5" s="28">
        <v>5.0</v>
      </c>
      <c r="C5" s="31" t="s">
        <v>33</v>
      </c>
      <c r="D5" s="28">
        <v>3.0</v>
      </c>
      <c r="E5" s="28" t="s">
        <v>33</v>
      </c>
      <c r="F5" s="28">
        <v>5.0</v>
      </c>
      <c r="G5" s="28" t="s">
        <v>33</v>
      </c>
      <c r="H5" s="28">
        <v>11.0</v>
      </c>
      <c r="I5" s="28" t="s">
        <v>33</v>
      </c>
      <c r="J5" s="28">
        <v>9.0</v>
      </c>
      <c r="K5" s="28" t="s">
        <v>33</v>
      </c>
      <c r="L5" s="28">
        <v>9.0</v>
      </c>
      <c r="M5" s="31" t="s">
        <v>33</v>
      </c>
      <c r="N5" s="28">
        <v>2.0</v>
      </c>
      <c r="O5" s="28" t="s">
        <v>33</v>
      </c>
      <c r="P5" s="28">
        <v>9.0</v>
      </c>
      <c r="Q5" s="28" t="s">
        <v>33</v>
      </c>
      <c r="R5" s="28">
        <v>8.0</v>
      </c>
      <c r="S5" s="28" t="s">
        <v>33</v>
      </c>
      <c r="T5" s="28">
        <v>10.0</v>
      </c>
      <c r="U5" s="28" t="s">
        <v>33</v>
      </c>
      <c r="V5" s="28">
        <v>4.0</v>
      </c>
      <c r="W5" s="31" t="s">
        <v>33</v>
      </c>
      <c r="X5" s="28">
        <v>3.0</v>
      </c>
      <c r="Y5" s="28" t="s">
        <v>33</v>
      </c>
      <c r="Z5" s="28">
        <v>16.0</v>
      </c>
      <c r="AA5" s="28" t="s">
        <v>33</v>
      </c>
      <c r="AB5" s="28">
        <v>6.0</v>
      </c>
      <c r="AC5" s="28" t="s">
        <v>33</v>
      </c>
      <c r="AD5" s="28">
        <v>11.0</v>
      </c>
      <c r="AE5" s="28" t="s">
        <v>33</v>
      </c>
      <c r="AF5" s="28">
        <v>6.0</v>
      </c>
      <c r="AG5" s="31" t="s">
        <v>33</v>
      </c>
      <c r="AH5" s="28">
        <v>4.0</v>
      </c>
      <c r="AI5" s="28" t="s">
        <v>33</v>
      </c>
      <c r="AJ5" s="28">
        <v>12.0</v>
      </c>
      <c r="AK5" s="28" t="s">
        <v>33</v>
      </c>
      <c r="AL5" s="28">
        <v>11.0</v>
      </c>
      <c r="AM5" s="28" t="s">
        <v>33</v>
      </c>
      <c r="AN5" s="28">
        <v>11.0</v>
      </c>
      <c r="AO5" s="127"/>
      <c r="AP5" s="127"/>
      <c r="AQ5" s="127"/>
      <c r="AR5" s="127"/>
    </row>
    <row r="6">
      <c r="A6" s="28" t="s">
        <v>35</v>
      </c>
      <c r="B6" s="28">
        <v>7.0</v>
      </c>
      <c r="C6" s="28" t="s">
        <v>35</v>
      </c>
      <c r="D6" s="28">
        <v>5.0</v>
      </c>
      <c r="E6" s="28" t="s">
        <v>35</v>
      </c>
      <c r="F6" s="28">
        <v>10.0</v>
      </c>
      <c r="G6" s="28" t="s">
        <v>35</v>
      </c>
      <c r="H6" s="28">
        <v>11.0</v>
      </c>
      <c r="I6" s="28" t="s">
        <v>35</v>
      </c>
      <c r="J6" s="28">
        <v>12.0</v>
      </c>
      <c r="K6" s="28" t="s">
        <v>35</v>
      </c>
      <c r="L6" s="28">
        <v>7.0</v>
      </c>
      <c r="M6" s="31" t="s">
        <v>35</v>
      </c>
      <c r="N6" s="28">
        <v>7.0</v>
      </c>
      <c r="O6" s="28" t="s">
        <v>35</v>
      </c>
      <c r="P6" s="28">
        <v>8.0</v>
      </c>
      <c r="Q6" s="28" t="s">
        <v>35</v>
      </c>
      <c r="R6" s="28">
        <v>9.0</v>
      </c>
      <c r="S6" s="28" t="s">
        <v>35</v>
      </c>
      <c r="T6" s="28">
        <v>18.0</v>
      </c>
      <c r="U6" s="28" t="s">
        <v>35</v>
      </c>
      <c r="V6" s="28">
        <v>6.0</v>
      </c>
      <c r="W6" s="31" t="s">
        <v>35</v>
      </c>
      <c r="X6" s="28">
        <v>5.0</v>
      </c>
      <c r="Y6" s="28" t="s">
        <v>35</v>
      </c>
      <c r="Z6" s="28">
        <v>13.0</v>
      </c>
      <c r="AA6" s="28" t="s">
        <v>35</v>
      </c>
      <c r="AB6" s="28">
        <v>13.0</v>
      </c>
      <c r="AC6" s="28" t="s">
        <v>35</v>
      </c>
      <c r="AD6" s="28">
        <v>11.0</v>
      </c>
      <c r="AE6" s="28" t="s">
        <v>35</v>
      </c>
      <c r="AF6" s="28">
        <v>10.0</v>
      </c>
      <c r="AG6" s="31" t="s">
        <v>35</v>
      </c>
      <c r="AH6" s="28">
        <v>9.0</v>
      </c>
      <c r="AI6" s="28" t="s">
        <v>35</v>
      </c>
      <c r="AJ6" s="28">
        <v>17.0</v>
      </c>
      <c r="AK6" s="28" t="s">
        <v>35</v>
      </c>
      <c r="AL6" s="28">
        <v>15.0</v>
      </c>
      <c r="AM6" s="28" t="s">
        <v>35</v>
      </c>
      <c r="AN6" s="28">
        <v>18.0</v>
      </c>
      <c r="AO6" s="127"/>
      <c r="AP6" s="127"/>
      <c r="AQ6" s="127"/>
      <c r="AR6" s="127"/>
    </row>
    <row r="7">
      <c r="A7" s="28" t="s">
        <v>40</v>
      </c>
      <c r="B7" s="28">
        <v>14.0</v>
      </c>
      <c r="C7" s="28" t="s">
        <v>40</v>
      </c>
      <c r="D7" s="28">
        <v>9.0</v>
      </c>
      <c r="E7" s="28" t="s">
        <v>40</v>
      </c>
      <c r="F7" s="28">
        <v>12.0</v>
      </c>
      <c r="G7" s="28" t="s">
        <v>40</v>
      </c>
      <c r="H7" s="28">
        <v>7.0</v>
      </c>
      <c r="I7" s="28" t="s">
        <v>40</v>
      </c>
      <c r="J7" s="28">
        <v>16.0</v>
      </c>
      <c r="K7" s="28" t="s">
        <v>40</v>
      </c>
      <c r="L7" s="28">
        <v>11.0</v>
      </c>
      <c r="M7" s="28" t="s">
        <v>40</v>
      </c>
      <c r="N7" s="28">
        <v>6.0</v>
      </c>
      <c r="O7" s="28" t="s">
        <v>40</v>
      </c>
      <c r="P7" s="28">
        <v>21.0</v>
      </c>
      <c r="Q7" s="28" t="s">
        <v>40</v>
      </c>
      <c r="R7" s="28">
        <v>14.0</v>
      </c>
      <c r="S7" s="28" t="s">
        <v>40</v>
      </c>
      <c r="T7" s="28">
        <v>21.0</v>
      </c>
      <c r="U7" s="28" t="s">
        <v>40</v>
      </c>
      <c r="V7" s="28">
        <v>10.0</v>
      </c>
      <c r="W7" s="28" t="s">
        <v>40</v>
      </c>
      <c r="X7" s="28">
        <v>11.0</v>
      </c>
      <c r="Y7" s="28" t="s">
        <v>40</v>
      </c>
      <c r="Z7" s="28">
        <v>14.0</v>
      </c>
      <c r="AA7" s="28" t="s">
        <v>40</v>
      </c>
      <c r="AB7" s="28">
        <v>15.0</v>
      </c>
      <c r="AC7" s="28" t="s">
        <v>40</v>
      </c>
      <c r="AD7" s="28">
        <v>24.0</v>
      </c>
      <c r="AE7" s="28" t="s">
        <v>40</v>
      </c>
      <c r="AF7" s="28">
        <v>8.0</v>
      </c>
      <c r="AG7" s="31" t="s">
        <v>40</v>
      </c>
      <c r="AH7" s="28">
        <v>10.0</v>
      </c>
      <c r="AI7" s="28" t="s">
        <v>40</v>
      </c>
      <c r="AJ7" s="28">
        <v>13.0</v>
      </c>
      <c r="AK7" s="28" t="s">
        <v>40</v>
      </c>
      <c r="AL7" s="28">
        <v>14.0</v>
      </c>
      <c r="AM7" s="28" t="s">
        <v>40</v>
      </c>
      <c r="AN7" s="28">
        <v>25.0</v>
      </c>
      <c r="AO7" s="127"/>
      <c r="AP7" s="127"/>
      <c r="AQ7" s="127"/>
      <c r="AR7" s="127"/>
    </row>
    <row r="8">
      <c r="A8" s="28" t="s">
        <v>45</v>
      </c>
      <c r="B8" s="28">
        <v>3.0</v>
      </c>
      <c r="C8" s="28" t="s">
        <v>45</v>
      </c>
      <c r="D8" s="28">
        <v>5.0</v>
      </c>
      <c r="E8" s="28" t="s">
        <v>45</v>
      </c>
      <c r="F8" s="28">
        <v>5.0</v>
      </c>
      <c r="G8" s="28" t="s">
        <v>45</v>
      </c>
      <c r="H8" s="28">
        <v>6.0</v>
      </c>
      <c r="I8" s="28" t="s">
        <v>45</v>
      </c>
      <c r="J8" s="28">
        <v>6.0</v>
      </c>
      <c r="K8" s="28" t="s">
        <v>45</v>
      </c>
      <c r="L8" s="28">
        <v>1.0</v>
      </c>
      <c r="M8" s="28" t="s">
        <v>45</v>
      </c>
      <c r="N8" s="28">
        <v>4.0</v>
      </c>
      <c r="O8" s="28" t="s">
        <v>45</v>
      </c>
      <c r="P8" s="28">
        <v>6.0</v>
      </c>
      <c r="Q8" s="28" t="s">
        <v>45</v>
      </c>
      <c r="R8" s="28">
        <v>4.0</v>
      </c>
      <c r="S8" s="28" t="s">
        <v>45</v>
      </c>
      <c r="T8" s="28">
        <v>3.0</v>
      </c>
      <c r="U8" s="28" t="s">
        <v>45</v>
      </c>
      <c r="V8" s="28">
        <v>1.0</v>
      </c>
      <c r="W8" s="28" t="s">
        <v>45</v>
      </c>
      <c r="X8" s="28">
        <v>1.0</v>
      </c>
      <c r="Y8" s="28" t="s">
        <v>45</v>
      </c>
      <c r="Z8" s="28">
        <v>4.0</v>
      </c>
      <c r="AA8" s="28" t="s">
        <v>45</v>
      </c>
      <c r="AB8" s="28">
        <v>4.0</v>
      </c>
      <c r="AC8" s="28" t="s">
        <v>45</v>
      </c>
      <c r="AD8" s="28">
        <v>3.0</v>
      </c>
      <c r="AE8" s="28" t="s">
        <v>45</v>
      </c>
      <c r="AF8" s="28">
        <v>4.0</v>
      </c>
      <c r="AG8" s="31" t="s">
        <v>45</v>
      </c>
      <c r="AH8" s="28">
        <v>3.0</v>
      </c>
      <c r="AI8" s="28" t="s">
        <v>45</v>
      </c>
      <c r="AJ8" s="28">
        <v>4.0</v>
      </c>
      <c r="AK8" s="28" t="s">
        <v>45</v>
      </c>
      <c r="AL8" s="28">
        <v>6.0</v>
      </c>
      <c r="AM8" s="28" t="s">
        <v>45</v>
      </c>
      <c r="AN8" s="28">
        <v>3.0</v>
      </c>
      <c r="AO8" s="127"/>
      <c r="AP8" s="127"/>
      <c r="AQ8" s="127"/>
      <c r="AR8" s="127"/>
    </row>
    <row r="9">
      <c r="A9" s="28" t="s">
        <v>16</v>
      </c>
      <c r="B9" s="28">
        <v>13.0</v>
      </c>
      <c r="C9" s="31" t="s">
        <v>16</v>
      </c>
      <c r="D9" s="28">
        <v>3.0</v>
      </c>
      <c r="E9" s="28" t="s">
        <v>16</v>
      </c>
      <c r="F9" s="28">
        <v>9.0</v>
      </c>
      <c r="G9" s="28" t="s">
        <v>16</v>
      </c>
      <c r="H9" s="28">
        <v>4.0</v>
      </c>
      <c r="I9" s="28" t="s">
        <v>16</v>
      </c>
      <c r="J9" s="28">
        <v>9.0</v>
      </c>
      <c r="K9" s="28" t="s">
        <v>16</v>
      </c>
      <c r="L9" s="28">
        <v>7.0</v>
      </c>
      <c r="M9" s="28" t="s">
        <v>16</v>
      </c>
      <c r="N9" s="28">
        <v>7.0</v>
      </c>
      <c r="O9" s="31" t="s">
        <v>16</v>
      </c>
      <c r="P9" s="28">
        <v>7.0</v>
      </c>
      <c r="Q9" s="28" t="s">
        <v>16</v>
      </c>
      <c r="R9" s="28">
        <v>2.0</v>
      </c>
      <c r="S9" s="28" t="s">
        <v>16</v>
      </c>
      <c r="T9" s="28">
        <v>6.0</v>
      </c>
      <c r="U9" s="28" t="s">
        <v>16</v>
      </c>
      <c r="V9" s="28">
        <v>11.0</v>
      </c>
      <c r="W9" s="28" t="s">
        <v>16</v>
      </c>
      <c r="X9" s="28">
        <v>4.0</v>
      </c>
      <c r="Y9" s="28" t="s">
        <v>16</v>
      </c>
      <c r="Z9" s="28">
        <v>3.0</v>
      </c>
      <c r="AA9" s="28" t="s">
        <v>16</v>
      </c>
      <c r="AB9" s="28">
        <v>6.0</v>
      </c>
      <c r="AC9" s="28" t="s">
        <v>16</v>
      </c>
      <c r="AD9" s="28">
        <v>11.0</v>
      </c>
      <c r="AE9" s="28" t="s">
        <v>16</v>
      </c>
      <c r="AF9" s="28">
        <v>13.0</v>
      </c>
      <c r="AG9" s="31" t="s">
        <v>16</v>
      </c>
      <c r="AH9" s="28">
        <v>7.0</v>
      </c>
      <c r="AI9" s="28" t="s">
        <v>16</v>
      </c>
      <c r="AJ9" s="28">
        <v>5.0</v>
      </c>
      <c r="AK9" s="28" t="s">
        <v>16</v>
      </c>
      <c r="AL9" s="28">
        <v>5.0</v>
      </c>
      <c r="AM9" s="28" t="s">
        <v>16</v>
      </c>
      <c r="AN9" s="28">
        <v>8.0</v>
      </c>
      <c r="AO9" s="127"/>
      <c r="AP9" s="127"/>
      <c r="AQ9" s="127"/>
      <c r="AR9" s="127"/>
    </row>
    <row r="10">
      <c r="A10" s="28" t="s">
        <v>31</v>
      </c>
      <c r="B10" s="28">
        <v>5.0</v>
      </c>
      <c r="C10" s="31" t="s">
        <v>31</v>
      </c>
      <c r="D10" s="28">
        <v>7.0</v>
      </c>
      <c r="E10" s="31" t="s">
        <v>31</v>
      </c>
      <c r="F10" s="28">
        <v>9.0</v>
      </c>
      <c r="G10" s="28" t="s">
        <v>31</v>
      </c>
      <c r="H10" s="28">
        <v>5.0</v>
      </c>
      <c r="I10" s="28" t="s">
        <v>31</v>
      </c>
      <c r="J10" s="28">
        <v>10.0</v>
      </c>
      <c r="K10" s="28" t="s">
        <v>31</v>
      </c>
      <c r="L10" s="28">
        <v>8.0</v>
      </c>
      <c r="M10" s="31" t="s">
        <v>31</v>
      </c>
      <c r="N10" s="28">
        <v>5.0</v>
      </c>
      <c r="O10" s="31" t="s">
        <v>31</v>
      </c>
      <c r="P10" s="28">
        <v>9.0</v>
      </c>
      <c r="Q10" s="28" t="s">
        <v>31</v>
      </c>
      <c r="R10" s="28">
        <v>5.0</v>
      </c>
      <c r="S10" s="28" t="s">
        <v>31</v>
      </c>
      <c r="T10" s="28">
        <v>13.0</v>
      </c>
      <c r="U10" s="28" t="s">
        <v>31</v>
      </c>
      <c r="V10" s="28">
        <v>9.0</v>
      </c>
      <c r="W10" s="31" t="s">
        <v>31</v>
      </c>
      <c r="X10" s="28">
        <v>7.0</v>
      </c>
      <c r="Y10" s="31" t="s">
        <v>31</v>
      </c>
      <c r="Z10" s="28">
        <v>9.0</v>
      </c>
      <c r="AA10" s="28" t="s">
        <v>31</v>
      </c>
      <c r="AB10" s="28">
        <v>8.0</v>
      </c>
      <c r="AC10" s="28" t="s">
        <v>31</v>
      </c>
      <c r="AD10" s="28">
        <v>11.0</v>
      </c>
      <c r="AE10" s="28" t="s">
        <v>31</v>
      </c>
      <c r="AF10" s="28">
        <v>7.0</v>
      </c>
      <c r="AG10" s="28" t="s">
        <v>31</v>
      </c>
      <c r="AH10" s="28">
        <v>5.0</v>
      </c>
      <c r="AI10" s="31" t="s">
        <v>31</v>
      </c>
      <c r="AJ10" s="28">
        <v>11.0</v>
      </c>
      <c r="AK10" s="28" t="s">
        <v>31</v>
      </c>
      <c r="AL10" s="28">
        <v>6.0</v>
      </c>
      <c r="AM10" s="28" t="s">
        <v>31</v>
      </c>
      <c r="AN10" s="28">
        <v>11.0</v>
      </c>
      <c r="AO10" s="127"/>
      <c r="AP10" s="127"/>
      <c r="AQ10" s="127"/>
      <c r="AR10" s="127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134"/>
      <c r="AP11" s="134"/>
      <c r="AQ11" s="134"/>
      <c r="AR11" s="134"/>
    </row>
    <row r="12">
      <c r="A12" s="76"/>
      <c r="B12" s="79">
        <v>70.0</v>
      </c>
      <c r="C12" s="76"/>
      <c r="D12" s="79">
        <v>59.0</v>
      </c>
      <c r="E12" s="76"/>
      <c r="F12" s="79">
        <v>83.0</v>
      </c>
      <c r="G12" s="76"/>
      <c r="H12" s="79">
        <v>66.0</v>
      </c>
      <c r="I12" s="76"/>
      <c r="J12" s="79">
        <v>97.0</v>
      </c>
      <c r="K12" s="79"/>
      <c r="L12" s="79">
        <v>69.0</v>
      </c>
      <c r="M12" s="76"/>
      <c r="N12" s="79">
        <v>56.0</v>
      </c>
      <c r="O12" s="76"/>
      <c r="P12" s="79">
        <v>87.0</v>
      </c>
      <c r="Q12" s="76"/>
      <c r="R12" s="79">
        <v>70.0</v>
      </c>
      <c r="S12" s="76"/>
      <c r="T12" s="79">
        <v>101.0</v>
      </c>
      <c r="U12" s="76"/>
      <c r="V12" s="79">
        <v>68.0</v>
      </c>
      <c r="W12" s="76"/>
      <c r="X12" s="79">
        <v>58.0</v>
      </c>
      <c r="Y12" s="76"/>
      <c r="Z12" s="79">
        <v>85.0</v>
      </c>
      <c r="AA12" s="76"/>
      <c r="AB12" s="79">
        <v>68.0</v>
      </c>
      <c r="AC12" s="79"/>
      <c r="AD12" s="79">
        <v>108.0</v>
      </c>
      <c r="AE12" s="79"/>
      <c r="AF12" s="79">
        <v>68.0</v>
      </c>
      <c r="AG12" s="79"/>
      <c r="AH12" s="79">
        <v>69.0</v>
      </c>
      <c r="AI12" s="79"/>
      <c r="AJ12" s="79">
        <v>96.0</v>
      </c>
      <c r="AK12" s="79"/>
      <c r="AL12" s="79">
        <v>81.0</v>
      </c>
      <c r="AM12" s="79"/>
      <c r="AN12" s="79">
        <v>110.0</v>
      </c>
      <c r="AO12" s="135"/>
      <c r="AP12" s="135"/>
      <c r="AQ12" s="135"/>
      <c r="AR12" s="135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134"/>
      <c r="AP13" s="134"/>
      <c r="AQ13" s="134"/>
      <c r="AR13" s="134"/>
    </row>
    <row r="14">
      <c r="A14" s="28" t="s">
        <v>48</v>
      </c>
      <c r="B14" s="28">
        <v>9.0</v>
      </c>
      <c r="C14" s="28" t="s">
        <v>48</v>
      </c>
      <c r="D14" s="28">
        <v>14.0</v>
      </c>
      <c r="E14" s="28" t="s">
        <v>48</v>
      </c>
      <c r="F14" s="28">
        <v>3.0</v>
      </c>
      <c r="G14" s="28" t="s">
        <v>48</v>
      </c>
      <c r="H14" s="28">
        <v>8.0</v>
      </c>
      <c r="I14" s="28" t="s">
        <v>48</v>
      </c>
      <c r="J14" s="28">
        <v>14.0</v>
      </c>
      <c r="K14" s="28" t="s">
        <v>48</v>
      </c>
      <c r="L14" s="28">
        <v>11.0</v>
      </c>
      <c r="M14" s="28" t="s">
        <v>48</v>
      </c>
      <c r="N14" s="28">
        <v>18.0</v>
      </c>
      <c r="O14" s="28" t="s">
        <v>48</v>
      </c>
      <c r="P14" s="28">
        <v>11.0</v>
      </c>
      <c r="Q14" s="28" t="s">
        <v>48</v>
      </c>
      <c r="R14" s="28">
        <v>4.0</v>
      </c>
      <c r="S14" s="28" t="s">
        <v>48</v>
      </c>
      <c r="T14" s="28">
        <v>10.0</v>
      </c>
      <c r="U14" s="28" t="s">
        <v>48</v>
      </c>
      <c r="V14" s="28">
        <v>13.0</v>
      </c>
      <c r="W14" s="28" t="s">
        <v>48</v>
      </c>
      <c r="X14" s="28">
        <v>17.0</v>
      </c>
      <c r="Y14" s="28" t="s">
        <v>48</v>
      </c>
      <c r="Z14" s="28">
        <v>5.0</v>
      </c>
      <c r="AA14" s="28" t="s">
        <v>48</v>
      </c>
      <c r="AB14" s="28">
        <v>7.0</v>
      </c>
      <c r="AC14" s="28" t="s">
        <v>48</v>
      </c>
      <c r="AD14" s="28">
        <v>16.0</v>
      </c>
      <c r="AE14" s="28" t="s">
        <v>48</v>
      </c>
      <c r="AF14" s="28">
        <v>9.0</v>
      </c>
      <c r="AG14" s="28" t="s">
        <v>48</v>
      </c>
      <c r="AH14" s="28">
        <v>15.0</v>
      </c>
      <c r="AI14" s="28" t="s">
        <v>48</v>
      </c>
      <c r="AJ14" s="28">
        <v>10.0</v>
      </c>
      <c r="AK14" s="28" t="s">
        <v>48</v>
      </c>
      <c r="AL14" s="28">
        <v>6.0</v>
      </c>
      <c r="AM14" s="28" t="s">
        <v>48</v>
      </c>
      <c r="AN14" s="28">
        <v>15.0</v>
      </c>
      <c r="AO14" s="127"/>
      <c r="AP14" s="127"/>
      <c r="AQ14" s="127"/>
      <c r="AR14" s="127"/>
    </row>
    <row r="15">
      <c r="A15" s="28" t="s">
        <v>50</v>
      </c>
      <c r="B15" s="28">
        <v>25.0</v>
      </c>
      <c r="C15" s="28" t="s">
        <v>50</v>
      </c>
      <c r="D15" s="28">
        <v>22.0</v>
      </c>
      <c r="E15" s="28" t="s">
        <v>50</v>
      </c>
      <c r="F15" s="28">
        <v>28.0</v>
      </c>
      <c r="G15" s="28" t="s">
        <v>50</v>
      </c>
      <c r="H15" s="28">
        <v>16.0</v>
      </c>
      <c r="I15" s="28" t="s">
        <v>50</v>
      </c>
      <c r="J15" s="28">
        <v>25.0</v>
      </c>
      <c r="K15" s="28" t="s">
        <v>50</v>
      </c>
      <c r="L15" s="28">
        <v>18.0</v>
      </c>
      <c r="M15" s="28" t="s">
        <v>50</v>
      </c>
      <c r="N15" s="28">
        <v>19.0</v>
      </c>
      <c r="O15" s="28" t="s">
        <v>50</v>
      </c>
      <c r="P15" s="28">
        <v>23.0</v>
      </c>
      <c r="Q15" s="28" t="s">
        <v>50</v>
      </c>
      <c r="R15" s="28">
        <v>17.0</v>
      </c>
      <c r="S15" s="28" t="s">
        <v>50</v>
      </c>
      <c r="T15" s="28">
        <v>28.0</v>
      </c>
      <c r="U15" s="28" t="s">
        <v>50</v>
      </c>
      <c r="V15" s="28">
        <v>19.0</v>
      </c>
      <c r="W15" s="28" t="s">
        <v>50</v>
      </c>
      <c r="X15" s="28">
        <v>16.0</v>
      </c>
      <c r="Y15" s="28" t="s">
        <v>50</v>
      </c>
      <c r="Z15" s="28">
        <v>28.0</v>
      </c>
      <c r="AA15" s="28" t="s">
        <v>50</v>
      </c>
      <c r="AB15" s="28">
        <v>16.0</v>
      </c>
      <c r="AC15" s="28" t="s">
        <v>50</v>
      </c>
      <c r="AD15" s="28">
        <v>26.0</v>
      </c>
      <c r="AE15" s="28" t="s">
        <v>50</v>
      </c>
      <c r="AF15" s="28">
        <v>24.0</v>
      </c>
      <c r="AG15" s="28" t="s">
        <v>50</v>
      </c>
      <c r="AH15" s="28">
        <v>17.0</v>
      </c>
      <c r="AI15" s="28" t="s">
        <v>50</v>
      </c>
      <c r="AJ15" s="28">
        <v>25.0</v>
      </c>
      <c r="AK15" s="28" t="s">
        <v>50</v>
      </c>
      <c r="AL15" s="28">
        <v>26.0</v>
      </c>
      <c r="AM15" s="28" t="s">
        <v>50</v>
      </c>
      <c r="AN15" s="28">
        <v>29.0</v>
      </c>
      <c r="AO15" s="127"/>
      <c r="AP15" s="127"/>
      <c r="AQ15" s="127"/>
      <c r="AR15" s="127"/>
    </row>
    <row r="16">
      <c r="A16" s="28" t="s">
        <v>52</v>
      </c>
      <c r="B16" s="28">
        <v>11.0</v>
      </c>
      <c r="C16" s="28" t="s">
        <v>52</v>
      </c>
      <c r="D16" s="28">
        <v>8.0</v>
      </c>
      <c r="E16" s="28" t="s">
        <v>52</v>
      </c>
      <c r="F16" s="28">
        <v>22.0</v>
      </c>
      <c r="G16" s="28" t="s">
        <v>52</v>
      </c>
      <c r="H16" s="28">
        <v>15.0</v>
      </c>
      <c r="I16" s="28" t="s">
        <v>52</v>
      </c>
      <c r="J16" s="28">
        <v>18.0</v>
      </c>
      <c r="K16" s="28" t="s">
        <v>52</v>
      </c>
      <c r="L16" s="28">
        <v>14.0</v>
      </c>
      <c r="M16" s="28" t="s">
        <v>52</v>
      </c>
      <c r="N16" s="28">
        <v>8.0</v>
      </c>
      <c r="O16" s="28" t="s">
        <v>52</v>
      </c>
      <c r="P16" s="28">
        <v>18.0</v>
      </c>
      <c r="Q16" s="28" t="s">
        <v>52</v>
      </c>
      <c r="R16" s="28">
        <v>21.0</v>
      </c>
      <c r="S16" s="28" t="s">
        <v>52</v>
      </c>
      <c r="T16" s="28">
        <v>19.0</v>
      </c>
      <c r="U16" s="28" t="s">
        <v>52</v>
      </c>
      <c r="V16" s="28">
        <v>19.0</v>
      </c>
      <c r="W16" s="28" t="s">
        <v>52</v>
      </c>
      <c r="X16" s="28">
        <v>9.0</v>
      </c>
      <c r="Y16" s="28" t="s">
        <v>52</v>
      </c>
      <c r="Z16" s="28">
        <v>20.0</v>
      </c>
      <c r="AA16" s="28" t="s">
        <v>52</v>
      </c>
      <c r="AB16" s="28">
        <v>12.0</v>
      </c>
      <c r="AC16" s="28" t="s">
        <v>52</v>
      </c>
      <c r="AD16" s="28">
        <v>25.0</v>
      </c>
      <c r="AE16" s="28" t="s">
        <v>52</v>
      </c>
      <c r="AF16" s="28">
        <v>14.0</v>
      </c>
      <c r="AG16" s="28" t="s">
        <v>52</v>
      </c>
      <c r="AH16" s="28">
        <v>15.0</v>
      </c>
      <c r="AI16" s="28" t="s">
        <v>52</v>
      </c>
      <c r="AJ16" s="28">
        <v>19.0</v>
      </c>
      <c r="AK16" s="28" t="s">
        <v>52</v>
      </c>
      <c r="AL16" s="28">
        <v>15.0</v>
      </c>
      <c r="AM16" s="28" t="s">
        <v>52</v>
      </c>
      <c r="AN16" s="28">
        <v>15.0</v>
      </c>
      <c r="AO16" s="127"/>
      <c r="AP16" s="127"/>
      <c r="AQ16" s="127"/>
      <c r="AR16" s="127"/>
    </row>
    <row r="17">
      <c r="A17" s="28" t="s">
        <v>55</v>
      </c>
      <c r="B17" s="28">
        <v>12.0</v>
      </c>
      <c r="C17" s="28" t="s">
        <v>55</v>
      </c>
      <c r="D17" s="28">
        <v>7.0</v>
      </c>
      <c r="E17" s="28" t="s">
        <v>55</v>
      </c>
      <c r="F17" s="28">
        <v>11.0</v>
      </c>
      <c r="G17" s="28" t="s">
        <v>55</v>
      </c>
      <c r="H17" s="28">
        <v>14.0</v>
      </c>
      <c r="I17" s="28" t="s">
        <v>55</v>
      </c>
      <c r="J17" s="28">
        <v>12.0</v>
      </c>
      <c r="K17" s="28" t="s">
        <v>55</v>
      </c>
      <c r="L17" s="28">
        <v>4.0</v>
      </c>
      <c r="M17" s="28" t="s">
        <v>55</v>
      </c>
      <c r="N17" s="28">
        <v>5.0</v>
      </c>
      <c r="O17" s="28" t="s">
        <v>55</v>
      </c>
      <c r="P17" s="28">
        <v>10.0</v>
      </c>
      <c r="Q17" s="28" t="s">
        <v>55</v>
      </c>
      <c r="R17" s="28">
        <v>10.0</v>
      </c>
      <c r="S17" s="28" t="s">
        <v>55</v>
      </c>
      <c r="T17" s="28">
        <v>13.0</v>
      </c>
      <c r="U17" s="28" t="s">
        <v>55</v>
      </c>
      <c r="V17" s="28">
        <v>2.0</v>
      </c>
      <c r="W17" s="28" t="s">
        <v>55</v>
      </c>
      <c r="X17" s="28">
        <v>11.0</v>
      </c>
      <c r="Y17" s="28" t="s">
        <v>55</v>
      </c>
      <c r="Z17" s="28">
        <v>10.0</v>
      </c>
      <c r="AA17" s="28" t="s">
        <v>55</v>
      </c>
      <c r="AB17" s="28">
        <v>12.0</v>
      </c>
      <c r="AC17" s="28" t="s">
        <v>55</v>
      </c>
      <c r="AD17" s="28">
        <v>9.0</v>
      </c>
      <c r="AE17" s="28" t="s">
        <v>55</v>
      </c>
      <c r="AF17" s="28">
        <v>8.0</v>
      </c>
      <c r="AG17" s="28" t="s">
        <v>55</v>
      </c>
      <c r="AH17" s="28">
        <v>7.0</v>
      </c>
      <c r="AI17" s="28" t="s">
        <v>55</v>
      </c>
      <c r="AJ17" s="28">
        <v>10.0</v>
      </c>
      <c r="AK17" s="28" t="s">
        <v>55</v>
      </c>
      <c r="AL17" s="28">
        <v>12.0</v>
      </c>
      <c r="AM17" s="28" t="s">
        <v>55</v>
      </c>
      <c r="AN17" s="28">
        <v>11.0</v>
      </c>
      <c r="AO17" s="127"/>
      <c r="AP17" s="127"/>
      <c r="AQ17" s="127"/>
      <c r="AR17" s="127"/>
    </row>
    <row r="18">
      <c r="A18" s="28" t="s">
        <v>57</v>
      </c>
      <c r="B18" s="28">
        <v>4.0</v>
      </c>
      <c r="C18" s="28" t="s">
        <v>57</v>
      </c>
      <c r="D18" s="28">
        <v>1.0</v>
      </c>
      <c r="E18" s="28" t="s">
        <v>57</v>
      </c>
      <c r="F18" s="28">
        <v>8.0</v>
      </c>
      <c r="G18" s="28" t="s">
        <v>57</v>
      </c>
      <c r="H18" s="28">
        <v>11.0</v>
      </c>
      <c r="I18" s="28" t="s">
        <v>57</v>
      </c>
      <c r="J18" s="28">
        <v>15.0</v>
      </c>
      <c r="K18" s="28" t="s">
        <v>57</v>
      </c>
      <c r="L18" s="28">
        <v>11.0</v>
      </c>
      <c r="M18" s="28" t="s">
        <v>57</v>
      </c>
      <c r="N18" s="28">
        <v>4.0</v>
      </c>
      <c r="O18" s="28" t="s">
        <v>57</v>
      </c>
      <c r="P18" s="28">
        <v>11.0</v>
      </c>
      <c r="Q18" s="28" t="s">
        <v>57</v>
      </c>
      <c r="R18" s="28">
        <v>13.0</v>
      </c>
      <c r="S18" s="28" t="s">
        <v>57</v>
      </c>
      <c r="T18" s="28">
        <v>15.0</v>
      </c>
      <c r="U18" s="28" t="s">
        <v>57</v>
      </c>
      <c r="V18" s="28">
        <v>9.0</v>
      </c>
      <c r="W18" s="28" t="s">
        <v>57</v>
      </c>
      <c r="X18" s="28">
        <v>4.0</v>
      </c>
      <c r="Y18" s="28" t="s">
        <v>57</v>
      </c>
      <c r="Z18" s="28">
        <v>11.0</v>
      </c>
      <c r="AA18" s="28" t="s">
        <v>57</v>
      </c>
      <c r="AB18" s="28">
        <v>11.0</v>
      </c>
      <c r="AC18" s="28" t="s">
        <v>57</v>
      </c>
      <c r="AD18" s="28">
        <v>18.0</v>
      </c>
      <c r="AE18" s="28" t="s">
        <v>57</v>
      </c>
      <c r="AF18" s="28">
        <v>9.0</v>
      </c>
      <c r="AG18" s="28" t="s">
        <v>57</v>
      </c>
      <c r="AH18" s="28">
        <v>9.0</v>
      </c>
      <c r="AI18" s="28" t="s">
        <v>57</v>
      </c>
      <c r="AJ18" s="28">
        <v>14.0</v>
      </c>
      <c r="AK18" s="28" t="s">
        <v>57</v>
      </c>
      <c r="AL18" s="28">
        <v>15.0</v>
      </c>
      <c r="AM18" s="28" t="s">
        <v>57</v>
      </c>
      <c r="AN18" s="28">
        <v>19.0</v>
      </c>
      <c r="AO18" s="127"/>
      <c r="AP18" s="127"/>
      <c r="AQ18" s="127"/>
      <c r="AR18" s="127"/>
    </row>
    <row r="19">
      <c r="A19" s="28" t="s">
        <v>59</v>
      </c>
      <c r="B19" s="28">
        <v>3.0</v>
      </c>
      <c r="C19" s="28" t="s">
        <v>59</v>
      </c>
      <c r="D19" s="28">
        <v>2.0</v>
      </c>
      <c r="E19" s="28" t="s">
        <v>59</v>
      </c>
      <c r="F19" s="28">
        <v>3.0</v>
      </c>
      <c r="G19" s="28" t="s">
        <v>59</v>
      </c>
      <c r="H19" s="28">
        <v>1.0</v>
      </c>
      <c r="I19" s="28" t="s">
        <v>59</v>
      </c>
      <c r="J19" s="28">
        <v>5.0</v>
      </c>
      <c r="K19" s="28" t="s">
        <v>59</v>
      </c>
      <c r="L19" s="28">
        <v>8.0</v>
      </c>
      <c r="M19" s="28" t="s">
        <v>61</v>
      </c>
      <c r="N19" s="28">
        <v>2.0</v>
      </c>
      <c r="O19" s="28" t="s">
        <v>59</v>
      </c>
      <c r="P19" s="28">
        <v>3.0</v>
      </c>
      <c r="Q19" s="28" t="s">
        <v>59</v>
      </c>
      <c r="R19" s="28">
        <v>5.0</v>
      </c>
      <c r="S19" s="28" t="s">
        <v>59</v>
      </c>
      <c r="T19" s="28">
        <v>5.0</v>
      </c>
      <c r="U19" s="28" t="s">
        <v>59</v>
      </c>
      <c r="V19" s="28">
        <v>4.0</v>
      </c>
      <c r="W19" s="28" t="s">
        <v>61</v>
      </c>
      <c r="X19" s="28">
        <v>1.0</v>
      </c>
      <c r="Y19" s="28" t="s">
        <v>59</v>
      </c>
      <c r="Z19" s="28">
        <v>3.0</v>
      </c>
      <c r="AA19" s="28" t="s">
        <v>59</v>
      </c>
      <c r="AB19" s="28">
        <v>4.0</v>
      </c>
      <c r="AC19" s="28" t="s">
        <v>59</v>
      </c>
      <c r="AD19" s="28">
        <v>7.0</v>
      </c>
      <c r="AE19" s="28" t="s">
        <v>59</v>
      </c>
      <c r="AF19" s="28">
        <v>2.0</v>
      </c>
      <c r="AG19" s="28" t="s">
        <v>59</v>
      </c>
      <c r="AH19" s="28">
        <v>3.0</v>
      </c>
      <c r="AI19" s="28" t="s">
        <v>59</v>
      </c>
      <c r="AJ19" s="28">
        <v>8.0</v>
      </c>
      <c r="AK19" s="28" t="s">
        <v>59</v>
      </c>
      <c r="AL19" s="28">
        <v>4.0</v>
      </c>
      <c r="AM19" s="28" t="s">
        <v>59</v>
      </c>
      <c r="AN19" s="28">
        <v>8.0</v>
      </c>
      <c r="AO19" s="127"/>
      <c r="AP19" s="127"/>
      <c r="AQ19" s="127"/>
      <c r="AR19" s="127"/>
    </row>
    <row r="20">
      <c r="A20" s="28" t="s">
        <v>61</v>
      </c>
      <c r="B20" s="28">
        <v>5.0</v>
      </c>
      <c r="C20" s="28" t="s">
        <v>61</v>
      </c>
      <c r="D20" s="28">
        <v>4.0</v>
      </c>
      <c r="E20" s="28" t="s">
        <v>61</v>
      </c>
      <c r="F20" s="28">
        <v>7.0</v>
      </c>
      <c r="G20" s="28" t="s">
        <v>61</v>
      </c>
      <c r="H20" s="28">
        <v>1.0</v>
      </c>
      <c r="I20" s="28" t="s">
        <v>61</v>
      </c>
      <c r="J20" s="28">
        <v>7.0</v>
      </c>
      <c r="K20" s="28" t="s">
        <v>61</v>
      </c>
      <c r="L20" s="28">
        <v>4.0</v>
      </c>
      <c r="M20" s="76"/>
      <c r="N20" s="76"/>
      <c r="O20" s="28" t="s">
        <v>61</v>
      </c>
      <c r="P20" s="28">
        <v>11.0</v>
      </c>
      <c r="Q20" s="28" t="s">
        <v>61</v>
      </c>
      <c r="R20" s="28">
        <v>1.0</v>
      </c>
      <c r="S20" s="28" t="s">
        <v>61</v>
      </c>
      <c r="T20" s="28">
        <v>10.0</v>
      </c>
      <c r="U20" s="28" t="s">
        <v>61</v>
      </c>
      <c r="V20" s="28">
        <v>2.0</v>
      </c>
      <c r="W20" s="76"/>
      <c r="X20" s="76"/>
      <c r="Y20" s="28" t="s">
        <v>61</v>
      </c>
      <c r="Z20" s="28">
        <v>7.0</v>
      </c>
      <c r="AA20" s="28" t="s">
        <v>61</v>
      </c>
      <c r="AB20" s="28">
        <v>6.0</v>
      </c>
      <c r="AC20" s="28" t="s">
        <v>61</v>
      </c>
      <c r="AD20" s="28">
        <v>6.0</v>
      </c>
      <c r="AE20" s="28" t="s">
        <v>61</v>
      </c>
      <c r="AF20" s="28">
        <v>2.0</v>
      </c>
      <c r="AG20" s="28" t="s">
        <v>61</v>
      </c>
      <c r="AH20" s="28">
        <v>3.0</v>
      </c>
      <c r="AI20" s="28" t="s">
        <v>61</v>
      </c>
      <c r="AJ20" s="28">
        <v>9.0</v>
      </c>
      <c r="AK20" s="28" t="s">
        <v>61</v>
      </c>
      <c r="AL20" s="28">
        <v>3.0</v>
      </c>
      <c r="AM20" s="28" t="s">
        <v>61</v>
      </c>
      <c r="AN20" s="28">
        <v>12.0</v>
      </c>
      <c r="AO20" s="127"/>
      <c r="AP20" s="127"/>
      <c r="AQ20" s="127"/>
      <c r="AR20" s="127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9">
        <v>56.0</v>
      </c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28"/>
      <c r="AJ21" s="28"/>
      <c r="AK21" s="28"/>
      <c r="AL21" s="28"/>
      <c r="AM21" s="28"/>
      <c r="AN21" s="28"/>
      <c r="AO21" s="127"/>
      <c r="AP21" s="127"/>
      <c r="AQ21" s="127"/>
      <c r="AR21" s="127"/>
    </row>
    <row r="22">
      <c r="A22" s="76"/>
      <c r="B22" s="79">
        <v>69.0</v>
      </c>
      <c r="C22" s="76"/>
      <c r="D22" s="79">
        <v>58.0</v>
      </c>
      <c r="E22" s="76"/>
      <c r="F22" s="79">
        <v>82.0</v>
      </c>
      <c r="G22" s="76"/>
      <c r="H22" s="79">
        <v>66.0</v>
      </c>
      <c r="I22" s="76"/>
      <c r="J22" s="79">
        <v>96.0</v>
      </c>
      <c r="K22" s="79"/>
      <c r="L22" s="79">
        <v>70.0</v>
      </c>
      <c r="M22" s="76"/>
      <c r="N22" s="76"/>
      <c r="O22" s="76"/>
      <c r="P22" s="79">
        <v>87.0</v>
      </c>
      <c r="Q22" s="76"/>
      <c r="R22" s="79">
        <v>71.0</v>
      </c>
      <c r="S22" s="76"/>
      <c r="T22" s="79">
        <v>100.0</v>
      </c>
      <c r="U22" s="76"/>
      <c r="V22" s="79">
        <v>68.0</v>
      </c>
      <c r="W22" s="76"/>
      <c r="X22" s="79">
        <v>58.0</v>
      </c>
      <c r="Y22" s="76"/>
      <c r="Z22" s="79">
        <v>84.0</v>
      </c>
      <c r="AA22" s="76"/>
      <c r="AB22" s="79">
        <v>68.0</v>
      </c>
      <c r="AC22" s="79"/>
      <c r="AD22" s="79">
        <v>107.0</v>
      </c>
      <c r="AE22" s="79"/>
      <c r="AF22" s="79">
        <v>68.0</v>
      </c>
      <c r="AG22" s="79"/>
      <c r="AH22" s="79">
        <v>69.0</v>
      </c>
      <c r="AI22" s="31"/>
      <c r="AJ22" s="126">
        <v>95.0</v>
      </c>
      <c r="AK22" s="126"/>
      <c r="AL22" s="126">
        <v>81.0</v>
      </c>
      <c r="AM22" s="126"/>
      <c r="AN22" s="126">
        <v>109.0</v>
      </c>
      <c r="AO22" s="133"/>
      <c r="AP22" s="133"/>
      <c r="AQ22" s="133"/>
      <c r="AR22" s="133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28" t="s">
        <v>180</v>
      </c>
      <c r="N23" s="28">
        <v>1.0</v>
      </c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134"/>
      <c r="AP23" s="134"/>
      <c r="AQ23" s="134"/>
      <c r="AR23" s="134"/>
    </row>
    <row r="24">
      <c r="A24" s="28" t="s">
        <v>176</v>
      </c>
      <c r="B24" s="28">
        <v>1.0</v>
      </c>
      <c r="C24" s="28" t="s">
        <v>183</v>
      </c>
      <c r="D24" s="28">
        <v>1.0</v>
      </c>
      <c r="E24" s="95" t="s">
        <v>176</v>
      </c>
      <c r="F24" s="28">
        <v>1.0</v>
      </c>
      <c r="G24" s="28" t="s">
        <v>174</v>
      </c>
      <c r="H24" s="28">
        <v>1.0</v>
      </c>
      <c r="I24" s="28" t="s">
        <v>183</v>
      </c>
      <c r="J24" s="28">
        <v>3.0</v>
      </c>
      <c r="K24" s="28" t="s">
        <v>176</v>
      </c>
      <c r="L24" s="28">
        <v>3.0</v>
      </c>
      <c r="M24" s="28" t="s">
        <v>195</v>
      </c>
      <c r="N24" s="28">
        <v>2.0</v>
      </c>
      <c r="O24" s="95" t="s">
        <v>176</v>
      </c>
      <c r="P24" s="28">
        <v>1.0</v>
      </c>
      <c r="Q24" s="28" t="s">
        <v>176</v>
      </c>
      <c r="R24" s="28">
        <v>1.0</v>
      </c>
      <c r="S24" s="28" t="s">
        <v>176</v>
      </c>
      <c r="T24" s="28">
        <v>1.0</v>
      </c>
      <c r="U24" s="28" t="s">
        <v>176</v>
      </c>
      <c r="V24" s="28">
        <v>2.0</v>
      </c>
      <c r="W24" s="28" t="s">
        <v>183</v>
      </c>
      <c r="X24" s="28">
        <v>2.0</v>
      </c>
      <c r="Y24" s="95" t="s">
        <v>176</v>
      </c>
      <c r="Z24" s="28">
        <v>2.0</v>
      </c>
      <c r="AA24" s="28" t="s">
        <v>183</v>
      </c>
      <c r="AB24" s="28">
        <v>1.0</v>
      </c>
      <c r="AC24" s="28" t="s">
        <v>183</v>
      </c>
      <c r="AD24" s="28">
        <v>3.0</v>
      </c>
      <c r="AE24" s="28" t="s">
        <v>176</v>
      </c>
      <c r="AF24" s="28">
        <v>1.0</v>
      </c>
      <c r="AG24" s="28" t="s">
        <v>176</v>
      </c>
      <c r="AH24" s="28">
        <v>1.0</v>
      </c>
      <c r="AI24" s="95" t="s">
        <v>176</v>
      </c>
      <c r="AJ24" s="28">
        <v>1.0</v>
      </c>
      <c r="AK24" s="28" t="s">
        <v>176</v>
      </c>
      <c r="AL24" s="28">
        <v>2.0</v>
      </c>
      <c r="AM24" s="28" t="s">
        <v>176</v>
      </c>
      <c r="AN24" s="28">
        <v>1.0</v>
      </c>
      <c r="AO24" s="127"/>
      <c r="AP24" s="127"/>
      <c r="AQ24" s="127"/>
      <c r="AR24" s="127"/>
    </row>
    <row r="25">
      <c r="A25" s="28" t="s">
        <v>174</v>
      </c>
      <c r="B25" s="28">
        <v>1.0</v>
      </c>
      <c r="C25" s="28" t="s">
        <v>180</v>
      </c>
      <c r="D25" s="28">
        <v>1.0</v>
      </c>
      <c r="E25" s="95" t="s">
        <v>183</v>
      </c>
      <c r="F25" s="28">
        <v>2.0</v>
      </c>
      <c r="G25" s="28" t="s">
        <v>183</v>
      </c>
      <c r="H25" s="28">
        <v>3.0</v>
      </c>
      <c r="I25" s="28" t="s">
        <v>180</v>
      </c>
      <c r="J25" s="28">
        <v>2.0</v>
      </c>
      <c r="K25" s="28" t="s">
        <v>174</v>
      </c>
      <c r="L25" s="28">
        <v>1.0</v>
      </c>
      <c r="M25" s="28" t="s">
        <v>192</v>
      </c>
      <c r="N25" s="28">
        <v>1.0</v>
      </c>
      <c r="O25" s="95" t="s">
        <v>174</v>
      </c>
      <c r="P25" s="28">
        <v>1.0</v>
      </c>
      <c r="Q25" s="28" t="s">
        <v>183</v>
      </c>
      <c r="R25" s="28">
        <v>3.0</v>
      </c>
      <c r="S25" s="28" t="s">
        <v>183</v>
      </c>
      <c r="T25" s="28">
        <v>3.0</v>
      </c>
      <c r="U25" s="28" t="s">
        <v>174</v>
      </c>
      <c r="V25" s="28">
        <v>1.0</v>
      </c>
      <c r="W25" s="28" t="s">
        <v>195</v>
      </c>
      <c r="X25" s="28">
        <v>1.0</v>
      </c>
      <c r="Y25" s="95" t="s">
        <v>174</v>
      </c>
      <c r="Z25" s="28">
        <v>1.0</v>
      </c>
      <c r="AA25" s="28" t="s">
        <v>180</v>
      </c>
      <c r="AB25" s="28">
        <v>3.0</v>
      </c>
      <c r="AC25" s="28" t="s">
        <v>180</v>
      </c>
      <c r="AD25" s="28">
        <v>4.0</v>
      </c>
      <c r="AE25" s="28" t="s">
        <v>174</v>
      </c>
      <c r="AF25" s="28">
        <v>2.0</v>
      </c>
      <c r="AG25" s="28" t="s">
        <v>183</v>
      </c>
      <c r="AH25" s="28">
        <v>1.0</v>
      </c>
      <c r="AI25" s="95" t="s">
        <v>183</v>
      </c>
      <c r="AJ25" s="28">
        <v>1.0</v>
      </c>
      <c r="AK25" s="28" t="s">
        <v>174</v>
      </c>
      <c r="AL25" s="28">
        <v>1.0</v>
      </c>
      <c r="AM25" s="28" t="s">
        <v>183</v>
      </c>
      <c r="AN25" s="28">
        <v>4.0</v>
      </c>
      <c r="AO25" s="127"/>
      <c r="AP25" s="127"/>
      <c r="AQ25" s="127"/>
      <c r="AR25" s="127"/>
    </row>
    <row r="26">
      <c r="A26" s="28" t="s">
        <v>183</v>
      </c>
      <c r="B26" s="28">
        <v>1.0</v>
      </c>
      <c r="C26" s="28" t="s">
        <v>195</v>
      </c>
      <c r="D26" s="28">
        <v>1.0</v>
      </c>
      <c r="E26" s="95" t="s">
        <v>180</v>
      </c>
      <c r="F26" s="28">
        <v>2.0</v>
      </c>
      <c r="G26" s="28" t="s">
        <v>180</v>
      </c>
      <c r="H26" s="28">
        <v>5.0</v>
      </c>
      <c r="I26" s="28" t="s">
        <v>195</v>
      </c>
      <c r="J26" s="28">
        <v>2.0</v>
      </c>
      <c r="K26" s="28" t="s">
        <v>195</v>
      </c>
      <c r="L26" s="28">
        <v>1.0</v>
      </c>
      <c r="M26" s="28" t="s">
        <v>197</v>
      </c>
      <c r="N26" s="28">
        <v>2.0</v>
      </c>
      <c r="O26" s="95" t="s">
        <v>183</v>
      </c>
      <c r="P26" s="28">
        <v>5.0</v>
      </c>
      <c r="Q26" s="28" t="s">
        <v>180</v>
      </c>
      <c r="R26" s="28">
        <v>3.0</v>
      </c>
      <c r="S26" s="28" t="s">
        <v>180</v>
      </c>
      <c r="T26" s="28">
        <v>2.0</v>
      </c>
      <c r="U26" s="28" t="s">
        <v>183</v>
      </c>
      <c r="V26" s="28">
        <v>1.0</v>
      </c>
      <c r="W26" s="28" t="s">
        <v>192</v>
      </c>
      <c r="X26" s="28">
        <v>3.0</v>
      </c>
      <c r="Y26" s="95" t="s">
        <v>183</v>
      </c>
      <c r="Z26" s="28">
        <v>5.0</v>
      </c>
      <c r="AA26" s="28" t="s">
        <v>195</v>
      </c>
      <c r="AB26" s="28">
        <v>1.0</v>
      </c>
      <c r="AC26" s="28" t="s">
        <v>195</v>
      </c>
      <c r="AD26" s="28">
        <v>2.0</v>
      </c>
      <c r="AE26" s="28" t="s">
        <v>183</v>
      </c>
      <c r="AF26" s="28">
        <v>3.0</v>
      </c>
      <c r="AG26" s="28" t="s">
        <v>180</v>
      </c>
      <c r="AH26" s="28">
        <v>1.0</v>
      </c>
      <c r="AI26" s="95" t="s">
        <v>180</v>
      </c>
      <c r="AJ26" s="28">
        <v>3.0</v>
      </c>
      <c r="AK26" s="28" t="s">
        <v>183</v>
      </c>
      <c r="AL26" s="28">
        <v>2.0</v>
      </c>
      <c r="AM26" s="28" t="s">
        <v>180</v>
      </c>
      <c r="AN26" s="28">
        <v>5.0</v>
      </c>
      <c r="AO26" s="127"/>
      <c r="AP26" s="127"/>
      <c r="AQ26" s="127"/>
      <c r="AR26" s="127"/>
    </row>
    <row r="27">
      <c r="A27" s="28" t="s">
        <v>195</v>
      </c>
      <c r="B27" s="28">
        <v>2.0</v>
      </c>
      <c r="C27" s="28" t="s">
        <v>192</v>
      </c>
      <c r="D27" s="28">
        <v>2.0</v>
      </c>
      <c r="E27" s="95" t="s">
        <v>195</v>
      </c>
      <c r="F27" s="28">
        <v>1.0</v>
      </c>
      <c r="G27" s="28" t="s">
        <v>195</v>
      </c>
      <c r="H27" s="28">
        <v>3.0</v>
      </c>
      <c r="I27" s="28" t="s">
        <v>186</v>
      </c>
      <c r="J27" s="28">
        <v>1.0</v>
      </c>
      <c r="K27" s="28" t="s">
        <v>192</v>
      </c>
      <c r="L27" s="28">
        <v>1.0</v>
      </c>
      <c r="M27" s="28" t="s">
        <v>202</v>
      </c>
      <c r="N27" s="28">
        <v>1.0</v>
      </c>
      <c r="O27" s="95" t="s">
        <v>180</v>
      </c>
      <c r="P27" s="28">
        <v>1.0</v>
      </c>
      <c r="Q27" s="28" t="s">
        <v>192</v>
      </c>
      <c r="R27" s="28">
        <v>1.0</v>
      </c>
      <c r="S27" s="28" t="s">
        <v>195</v>
      </c>
      <c r="T27" s="28">
        <v>1.0</v>
      </c>
      <c r="U27" s="28" t="s">
        <v>195</v>
      </c>
      <c r="V27" s="28">
        <v>3.0</v>
      </c>
      <c r="W27" s="28" t="s">
        <v>202</v>
      </c>
      <c r="X27" s="28">
        <v>2.0</v>
      </c>
      <c r="Y27" s="95" t="s">
        <v>180</v>
      </c>
      <c r="Z27" s="28">
        <v>3.0</v>
      </c>
      <c r="AA27" s="28" t="s">
        <v>192</v>
      </c>
      <c r="AB27" s="28">
        <v>1.0</v>
      </c>
      <c r="AC27" s="28" t="s">
        <v>192</v>
      </c>
      <c r="AD27" s="28">
        <v>7.0</v>
      </c>
      <c r="AE27" s="28" t="s">
        <v>180</v>
      </c>
      <c r="AF27" s="28">
        <v>1.0</v>
      </c>
      <c r="AG27" s="28" t="s">
        <v>195</v>
      </c>
      <c r="AH27" s="28">
        <v>2.0</v>
      </c>
      <c r="AI27" s="95" t="s">
        <v>195</v>
      </c>
      <c r="AJ27" s="28">
        <v>3.0</v>
      </c>
      <c r="AK27" s="28" t="s">
        <v>180</v>
      </c>
      <c r="AL27" s="28">
        <v>6.0</v>
      </c>
      <c r="AM27" s="28" t="s">
        <v>195</v>
      </c>
      <c r="AN27" s="28">
        <v>1.0</v>
      </c>
      <c r="AO27" s="127"/>
      <c r="AP27" s="127"/>
      <c r="AQ27" s="127"/>
      <c r="AR27" s="127"/>
    </row>
    <row r="28">
      <c r="A28" s="28" t="s">
        <v>192</v>
      </c>
      <c r="B28" s="28">
        <v>1.0</v>
      </c>
      <c r="C28" s="28" t="s">
        <v>202</v>
      </c>
      <c r="D28" s="28">
        <v>1.0</v>
      </c>
      <c r="E28" s="95" t="s">
        <v>192</v>
      </c>
      <c r="F28" s="28">
        <v>1.0</v>
      </c>
      <c r="G28" s="28" t="s">
        <v>197</v>
      </c>
      <c r="H28" s="28">
        <v>1.0</v>
      </c>
      <c r="I28" s="28" t="s">
        <v>192</v>
      </c>
      <c r="J28" s="28">
        <v>2.0</v>
      </c>
      <c r="K28" s="28" t="s">
        <v>197</v>
      </c>
      <c r="L28" s="28">
        <v>1.0</v>
      </c>
      <c r="M28" s="28" t="s">
        <v>203</v>
      </c>
      <c r="N28" s="28">
        <v>2.0</v>
      </c>
      <c r="O28" s="95" t="s">
        <v>195</v>
      </c>
      <c r="P28" s="28">
        <v>2.0</v>
      </c>
      <c r="Q28" s="28" t="s">
        <v>197</v>
      </c>
      <c r="R28" s="28">
        <v>1.0</v>
      </c>
      <c r="S28" s="28" t="s">
        <v>192</v>
      </c>
      <c r="T28" s="28">
        <v>4.0</v>
      </c>
      <c r="U28" s="28" t="s">
        <v>192</v>
      </c>
      <c r="V28" s="28">
        <v>2.0</v>
      </c>
      <c r="W28" s="28" t="s">
        <v>203</v>
      </c>
      <c r="X28" s="28">
        <v>1.0</v>
      </c>
      <c r="Y28" s="95" t="s">
        <v>192</v>
      </c>
      <c r="Z28" s="28">
        <v>4.0</v>
      </c>
      <c r="AA28" s="28" t="s">
        <v>197</v>
      </c>
      <c r="AB28" s="28">
        <v>1.0</v>
      </c>
      <c r="AC28" s="28" t="s">
        <v>203</v>
      </c>
      <c r="AD28" s="28">
        <v>1.0</v>
      </c>
      <c r="AE28" s="28" t="s">
        <v>195</v>
      </c>
      <c r="AF28" s="28">
        <v>1.0</v>
      </c>
      <c r="AG28" s="28" t="s">
        <v>192</v>
      </c>
      <c r="AH28" s="28">
        <v>2.0</v>
      </c>
      <c r="AI28" s="95" t="s">
        <v>186</v>
      </c>
      <c r="AJ28" s="28">
        <v>1.0</v>
      </c>
      <c r="AK28" s="28" t="s">
        <v>195</v>
      </c>
      <c r="AL28" s="28">
        <v>1.0</v>
      </c>
      <c r="AM28" s="28" t="s">
        <v>192</v>
      </c>
      <c r="AN28" s="28">
        <v>4.0</v>
      </c>
      <c r="AO28" s="127"/>
      <c r="AP28" s="127"/>
      <c r="AQ28" s="127"/>
      <c r="AR28" s="127"/>
    </row>
    <row r="29">
      <c r="A29" s="28" t="s">
        <v>202</v>
      </c>
      <c r="B29" s="28">
        <v>1.0</v>
      </c>
      <c r="C29" s="28" t="s">
        <v>203</v>
      </c>
      <c r="D29" s="28">
        <v>2.0</v>
      </c>
      <c r="E29" s="28" t="s">
        <v>197</v>
      </c>
      <c r="F29" s="28">
        <v>1.0</v>
      </c>
      <c r="G29" s="28" t="s">
        <v>207</v>
      </c>
      <c r="H29" s="28">
        <v>2.0</v>
      </c>
      <c r="I29" s="28" t="s">
        <v>202</v>
      </c>
      <c r="J29" s="28">
        <v>1.0</v>
      </c>
      <c r="K29" s="28" t="s">
        <v>202</v>
      </c>
      <c r="L29" s="28">
        <v>1.0</v>
      </c>
      <c r="M29" s="28" t="s">
        <v>210</v>
      </c>
      <c r="N29" s="28">
        <v>2.0</v>
      </c>
      <c r="O29" s="28" t="s">
        <v>192</v>
      </c>
      <c r="P29" s="28">
        <v>3.0</v>
      </c>
      <c r="Q29" s="28" t="s">
        <v>202</v>
      </c>
      <c r="R29" s="28">
        <v>1.0</v>
      </c>
      <c r="S29" s="28" t="s">
        <v>202</v>
      </c>
      <c r="T29" s="28">
        <v>2.0</v>
      </c>
      <c r="U29" s="28" t="s">
        <v>202</v>
      </c>
      <c r="V29" s="28">
        <v>1.0</v>
      </c>
      <c r="W29" s="28" t="s">
        <v>207</v>
      </c>
      <c r="X29" s="28">
        <v>1.0</v>
      </c>
      <c r="Y29" s="28" t="s">
        <v>197</v>
      </c>
      <c r="Z29" s="28">
        <v>1.0</v>
      </c>
      <c r="AA29" s="28" t="s">
        <v>202</v>
      </c>
      <c r="AB29" s="28">
        <v>1.0</v>
      </c>
      <c r="AC29" s="28" t="s">
        <v>210</v>
      </c>
      <c r="AD29" s="28">
        <v>1.0</v>
      </c>
      <c r="AE29" s="28" t="s">
        <v>202</v>
      </c>
      <c r="AF29" s="28">
        <v>1.0</v>
      </c>
      <c r="AG29" s="28" t="s">
        <v>197</v>
      </c>
      <c r="AH29" s="28">
        <v>1.0</v>
      </c>
      <c r="AI29" s="95" t="s">
        <v>192</v>
      </c>
      <c r="AJ29" s="28">
        <v>2.0</v>
      </c>
      <c r="AK29" s="28" t="s">
        <v>192</v>
      </c>
      <c r="AL29" s="28">
        <v>1.0</v>
      </c>
      <c r="AM29" s="28" t="s">
        <v>207</v>
      </c>
      <c r="AN29" s="28">
        <v>1.0</v>
      </c>
      <c r="AO29" s="127"/>
      <c r="AP29" s="127"/>
      <c r="AQ29" s="127"/>
      <c r="AR29" s="127"/>
    </row>
    <row r="30">
      <c r="A30" s="28" t="s">
        <v>207</v>
      </c>
      <c r="B30" s="28">
        <v>4.0</v>
      </c>
      <c r="C30" s="28" t="s">
        <v>223</v>
      </c>
      <c r="D30" s="28">
        <v>2.0</v>
      </c>
      <c r="E30" s="28" t="s">
        <v>202</v>
      </c>
      <c r="F30" s="28">
        <v>1.0</v>
      </c>
      <c r="G30" s="28" t="s">
        <v>210</v>
      </c>
      <c r="H30" s="28">
        <v>1.0</v>
      </c>
      <c r="I30" s="28" t="s">
        <v>203</v>
      </c>
      <c r="J30" s="28">
        <v>1.0</v>
      </c>
      <c r="K30" s="28" t="s">
        <v>203</v>
      </c>
      <c r="L30" s="28">
        <v>1.0</v>
      </c>
      <c r="M30" s="28" t="s">
        <v>223</v>
      </c>
      <c r="N30" s="28">
        <v>1.0</v>
      </c>
      <c r="O30" s="28" t="s">
        <v>202</v>
      </c>
      <c r="P30" s="28">
        <v>2.0</v>
      </c>
      <c r="Q30" s="28" t="s">
        <v>207</v>
      </c>
      <c r="R30" s="28">
        <v>3.0</v>
      </c>
      <c r="S30" s="28" t="s">
        <v>207</v>
      </c>
      <c r="T30" s="28">
        <v>2.0</v>
      </c>
      <c r="U30" s="28" t="s">
        <v>207</v>
      </c>
      <c r="V30" s="28">
        <v>5.0</v>
      </c>
      <c r="W30" s="28" t="s">
        <v>223</v>
      </c>
      <c r="X30" s="28">
        <v>1.0</v>
      </c>
      <c r="Y30" s="28" t="s">
        <v>202</v>
      </c>
      <c r="Z30" s="28">
        <v>3.0</v>
      </c>
      <c r="AA30" s="28" t="s">
        <v>207</v>
      </c>
      <c r="AB30" s="28">
        <v>1.0</v>
      </c>
      <c r="AC30" s="28" t="s">
        <v>223</v>
      </c>
      <c r="AD30" s="28">
        <v>3.0</v>
      </c>
      <c r="AE30" s="28" t="s">
        <v>203</v>
      </c>
      <c r="AF30" s="28">
        <v>2.0</v>
      </c>
      <c r="AG30" s="28" t="s">
        <v>202</v>
      </c>
      <c r="AH30" s="28">
        <v>3.0</v>
      </c>
      <c r="AI30" s="95" t="s">
        <v>210</v>
      </c>
      <c r="AJ30" s="28">
        <v>2.0</v>
      </c>
      <c r="AK30" s="28" t="s">
        <v>202</v>
      </c>
      <c r="AL30" s="28">
        <v>3.0</v>
      </c>
      <c r="AM30" s="28" t="s">
        <v>210</v>
      </c>
      <c r="AN30" s="28">
        <v>1.0</v>
      </c>
      <c r="AO30" s="127"/>
      <c r="AP30" s="127"/>
      <c r="AQ30" s="127"/>
      <c r="AR30" s="127"/>
    </row>
    <row r="31">
      <c r="A31" s="28" t="s">
        <v>210</v>
      </c>
      <c r="B31" s="28">
        <v>1.0</v>
      </c>
      <c r="C31" s="28" t="s">
        <v>212</v>
      </c>
      <c r="D31" s="28">
        <v>3.0</v>
      </c>
      <c r="E31" s="28" t="s">
        <v>203</v>
      </c>
      <c r="F31" s="28">
        <v>1.0</v>
      </c>
      <c r="G31" s="28" t="s">
        <v>223</v>
      </c>
      <c r="H31" s="28">
        <v>1.0</v>
      </c>
      <c r="I31" s="28" t="s">
        <v>210</v>
      </c>
      <c r="J31" s="28">
        <v>2.0</v>
      </c>
      <c r="K31" s="28" t="s">
        <v>207</v>
      </c>
      <c r="L31" s="28">
        <v>2.0</v>
      </c>
      <c r="M31" s="28" t="s">
        <v>212</v>
      </c>
      <c r="N31" s="28">
        <v>2.0</v>
      </c>
      <c r="O31" s="28" t="s">
        <v>207</v>
      </c>
      <c r="P31" s="28">
        <v>2.0</v>
      </c>
      <c r="Q31" s="28" t="s">
        <v>210</v>
      </c>
      <c r="R31" s="28">
        <v>1.0</v>
      </c>
      <c r="S31" s="28" t="s">
        <v>223</v>
      </c>
      <c r="T31" s="28">
        <v>1.0</v>
      </c>
      <c r="U31" s="28" t="s">
        <v>210</v>
      </c>
      <c r="V31" s="28">
        <v>1.0</v>
      </c>
      <c r="W31" s="28" t="s">
        <v>212</v>
      </c>
      <c r="X31" s="28">
        <v>3.0</v>
      </c>
      <c r="Y31" s="28" t="s">
        <v>210</v>
      </c>
      <c r="Z31" s="28">
        <v>1.0</v>
      </c>
      <c r="AA31" s="28" t="s">
        <v>210</v>
      </c>
      <c r="AB31" s="28">
        <v>2.0</v>
      </c>
      <c r="AC31" s="28" t="s">
        <v>221</v>
      </c>
      <c r="AD31" s="28">
        <v>1.0</v>
      </c>
      <c r="AE31" s="28" t="s">
        <v>207</v>
      </c>
      <c r="AF31" s="28">
        <v>5.0</v>
      </c>
      <c r="AG31" s="28" t="s">
        <v>203</v>
      </c>
      <c r="AH31" s="28">
        <v>1.0</v>
      </c>
      <c r="AI31" s="95" t="s">
        <v>223</v>
      </c>
      <c r="AJ31" s="28">
        <v>1.0</v>
      </c>
      <c r="AK31" s="28" t="s">
        <v>207</v>
      </c>
      <c r="AL31" s="28">
        <v>2.0</v>
      </c>
      <c r="AM31" s="28" t="s">
        <v>212</v>
      </c>
      <c r="AN31" s="28">
        <v>1.0</v>
      </c>
      <c r="AO31" s="127"/>
      <c r="AP31" s="127"/>
      <c r="AQ31" s="127"/>
      <c r="AR31" s="127"/>
    </row>
    <row r="32">
      <c r="A32" s="28" t="s">
        <v>223</v>
      </c>
      <c r="B32" s="28">
        <v>1.0</v>
      </c>
      <c r="C32" s="28" t="s">
        <v>466</v>
      </c>
      <c r="D32" s="28">
        <v>1.0</v>
      </c>
      <c r="E32" s="28" t="s">
        <v>207</v>
      </c>
      <c r="F32" s="28">
        <v>3.0</v>
      </c>
      <c r="G32" s="28" t="s">
        <v>216</v>
      </c>
      <c r="H32" s="28">
        <v>1.0</v>
      </c>
      <c r="I32" s="28" t="s">
        <v>223</v>
      </c>
      <c r="J32" s="28">
        <v>2.0</v>
      </c>
      <c r="K32" s="28" t="s">
        <v>210</v>
      </c>
      <c r="L32" s="28">
        <v>2.0</v>
      </c>
      <c r="M32" s="28" t="s">
        <v>466</v>
      </c>
      <c r="N32" s="28">
        <v>1.0</v>
      </c>
      <c r="O32" s="28" t="s">
        <v>210</v>
      </c>
      <c r="P32" s="28">
        <v>2.0</v>
      </c>
      <c r="Q32" s="28" t="s">
        <v>223</v>
      </c>
      <c r="R32" s="28">
        <v>1.0</v>
      </c>
      <c r="S32" s="28" t="s">
        <v>212</v>
      </c>
      <c r="T32" s="28">
        <v>2.0</v>
      </c>
      <c r="U32" s="28" t="s">
        <v>223</v>
      </c>
      <c r="V32" s="28">
        <v>1.0</v>
      </c>
      <c r="W32" s="28" t="s">
        <v>216</v>
      </c>
      <c r="X32" s="28">
        <v>4.0</v>
      </c>
      <c r="Y32" s="28" t="s">
        <v>223</v>
      </c>
      <c r="Z32" s="28">
        <v>1.0</v>
      </c>
      <c r="AA32" s="28" t="s">
        <v>223</v>
      </c>
      <c r="AB32" s="28">
        <v>1.0</v>
      </c>
      <c r="AC32" s="28" t="s">
        <v>212</v>
      </c>
      <c r="AD32" s="28">
        <v>3.0</v>
      </c>
      <c r="AE32" s="28" t="s">
        <v>223</v>
      </c>
      <c r="AF32" s="28">
        <v>1.0</v>
      </c>
      <c r="AG32" s="28" t="s">
        <v>207</v>
      </c>
      <c r="AH32" s="28">
        <v>2.0</v>
      </c>
      <c r="AI32" s="95" t="s">
        <v>212</v>
      </c>
      <c r="AJ32" s="28">
        <v>2.0</v>
      </c>
      <c r="AK32" s="28" t="s">
        <v>223</v>
      </c>
      <c r="AL32" s="28">
        <v>2.0</v>
      </c>
      <c r="AM32" s="28" t="s">
        <v>225</v>
      </c>
      <c r="AN32" s="28">
        <v>8.0</v>
      </c>
      <c r="AO32" s="127"/>
      <c r="AP32" s="127"/>
      <c r="AQ32" s="127"/>
      <c r="AR32" s="127"/>
    </row>
    <row r="33">
      <c r="A33" s="28" t="s">
        <v>212</v>
      </c>
      <c r="B33" s="28">
        <v>3.0</v>
      </c>
      <c r="C33" s="28" t="s">
        <v>216</v>
      </c>
      <c r="D33" s="28">
        <v>4.0</v>
      </c>
      <c r="E33" s="28" t="s">
        <v>223</v>
      </c>
      <c r="F33" s="28">
        <v>1.0</v>
      </c>
      <c r="G33" s="28" t="s">
        <v>225</v>
      </c>
      <c r="H33" s="28">
        <v>4.0</v>
      </c>
      <c r="I33" s="28" t="s">
        <v>212</v>
      </c>
      <c r="J33" s="28">
        <v>2.0</v>
      </c>
      <c r="K33" s="28" t="s">
        <v>212</v>
      </c>
      <c r="L33" s="28">
        <v>4.0</v>
      </c>
      <c r="M33" s="28" t="s">
        <v>216</v>
      </c>
      <c r="N33" s="28">
        <v>2.0</v>
      </c>
      <c r="O33" s="28" t="s">
        <v>223</v>
      </c>
      <c r="P33" s="28">
        <v>1.0</v>
      </c>
      <c r="Q33" s="28" t="s">
        <v>212</v>
      </c>
      <c r="R33" s="28">
        <v>1.0</v>
      </c>
      <c r="S33" s="28" t="s">
        <v>216</v>
      </c>
      <c r="T33" s="28">
        <v>5.0</v>
      </c>
      <c r="U33" s="28" t="s">
        <v>212</v>
      </c>
      <c r="V33" s="28">
        <v>3.0</v>
      </c>
      <c r="W33" s="28" t="s">
        <v>225</v>
      </c>
      <c r="X33" s="28">
        <v>5.0</v>
      </c>
      <c r="Y33" s="28" t="s">
        <v>212</v>
      </c>
      <c r="Z33" s="28">
        <v>2.0</v>
      </c>
      <c r="AA33" s="28" t="s">
        <v>216</v>
      </c>
      <c r="AB33" s="28">
        <v>3.0</v>
      </c>
      <c r="AC33" s="28" t="s">
        <v>466</v>
      </c>
      <c r="AD33" s="28">
        <v>1.0</v>
      </c>
      <c r="AE33" s="28" t="s">
        <v>212</v>
      </c>
      <c r="AF33" s="28">
        <v>2.0</v>
      </c>
      <c r="AG33" s="28" t="s">
        <v>210</v>
      </c>
      <c r="AH33" s="28">
        <v>1.0</v>
      </c>
      <c r="AI33" s="95" t="s">
        <v>216</v>
      </c>
      <c r="AJ33" s="28">
        <v>4.0</v>
      </c>
      <c r="AK33" s="28" t="s">
        <v>212</v>
      </c>
      <c r="AL33" s="28">
        <v>1.0</v>
      </c>
      <c r="AM33" s="28" t="s">
        <v>230</v>
      </c>
      <c r="AN33" s="28">
        <v>4.0</v>
      </c>
      <c r="AO33" s="127"/>
      <c r="AP33" s="127"/>
      <c r="AQ33" s="127"/>
      <c r="AR33" s="127"/>
    </row>
    <row r="34">
      <c r="A34" s="28" t="s">
        <v>216</v>
      </c>
      <c r="B34" s="28">
        <v>7.0</v>
      </c>
      <c r="C34" s="28" t="s">
        <v>225</v>
      </c>
      <c r="D34" s="28">
        <v>4.0</v>
      </c>
      <c r="E34" s="28" t="s">
        <v>212</v>
      </c>
      <c r="F34" s="28">
        <v>1.0</v>
      </c>
      <c r="G34" s="28" t="s">
        <v>230</v>
      </c>
      <c r="H34" s="28">
        <v>2.0</v>
      </c>
      <c r="I34" s="28" t="s">
        <v>225</v>
      </c>
      <c r="J34" s="28">
        <v>9.0</v>
      </c>
      <c r="K34" s="28" t="s">
        <v>216</v>
      </c>
      <c r="L34" s="28">
        <v>5.0</v>
      </c>
      <c r="M34" s="28" t="s">
        <v>225</v>
      </c>
      <c r="N34" s="28">
        <v>8.0</v>
      </c>
      <c r="O34" s="28" t="s">
        <v>212</v>
      </c>
      <c r="P34" s="28">
        <v>1.0</v>
      </c>
      <c r="Q34" s="28" t="s">
        <v>216</v>
      </c>
      <c r="R34" s="28">
        <v>4.0</v>
      </c>
      <c r="S34" s="28" t="s">
        <v>225</v>
      </c>
      <c r="T34" s="28">
        <v>8.0</v>
      </c>
      <c r="U34" s="28" t="s">
        <v>216</v>
      </c>
      <c r="V34" s="28">
        <v>4.0</v>
      </c>
      <c r="W34" s="28" t="s">
        <v>230</v>
      </c>
      <c r="X34" s="28">
        <v>2.0</v>
      </c>
      <c r="Y34" s="28" t="s">
        <v>466</v>
      </c>
      <c r="Z34" s="28">
        <v>1.0</v>
      </c>
      <c r="AA34" s="28" t="s">
        <v>225</v>
      </c>
      <c r="AB34" s="28">
        <v>6.0</v>
      </c>
      <c r="AC34" s="28" t="s">
        <v>225</v>
      </c>
      <c r="AD34" s="28">
        <v>7.0</v>
      </c>
      <c r="AE34" s="28" t="s">
        <v>216</v>
      </c>
      <c r="AF34" s="28">
        <v>7.0</v>
      </c>
      <c r="AG34" s="28" t="s">
        <v>223</v>
      </c>
      <c r="AH34" s="28">
        <v>2.0</v>
      </c>
      <c r="AI34" s="28" t="s">
        <v>225</v>
      </c>
      <c r="AJ34" s="28">
        <v>10.0</v>
      </c>
      <c r="AK34" s="28" t="s">
        <v>466</v>
      </c>
      <c r="AL34" s="28">
        <v>1.0</v>
      </c>
      <c r="AM34" s="28" t="s">
        <v>236</v>
      </c>
      <c r="AN34" s="28">
        <v>2.0</v>
      </c>
      <c r="AO34" s="127"/>
      <c r="AP34" s="127"/>
      <c r="AQ34" s="127"/>
      <c r="AR34" s="127"/>
    </row>
    <row r="35">
      <c r="A35" s="28" t="s">
        <v>225</v>
      </c>
      <c r="B35" s="28">
        <v>3.0</v>
      </c>
      <c r="C35" s="28" t="s">
        <v>236</v>
      </c>
      <c r="D35" s="28">
        <v>6.0</v>
      </c>
      <c r="E35" s="28" t="s">
        <v>216</v>
      </c>
      <c r="F35" s="28">
        <v>3.0</v>
      </c>
      <c r="G35" s="28" t="s">
        <v>236</v>
      </c>
      <c r="H35" s="28">
        <v>3.0</v>
      </c>
      <c r="I35" s="28" t="s">
        <v>230</v>
      </c>
      <c r="J35" s="28">
        <v>3.0</v>
      </c>
      <c r="K35" s="28" t="s">
        <v>225</v>
      </c>
      <c r="L35" s="28">
        <v>6.0</v>
      </c>
      <c r="M35" s="28" t="s">
        <v>230</v>
      </c>
      <c r="N35" s="28">
        <v>2.0</v>
      </c>
      <c r="O35" s="28" t="s">
        <v>216</v>
      </c>
      <c r="P35" s="28">
        <v>3.0</v>
      </c>
      <c r="Q35" s="28" t="s">
        <v>225</v>
      </c>
      <c r="R35" s="28">
        <v>9.0</v>
      </c>
      <c r="S35" s="28" t="s">
        <v>230</v>
      </c>
      <c r="T35" s="28">
        <v>3.0</v>
      </c>
      <c r="U35" s="28" t="s">
        <v>225</v>
      </c>
      <c r="V35" s="28">
        <v>7.0</v>
      </c>
      <c r="W35" s="28" t="s">
        <v>248</v>
      </c>
      <c r="X35" s="28">
        <v>1.0</v>
      </c>
      <c r="Y35" s="28" t="s">
        <v>216</v>
      </c>
      <c r="Z35" s="28">
        <v>6.0</v>
      </c>
      <c r="AA35" s="28" t="s">
        <v>230</v>
      </c>
      <c r="AB35" s="28">
        <v>5.0</v>
      </c>
      <c r="AC35" s="28" t="s">
        <v>230</v>
      </c>
      <c r="AD35" s="28">
        <v>3.0</v>
      </c>
      <c r="AE35" s="28" t="s">
        <v>225</v>
      </c>
      <c r="AF35" s="28">
        <v>6.0</v>
      </c>
      <c r="AG35" s="28" t="s">
        <v>212</v>
      </c>
      <c r="AH35" s="28">
        <v>3.0</v>
      </c>
      <c r="AI35" s="28" t="s">
        <v>230</v>
      </c>
      <c r="AJ35" s="28">
        <v>5.0</v>
      </c>
      <c r="AK35" s="28" t="s">
        <v>216</v>
      </c>
      <c r="AL35" s="28">
        <v>5.0</v>
      </c>
      <c r="AM35" s="28" t="s">
        <v>246</v>
      </c>
      <c r="AN35" s="28">
        <v>1.0</v>
      </c>
      <c r="AO35" s="127"/>
      <c r="AP35" s="127"/>
      <c r="AQ35" s="127"/>
      <c r="AR35" s="127"/>
    </row>
    <row r="36">
      <c r="A36" s="28" t="s">
        <v>230</v>
      </c>
      <c r="B36" s="28">
        <v>4.0</v>
      </c>
      <c r="C36" s="28" t="s">
        <v>248</v>
      </c>
      <c r="D36" s="28">
        <v>1.0</v>
      </c>
      <c r="E36" s="28" t="s">
        <v>225</v>
      </c>
      <c r="F36" s="28">
        <v>6.0</v>
      </c>
      <c r="G36" s="28" t="s">
        <v>472</v>
      </c>
      <c r="H36" s="28">
        <v>1.0</v>
      </c>
      <c r="I36" s="28" t="s">
        <v>236</v>
      </c>
      <c r="J36" s="28">
        <v>3.0</v>
      </c>
      <c r="K36" s="28" t="s">
        <v>230</v>
      </c>
      <c r="L36" s="28">
        <v>7.0</v>
      </c>
      <c r="M36" s="28" t="s">
        <v>236</v>
      </c>
      <c r="N36" s="28">
        <v>2.0</v>
      </c>
      <c r="O36" s="28" t="s">
        <v>225</v>
      </c>
      <c r="P36" s="28">
        <v>7.0</v>
      </c>
      <c r="Q36" s="28" t="s">
        <v>230</v>
      </c>
      <c r="R36" s="28">
        <v>5.0</v>
      </c>
      <c r="S36" s="28" t="s">
        <v>246</v>
      </c>
      <c r="T36" s="28">
        <v>2.0</v>
      </c>
      <c r="U36" s="28" t="s">
        <v>230</v>
      </c>
      <c r="V36" s="28">
        <v>7.0</v>
      </c>
      <c r="W36" s="28" t="s">
        <v>249</v>
      </c>
      <c r="X36" s="28">
        <v>1.0</v>
      </c>
      <c r="Y36" s="28" t="s">
        <v>225</v>
      </c>
      <c r="Z36" s="28">
        <v>6.0</v>
      </c>
      <c r="AA36" s="28" t="s">
        <v>236</v>
      </c>
      <c r="AB36" s="28">
        <v>2.0</v>
      </c>
      <c r="AC36" s="28" t="s">
        <v>236</v>
      </c>
      <c r="AD36" s="28">
        <v>2.0</v>
      </c>
      <c r="AE36" s="28" t="s">
        <v>230</v>
      </c>
      <c r="AF36" s="28">
        <v>3.0</v>
      </c>
      <c r="AG36" s="28" t="s">
        <v>466</v>
      </c>
      <c r="AH36" s="28">
        <v>1.0</v>
      </c>
      <c r="AI36" s="28" t="s">
        <v>236</v>
      </c>
      <c r="AJ36" s="28">
        <v>5.0</v>
      </c>
      <c r="AK36" s="28" t="s">
        <v>225</v>
      </c>
      <c r="AL36" s="28">
        <v>4.0</v>
      </c>
      <c r="AM36" s="28" t="s">
        <v>241</v>
      </c>
      <c r="AN36" s="28">
        <v>1.0</v>
      </c>
      <c r="AO36" s="127"/>
      <c r="AP36" s="127"/>
      <c r="AQ36" s="127"/>
      <c r="AR36" s="127"/>
    </row>
    <row r="37">
      <c r="A37" s="28" t="s">
        <v>236</v>
      </c>
      <c r="B37" s="28">
        <v>3.0</v>
      </c>
      <c r="C37" s="28" t="s">
        <v>257</v>
      </c>
      <c r="D37" s="28">
        <v>1.0</v>
      </c>
      <c r="E37" s="28" t="s">
        <v>230</v>
      </c>
      <c r="F37" s="28">
        <v>3.0</v>
      </c>
      <c r="G37" s="28" t="s">
        <v>291</v>
      </c>
      <c r="H37" s="28">
        <v>1.0</v>
      </c>
      <c r="I37" s="28" t="s">
        <v>269</v>
      </c>
      <c r="J37" s="28">
        <v>1.0</v>
      </c>
      <c r="K37" s="28" t="s">
        <v>236</v>
      </c>
      <c r="L37" s="28">
        <v>3.0</v>
      </c>
      <c r="M37" s="28" t="s">
        <v>273</v>
      </c>
      <c r="N37" s="28">
        <v>1.0</v>
      </c>
      <c r="O37" s="28" t="s">
        <v>230</v>
      </c>
      <c r="P37" s="28">
        <v>2.0</v>
      </c>
      <c r="Q37" s="28" t="s">
        <v>236</v>
      </c>
      <c r="R37" s="28">
        <v>1.0</v>
      </c>
      <c r="S37" s="28" t="s">
        <v>291</v>
      </c>
      <c r="T37" s="28">
        <v>1.0</v>
      </c>
      <c r="U37" s="28" t="s">
        <v>236</v>
      </c>
      <c r="V37" s="28">
        <v>2.0</v>
      </c>
      <c r="W37" s="28" t="s">
        <v>257</v>
      </c>
      <c r="X37" s="28">
        <v>1.0</v>
      </c>
      <c r="Y37" s="28" t="s">
        <v>236</v>
      </c>
      <c r="Z37" s="28">
        <v>2.0</v>
      </c>
      <c r="AA37" s="28" t="s">
        <v>244</v>
      </c>
      <c r="AB37" s="28">
        <v>1.0</v>
      </c>
      <c r="AC37" s="28" t="s">
        <v>246</v>
      </c>
      <c r="AD37" s="28">
        <v>1.0</v>
      </c>
      <c r="AE37" s="28" t="s">
        <v>236</v>
      </c>
      <c r="AF37" s="28">
        <v>4.0</v>
      </c>
      <c r="AG37" s="28" t="s">
        <v>216</v>
      </c>
      <c r="AH37" s="28">
        <v>5.0</v>
      </c>
      <c r="AI37" s="28" t="s">
        <v>246</v>
      </c>
      <c r="AJ37" s="28">
        <v>2.0</v>
      </c>
      <c r="AK37" s="28" t="s">
        <v>230</v>
      </c>
      <c r="AL37" s="28">
        <v>7.0</v>
      </c>
      <c r="AM37" s="28" t="s">
        <v>266</v>
      </c>
      <c r="AN37" s="28">
        <v>1.0</v>
      </c>
      <c r="AO37" s="127"/>
      <c r="AP37" s="127"/>
      <c r="AQ37" s="127"/>
      <c r="AR37" s="127"/>
    </row>
    <row r="38">
      <c r="A38" s="28" t="s">
        <v>472</v>
      </c>
      <c r="B38" s="28">
        <v>1.0</v>
      </c>
      <c r="C38" s="28" t="s">
        <v>258</v>
      </c>
      <c r="D38" s="28">
        <v>1.0</v>
      </c>
      <c r="E38" s="28" t="s">
        <v>236</v>
      </c>
      <c r="F38" s="28">
        <v>2.0</v>
      </c>
      <c r="G38" s="28" t="s">
        <v>292</v>
      </c>
      <c r="H38" s="28">
        <v>2.0</v>
      </c>
      <c r="I38" s="28" t="s">
        <v>273</v>
      </c>
      <c r="J38" s="28">
        <v>1.0</v>
      </c>
      <c r="K38" s="28" t="s">
        <v>472</v>
      </c>
      <c r="L38" s="28">
        <v>1.0</v>
      </c>
      <c r="M38" s="28" t="s">
        <v>471</v>
      </c>
      <c r="N38" s="28">
        <v>1.0</v>
      </c>
      <c r="O38" s="28" t="s">
        <v>236</v>
      </c>
      <c r="P38" s="28">
        <v>3.0</v>
      </c>
      <c r="Q38" s="28" t="s">
        <v>273</v>
      </c>
      <c r="R38" s="28">
        <v>2.0</v>
      </c>
      <c r="S38" s="28" t="s">
        <v>241</v>
      </c>
      <c r="T38" s="28">
        <v>1.0</v>
      </c>
      <c r="U38" s="28" t="s">
        <v>273</v>
      </c>
      <c r="V38" s="28">
        <v>1.0</v>
      </c>
      <c r="W38" s="28" t="s">
        <v>258</v>
      </c>
      <c r="X38" s="28">
        <v>1.0</v>
      </c>
      <c r="Y38" s="28" t="s">
        <v>273</v>
      </c>
      <c r="Z38" s="28">
        <v>1.0</v>
      </c>
      <c r="AA38" s="28" t="s">
        <v>243</v>
      </c>
      <c r="AB38" s="28">
        <v>1.0</v>
      </c>
      <c r="AC38" s="28" t="s">
        <v>243</v>
      </c>
      <c r="AD38" s="28">
        <v>1.0</v>
      </c>
      <c r="AE38" s="28" t="s">
        <v>273</v>
      </c>
      <c r="AF38" s="28">
        <v>1.0</v>
      </c>
      <c r="AG38" s="28" t="s">
        <v>225</v>
      </c>
      <c r="AH38" s="28">
        <v>8.0</v>
      </c>
      <c r="AI38" s="28" t="s">
        <v>241</v>
      </c>
      <c r="AJ38" s="28">
        <v>1.0</v>
      </c>
      <c r="AK38" s="28" t="s">
        <v>236</v>
      </c>
      <c r="AL38" s="28">
        <v>1.0</v>
      </c>
      <c r="AM38" s="28" t="s">
        <v>471</v>
      </c>
      <c r="AN38" s="28">
        <v>1.0</v>
      </c>
      <c r="AO38" s="127"/>
      <c r="AP38" s="127"/>
      <c r="AQ38" s="127"/>
      <c r="AR38" s="127"/>
    </row>
    <row r="39">
      <c r="A39" s="28" t="s">
        <v>266</v>
      </c>
      <c r="B39" s="28">
        <v>2.0</v>
      </c>
      <c r="C39" s="28" t="s">
        <v>302</v>
      </c>
      <c r="D39" s="28">
        <v>1.0</v>
      </c>
      <c r="E39" s="28" t="s">
        <v>291</v>
      </c>
      <c r="F39" s="28">
        <v>1.0</v>
      </c>
      <c r="G39" s="28" t="s">
        <v>249</v>
      </c>
      <c r="H39" s="28">
        <v>1.0</v>
      </c>
      <c r="I39" s="28" t="s">
        <v>291</v>
      </c>
      <c r="J39" s="28">
        <v>1.0</v>
      </c>
      <c r="K39" s="28" t="s">
        <v>246</v>
      </c>
      <c r="L39" s="28">
        <v>1.0</v>
      </c>
      <c r="M39" s="28" t="s">
        <v>249</v>
      </c>
      <c r="N39" s="28">
        <v>1.0</v>
      </c>
      <c r="O39" s="28" t="s">
        <v>248</v>
      </c>
      <c r="P39" s="28">
        <v>1.0</v>
      </c>
      <c r="Q39" s="28" t="s">
        <v>291</v>
      </c>
      <c r="R39" s="28">
        <v>1.0</v>
      </c>
      <c r="S39" s="28" t="s">
        <v>292</v>
      </c>
      <c r="T39" s="28">
        <v>1.0</v>
      </c>
      <c r="U39" s="28" t="s">
        <v>248</v>
      </c>
      <c r="V39" s="28">
        <v>1.0</v>
      </c>
      <c r="W39" s="28" t="s">
        <v>255</v>
      </c>
      <c r="X39" s="28">
        <v>1.0</v>
      </c>
      <c r="Y39" s="28" t="s">
        <v>276</v>
      </c>
      <c r="Z39" s="28">
        <v>1.0</v>
      </c>
      <c r="AA39" s="28" t="s">
        <v>291</v>
      </c>
      <c r="AB39" s="28">
        <v>1.0</v>
      </c>
      <c r="AC39" s="28" t="s">
        <v>273</v>
      </c>
      <c r="AD39" s="28">
        <v>1.0</v>
      </c>
      <c r="AE39" s="28" t="s">
        <v>471</v>
      </c>
      <c r="AF39" s="28">
        <v>1.0</v>
      </c>
      <c r="AG39" s="28" t="s">
        <v>230</v>
      </c>
      <c r="AH39" s="28">
        <v>4.0</v>
      </c>
      <c r="AI39" s="28" t="s">
        <v>248</v>
      </c>
      <c r="AJ39" s="28">
        <v>1.0</v>
      </c>
      <c r="AK39" s="28" t="s">
        <v>244</v>
      </c>
      <c r="AL39" s="28">
        <v>1.0</v>
      </c>
      <c r="AM39" s="28" t="s">
        <v>292</v>
      </c>
      <c r="AN39" s="28">
        <v>1.0</v>
      </c>
      <c r="AO39" s="127"/>
      <c r="AP39" s="127"/>
      <c r="AQ39" s="127"/>
      <c r="AR39" s="127"/>
    </row>
    <row r="40">
      <c r="A40" s="28" t="s">
        <v>279</v>
      </c>
      <c r="B40" s="28">
        <v>1.0</v>
      </c>
      <c r="C40" s="28" t="s">
        <v>261</v>
      </c>
      <c r="D40" s="28">
        <v>1.0</v>
      </c>
      <c r="E40" s="28" t="s">
        <v>471</v>
      </c>
      <c r="F40" s="28">
        <v>1.0</v>
      </c>
      <c r="G40" s="28" t="s">
        <v>262</v>
      </c>
      <c r="H40" s="28">
        <v>1.0</v>
      </c>
      <c r="I40" s="28" t="s">
        <v>241</v>
      </c>
      <c r="J40" s="28">
        <v>1.0</v>
      </c>
      <c r="K40" s="28" t="s">
        <v>273</v>
      </c>
      <c r="L40" s="28">
        <v>1.0</v>
      </c>
      <c r="M40" s="28" t="s">
        <v>258</v>
      </c>
      <c r="N40" s="28">
        <v>1.0</v>
      </c>
      <c r="O40" s="28" t="s">
        <v>292</v>
      </c>
      <c r="P40" s="28">
        <v>1.0</v>
      </c>
      <c r="Q40" s="28" t="s">
        <v>276</v>
      </c>
      <c r="R40" s="28">
        <v>1.0</v>
      </c>
      <c r="S40" s="28" t="s">
        <v>257</v>
      </c>
      <c r="T40" s="28">
        <v>1.0</v>
      </c>
      <c r="U40" s="28" t="s">
        <v>266</v>
      </c>
      <c r="V40" s="28">
        <v>1.0</v>
      </c>
      <c r="W40" s="28" t="s">
        <v>304</v>
      </c>
      <c r="X40" s="28">
        <v>1.0</v>
      </c>
      <c r="Y40" s="28" t="s">
        <v>257</v>
      </c>
      <c r="Z40" s="28">
        <v>1.0</v>
      </c>
      <c r="AA40" s="28" t="s">
        <v>276</v>
      </c>
      <c r="AB40" s="28">
        <v>1.0</v>
      </c>
      <c r="AC40" s="28" t="s">
        <v>291</v>
      </c>
      <c r="AD40" s="28">
        <v>2.0</v>
      </c>
      <c r="AE40" s="28" t="s">
        <v>276</v>
      </c>
      <c r="AF40" s="28">
        <v>2.0</v>
      </c>
      <c r="AG40" s="28" t="s">
        <v>236</v>
      </c>
      <c r="AH40" s="28">
        <v>1.0</v>
      </c>
      <c r="AI40" s="28" t="s">
        <v>266</v>
      </c>
      <c r="AJ40" s="28">
        <v>1.0</v>
      </c>
      <c r="AK40" s="28" t="s">
        <v>273</v>
      </c>
      <c r="AL40" s="28">
        <v>2.0</v>
      </c>
      <c r="AM40" s="28" t="s">
        <v>276</v>
      </c>
      <c r="AN40" s="28">
        <v>1.0</v>
      </c>
      <c r="AO40" s="127"/>
      <c r="AP40" s="127"/>
      <c r="AQ40" s="127"/>
      <c r="AR40" s="127"/>
    </row>
    <row r="41">
      <c r="A41" s="28" t="s">
        <v>258</v>
      </c>
      <c r="B41" s="28">
        <v>1.0</v>
      </c>
      <c r="C41" s="28" t="s">
        <v>285</v>
      </c>
      <c r="D41" s="28">
        <v>1.0</v>
      </c>
      <c r="E41" s="28" t="s">
        <v>276</v>
      </c>
      <c r="F41" s="28">
        <v>2.0</v>
      </c>
      <c r="G41" s="28" t="s">
        <v>255</v>
      </c>
      <c r="H41" s="28">
        <v>3.0</v>
      </c>
      <c r="I41" s="28" t="s">
        <v>248</v>
      </c>
      <c r="J41" s="28">
        <v>1.0</v>
      </c>
      <c r="K41" s="28" t="s">
        <v>248</v>
      </c>
      <c r="L41" s="28">
        <v>1.0</v>
      </c>
      <c r="M41" s="28" t="s">
        <v>255</v>
      </c>
      <c r="N41" s="28">
        <v>1.0</v>
      </c>
      <c r="O41" s="28" t="s">
        <v>279</v>
      </c>
      <c r="P41" s="28">
        <v>1.0</v>
      </c>
      <c r="Q41" s="28" t="s">
        <v>279</v>
      </c>
      <c r="R41" s="28">
        <v>1.0</v>
      </c>
      <c r="S41" s="28" t="s">
        <v>262</v>
      </c>
      <c r="T41" s="28">
        <v>1.0</v>
      </c>
      <c r="U41" s="28" t="s">
        <v>471</v>
      </c>
      <c r="V41" s="28">
        <v>1.0</v>
      </c>
      <c r="W41" s="28" t="s">
        <v>285</v>
      </c>
      <c r="X41" s="28">
        <v>1.0</v>
      </c>
      <c r="Y41" s="28" t="s">
        <v>258</v>
      </c>
      <c r="Z41" s="28">
        <v>1.0</v>
      </c>
      <c r="AA41" s="28" t="s">
        <v>279</v>
      </c>
      <c r="AB41" s="28">
        <v>1.0</v>
      </c>
      <c r="AC41" s="28" t="s">
        <v>241</v>
      </c>
      <c r="AD41" s="28">
        <v>1.0</v>
      </c>
      <c r="AE41" s="28" t="s">
        <v>255</v>
      </c>
      <c r="AF41" s="28">
        <v>1.0</v>
      </c>
      <c r="AG41" s="28" t="s">
        <v>248</v>
      </c>
      <c r="AH41" s="28">
        <v>2.0</v>
      </c>
      <c r="AI41" s="28" t="s">
        <v>292</v>
      </c>
      <c r="AJ41" s="28">
        <v>1.0</v>
      </c>
      <c r="AK41" s="28" t="s">
        <v>291</v>
      </c>
      <c r="AL41" s="28">
        <v>1.0</v>
      </c>
      <c r="AM41" s="28" t="s">
        <v>475</v>
      </c>
      <c r="AN41" s="28">
        <v>1.0</v>
      </c>
      <c r="AO41" s="127"/>
      <c r="AP41" s="127"/>
      <c r="AQ41" s="127"/>
      <c r="AR41" s="127"/>
    </row>
    <row r="42">
      <c r="A42" s="28" t="s">
        <v>261</v>
      </c>
      <c r="B42" s="28">
        <v>3.0</v>
      </c>
      <c r="C42" s="28" t="s">
        <v>281</v>
      </c>
      <c r="D42" s="28">
        <v>1.0</v>
      </c>
      <c r="E42" s="28" t="s">
        <v>249</v>
      </c>
      <c r="F42" s="28">
        <v>1.0</v>
      </c>
      <c r="G42" s="28" t="s">
        <v>283</v>
      </c>
      <c r="H42" s="28">
        <v>1.0</v>
      </c>
      <c r="I42" s="28" t="s">
        <v>266</v>
      </c>
      <c r="J42" s="28">
        <v>1.0</v>
      </c>
      <c r="K42" s="28" t="s">
        <v>471</v>
      </c>
      <c r="L42" s="28">
        <v>1.0</v>
      </c>
      <c r="M42" s="28" t="s">
        <v>283</v>
      </c>
      <c r="N42" s="28">
        <v>1.0</v>
      </c>
      <c r="O42" s="28" t="s">
        <v>475</v>
      </c>
      <c r="P42" s="28">
        <v>1.0</v>
      </c>
      <c r="Q42" s="28" t="s">
        <v>255</v>
      </c>
      <c r="R42" s="28">
        <v>2.0</v>
      </c>
      <c r="S42" s="28" t="s">
        <v>302</v>
      </c>
      <c r="T42" s="28">
        <v>2.0</v>
      </c>
      <c r="U42" s="28" t="s">
        <v>292</v>
      </c>
      <c r="V42" s="28">
        <v>1.0</v>
      </c>
      <c r="W42" s="28" t="s">
        <v>281</v>
      </c>
      <c r="X42" s="28">
        <v>1.0</v>
      </c>
      <c r="Y42" s="28" t="s">
        <v>263</v>
      </c>
      <c r="Z42" s="28">
        <v>1.0</v>
      </c>
      <c r="AA42" s="28" t="s">
        <v>257</v>
      </c>
      <c r="AB42" s="28">
        <v>2.0</v>
      </c>
      <c r="AC42" s="28" t="s">
        <v>248</v>
      </c>
      <c r="AD42" s="28">
        <v>1.0</v>
      </c>
      <c r="AE42" s="28" t="s">
        <v>261</v>
      </c>
      <c r="AF42" s="28">
        <v>2.0</v>
      </c>
      <c r="AG42" s="28" t="s">
        <v>257</v>
      </c>
      <c r="AH42" s="28">
        <v>1.0</v>
      </c>
      <c r="AI42" s="28" t="s">
        <v>277</v>
      </c>
      <c r="AJ42" s="28">
        <v>1.0</v>
      </c>
      <c r="AK42" s="28" t="s">
        <v>248</v>
      </c>
      <c r="AL42" s="28">
        <v>1.0</v>
      </c>
      <c r="AM42" s="28" t="s">
        <v>304</v>
      </c>
      <c r="AN42" s="28">
        <v>1.0</v>
      </c>
      <c r="AO42" s="127"/>
      <c r="AP42" s="127"/>
      <c r="AQ42" s="127"/>
      <c r="AR42" s="127"/>
    </row>
    <row r="43">
      <c r="A43" s="28" t="s">
        <v>271</v>
      </c>
      <c r="B43" s="28">
        <v>1.0</v>
      </c>
      <c r="C43" s="28" t="s">
        <v>294</v>
      </c>
      <c r="D43" s="28">
        <v>1.0</v>
      </c>
      <c r="E43" s="28" t="s">
        <v>257</v>
      </c>
      <c r="F43" s="28">
        <v>1.0</v>
      </c>
      <c r="G43" s="28" t="s">
        <v>299</v>
      </c>
      <c r="H43" s="28">
        <v>1.0</v>
      </c>
      <c r="I43" s="28" t="s">
        <v>292</v>
      </c>
      <c r="J43" s="28">
        <v>1.0</v>
      </c>
      <c r="K43" s="28" t="s">
        <v>276</v>
      </c>
      <c r="L43" s="28">
        <v>2.0</v>
      </c>
      <c r="M43" s="28" t="s">
        <v>261</v>
      </c>
      <c r="N43" s="28">
        <v>1.0</v>
      </c>
      <c r="O43" s="28" t="s">
        <v>258</v>
      </c>
      <c r="P43" s="28">
        <v>2.0</v>
      </c>
      <c r="Q43" s="28" t="s">
        <v>283</v>
      </c>
      <c r="R43" s="28">
        <v>1.0</v>
      </c>
      <c r="S43" s="28" t="s">
        <v>261</v>
      </c>
      <c r="T43" s="28">
        <v>6.0</v>
      </c>
      <c r="U43" s="28" t="s">
        <v>276</v>
      </c>
      <c r="V43" s="28">
        <v>1.0</v>
      </c>
      <c r="W43" s="28" t="s">
        <v>294</v>
      </c>
      <c r="X43" s="28">
        <v>2.0</v>
      </c>
      <c r="Y43" s="28" t="s">
        <v>299</v>
      </c>
      <c r="Z43" s="28">
        <v>1.0</v>
      </c>
      <c r="AA43" s="28" t="s">
        <v>258</v>
      </c>
      <c r="AB43" s="28">
        <v>1.0</v>
      </c>
      <c r="AC43" s="28" t="s">
        <v>292</v>
      </c>
      <c r="AD43" s="28">
        <v>2.0</v>
      </c>
      <c r="AE43" s="28" t="s">
        <v>271</v>
      </c>
      <c r="AF43" s="28">
        <v>1.0</v>
      </c>
      <c r="AG43" s="28" t="s">
        <v>258</v>
      </c>
      <c r="AH43" s="28">
        <v>1.0</v>
      </c>
      <c r="AI43" s="28" t="s">
        <v>249</v>
      </c>
      <c r="AJ43" s="28">
        <v>1.0</v>
      </c>
      <c r="AK43" s="28" t="s">
        <v>279</v>
      </c>
      <c r="AL43" s="28">
        <v>1.0</v>
      </c>
      <c r="AM43" s="28" t="s">
        <v>261</v>
      </c>
      <c r="AN43" s="28">
        <v>10.0</v>
      </c>
      <c r="AO43" s="127"/>
      <c r="AP43" s="127"/>
      <c r="AQ43" s="127"/>
      <c r="AR43" s="127"/>
    </row>
    <row r="44">
      <c r="A44" s="28" t="s">
        <v>285</v>
      </c>
      <c r="B44" s="28">
        <v>1.0</v>
      </c>
      <c r="C44" s="28" t="s">
        <v>319</v>
      </c>
      <c r="D44" s="28">
        <v>1.0</v>
      </c>
      <c r="E44" s="28" t="s">
        <v>258</v>
      </c>
      <c r="F44" s="28">
        <v>1.0</v>
      </c>
      <c r="G44" s="28" t="s">
        <v>271</v>
      </c>
      <c r="H44" s="28">
        <v>1.0</v>
      </c>
      <c r="I44" s="28" t="s">
        <v>276</v>
      </c>
      <c r="J44" s="28">
        <v>1.0</v>
      </c>
      <c r="K44" s="28" t="s">
        <v>279</v>
      </c>
      <c r="L44" s="28">
        <v>1.0</v>
      </c>
      <c r="M44" s="28" t="s">
        <v>285</v>
      </c>
      <c r="N44" s="28">
        <v>1.0</v>
      </c>
      <c r="O44" s="28" t="s">
        <v>283</v>
      </c>
      <c r="P44" s="28">
        <v>2.0</v>
      </c>
      <c r="Q44" s="28" t="s">
        <v>263</v>
      </c>
      <c r="R44" s="28">
        <v>1.0</v>
      </c>
      <c r="S44" s="28" t="s">
        <v>281</v>
      </c>
      <c r="T44" s="28">
        <v>1.0</v>
      </c>
      <c r="U44" s="28" t="s">
        <v>249</v>
      </c>
      <c r="V44" s="28">
        <v>1.0</v>
      </c>
      <c r="W44" s="28" t="s">
        <v>319</v>
      </c>
      <c r="X44" s="28">
        <v>3.0</v>
      </c>
      <c r="Y44" s="28" t="s">
        <v>271</v>
      </c>
      <c r="Z44" s="28">
        <v>1.0</v>
      </c>
      <c r="AA44" s="28" t="s">
        <v>255</v>
      </c>
      <c r="AB44" s="28">
        <v>2.0</v>
      </c>
      <c r="AC44" s="28" t="s">
        <v>475</v>
      </c>
      <c r="AD44" s="28">
        <v>1.0</v>
      </c>
      <c r="AE44" s="28" t="s">
        <v>285</v>
      </c>
      <c r="AF44" s="28">
        <v>1.0</v>
      </c>
      <c r="AG44" s="28" t="s">
        <v>304</v>
      </c>
      <c r="AH44" s="28">
        <v>1.0</v>
      </c>
      <c r="AI44" s="28" t="s">
        <v>257</v>
      </c>
      <c r="AJ44" s="28">
        <v>1.0</v>
      </c>
      <c r="AK44" s="28" t="s">
        <v>257</v>
      </c>
      <c r="AL44" s="28">
        <v>1.0</v>
      </c>
      <c r="AM44" s="28" t="s">
        <v>271</v>
      </c>
      <c r="AN44" s="28">
        <v>2.0</v>
      </c>
      <c r="AO44" s="127"/>
      <c r="AP44" s="127"/>
      <c r="AQ44" s="127"/>
      <c r="AR44" s="127"/>
    </row>
    <row r="45">
      <c r="A45" s="28" t="s">
        <v>301</v>
      </c>
      <c r="B45" s="28">
        <v>2.0</v>
      </c>
      <c r="C45" s="28" t="s">
        <v>306</v>
      </c>
      <c r="D45" s="28">
        <v>1.0</v>
      </c>
      <c r="E45" s="28" t="s">
        <v>255</v>
      </c>
      <c r="F45" s="28">
        <v>1.0</v>
      </c>
      <c r="G45" s="28" t="s">
        <v>285</v>
      </c>
      <c r="H45" s="28">
        <v>1.0</v>
      </c>
      <c r="I45" s="28" t="s">
        <v>475</v>
      </c>
      <c r="J45" s="28">
        <v>2.0</v>
      </c>
      <c r="K45" s="28" t="s">
        <v>257</v>
      </c>
      <c r="L45" s="28">
        <v>1.0</v>
      </c>
      <c r="M45" s="28" t="s">
        <v>281</v>
      </c>
      <c r="N45" s="28">
        <v>3.0</v>
      </c>
      <c r="O45" s="28" t="s">
        <v>263</v>
      </c>
      <c r="P45" s="28">
        <v>1.0</v>
      </c>
      <c r="Q45" s="28" t="s">
        <v>261</v>
      </c>
      <c r="R45" s="28">
        <v>1.0</v>
      </c>
      <c r="S45" s="28" t="s">
        <v>294</v>
      </c>
      <c r="T45" s="28">
        <v>1.0</v>
      </c>
      <c r="U45" s="28" t="s">
        <v>257</v>
      </c>
      <c r="V45" s="28">
        <v>1.0</v>
      </c>
      <c r="W45" s="28" t="s">
        <v>301</v>
      </c>
      <c r="X45" s="28">
        <v>1.0</v>
      </c>
      <c r="Y45" s="28" t="s">
        <v>285</v>
      </c>
      <c r="Z45" s="28">
        <v>1.0</v>
      </c>
      <c r="AA45" s="28" t="s">
        <v>263</v>
      </c>
      <c r="AB45" s="28">
        <v>1.0</v>
      </c>
      <c r="AC45" s="28" t="s">
        <v>258</v>
      </c>
      <c r="AD45" s="28">
        <v>2.0</v>
      </c>
      <c r="AE45" s="28" t="s">
        <v>301</v>
      </c>
      <c r="AF45" s="28">
        <v>1.0</v>
      </c>
      <c r="AG45" s="28" t="s">
        <v>261</v>
      </c>
      <c r="AH45" s="28">
        <v>2.0</v>
      </c>
      <c r="AI45" s="28" t="s">
        <v>258</v>
      </c>
      <c r="AJ45" s="28">
        <v>2.0</v>
      </c>
      <c r="AK45" s="28" t="s">
        <v>283</v>
      </c>
      <c r="AL45" s="28">
        <v>1.0</v>
      </c>
      <c r="AM45" s="28" t="s">
        <v>285</v>
      </c>
      <c r="AN45" s="28">
        <v>3.0</v>
      </c>
      <c r="AO45" s="127"/>
      <c r="AP45" s="127"/>
      <c r="AQ45" s="127"/>
      <c r="AR45" s="127"/>
    </row>
    <row r="46">
      <c r="A46" s="28" t="s">
        <v>331</v>
      </c>
      <c r="B46" s="28">
        <v>1.0</v>
      </c>
      <c r="C46" s="28" t="s">
        <v>301</v>
      </c>
      <c r="D46" s="28">
        <v>1.0</v>
      </c>
      <c r="E46" s="28" t="s">
        <v>263</v>
      </c>
      <c r="F46" s="28">
        <v>1.0</v>
      </c>
      <c r="G46" s="28" t="s">
        <v>281</v>
      </c>
      <c r="H46" s="28">
        <v>1.0</v>
      </c>
      <c r="I46" s="28" t="s">
        <v>255</v>
      </c>
      <c r="J46" s="28">
        <v>1.0</v>
      </c>
      <c r="K46" s="28" t="s">
        <v>263</v>
      </c>
      <c r="L46" s="28">
        <v>1.0</v>
      </c>
      <c r="M46" s="28" t="s">
        <v>319</v>
      </c>
      <c r="N46" s="28">
        <v>1.0</v>
      </c>
      <c r="O46" s="28" t="s">
        <v>261</v>
      </c>
      <c r="P46" s="28">
        <v>1.0</v>
      </c>
      <c r="Q46" s="28" t="s">
        <v>271</v>
      </c>
      <c r="R46" s="28">
        <v>1.0</v>
      </c>
      <c r="S46" s="28" t="s">
        <v>319</v>
      </c>
      <c r="T46" s="28">
        <v>1.0</v>
      </c>
      <c r="U46" s="28" t="s">
        <v>255</v>
      </c>
      <c r="V46" s="28">
        <v>1.0</v>
      </c>
      <c r="W46" s="28" t="s">
        <v>307</v>
      </c>
      <c r="X46" s="28">
        <v>1.0</v>
      </c>
      <c r="Y46" s="28" t="s">
        <v>281</v>
      </c>
      <c r="Z46" s="28">
        <v>1.0</v>
      </c>
      <c r="AA46" s="28" t="s">
        <v>299</v>
      </c>
      <c r="AB46" s="28">
        <v>1.0</v>
      </c>
      <c r="AC46" s="28" t="s">
        <v>255</v>
      </c>
      <c r="AD46" s="28">
        <v>1.0</v>
      </c>
      <c r="AE46" s="28" t="s">
        <v>331</v>
      </c>
      <c r="AF46" s="28">
        <v>3.0</v>
      </c>
      <c r="AG46" s="28" t="s">
        <v>285</v>
      </c>
      <c r="AH46" s="28">
        <v>2.0</v>
      </c>
      <c r="AI46" s="28" t="s">
        <v>255</v>
      </c>
      <c r="AJ46" s="28">
        <v>1.0</v>
      </c>
      <c r="AK46" s="28" t="s">
        <v>299</v>
      </c>
      <c r="AL46" s="28">
        <v>1.0</v>
      </c>
      <c r="AM46" s="28" t="s">
        <v>281</v>
      </c>
      <c r="AN46" s="28">
        <v>1.0</v>
      </c>
      <c r="AO46" s="127"/>
      <c r="AP46" s="127"/>
      <c r="AQ46" s="127"/>
      <c r="AR46" s="127"/>
    </row>
    <row r="47">
      <c r="A47" s="28" t="s">
        <v>352</v>
      </c>
      <c r="B47" s="28">
        <v>1.0</v>
      </c>
      <c r="C47" s="28" t="s">
        <v>331</v>
      </c>
      <c r="D47" s="28">
        <v>2.0</v>
      </c>
      <c r="E47" s="28" t="s">
        <v>271</v>
      </c>
      <c r="F47" s="28">
        <v>1.0</v>
      </c>
      <c r="G47" s="28" t="s">
        <v>294</v>
      </c>
      <c r="H47" s="28">
        <v>1.0</v>
      </c>
      <c r="I47" s="28" t="s">
        <v>299</v>
      </c>
      <c r="J47" s="28">
        <v>2.0</v>
      </c>
      <c r="K47" s="28" t="s">
        <v>261</v>
      </c>
      <c r="L47" s="28">
        <v>2.0</v>
      </c>
      <c r="M47" s="28" t="s">
        <v>306</v>
      </c>
      <c r="N47" s="28">
        <v>2.0</v>
      </c>
      <c r="O47" s="28" t="s">
        <v>285</v>
      </c>
      <c r="P47" s="28">
        <v>2.0</v>
      </c>
      <c r="Q47" s="28" t="s">
        <v>285</v>
      </c>
      <c r="R47" s="28">
        <v>1.0</v>
      </c>
      <c r="S47" s="28" t="s">
        <v>306</v>
      </c>
      <c r="T47" s="28">
        <v>1.0</v>
      </c>
      <c r="U47" s="28" t="s">
        <v>261</v>
      </c>
      <c r="V47" s="28">
        <v>2.0</v>
      </c>
      <c r="W47" s="28" t="s">
        <v>336</v>
      </c>
      <c r="X47" s="28">
        <v>1.0</v>
      </c>
      <c r="Y47" s="28" t="s">
        <v>306</v>
      </c>
      <c r="Z47" s="28">
        <v>1.0</v>
      </c>
      <c r="AA47" s="28" t="s">
        <v>261</v>
      </c>
      <c r="AB47" s="28">
        <v>1.0</v>
      </c>
      <c r="AC47" s="28" t="s">
        <v>304</v>
      </c>
      <c r="AD47" s="28">
        <v>1.0</v>
      </c>
      <c r="AE47" s="28" t="s">
        <v>320</v>
      </c>
      <c r="AF47" s="28">
        <v>1.0</v>
      </c>
      <c r="AG47" s="28" t="s">
        <v>281</v>
      </c>
      <c r="AH47" s="28">
        <v>1.0</v>
      </c>
      <c r="AI47" s="28" t="s">
        <v>283</v>
      </c>
      <c r="AJ47" s="28">
        <v>1.0</v>
      </c>
      <c r="AK47" s="28" t="s">
        <v>311</v>
      </c>
      <c r="AL47" s="28">
        <v>1.0</v>
      </c>
      <c r="AM47" s="28" t="s">
        <v>294</v>
      </c>
      <c r="AN47" s="28">
        <v>1.0</v>
      </c>
      <c r="AO47" s="127"/>
      <c r="AP47" s="127"/>
      <c r="AQ47" s="127"/>
      <c r="AR47" s="127"/>
    </row>
    <row r="48">
      <c r="A48" s="28" t="s">
        <v>305</v>
      </c>
      <c r="B48" s="28">
        <v>4.0</v>
      </c>
      <c r="C48" s="28" t="s">
        <v>343</v>
      </c>
      <c r="D48" s="28">
        <v>1.0</v>
      </c>
      <c r="E48" s="28" t="s">
        <v>285</v>
      </c>
      <c r="F48" s="28">
        <v>1.0</v>
      </c>
      <c r="G48" s="28" t="s">
        <v>301</v>
      </c>
      <c r="H48" s="28">
        <v>4.0</v>
      </c>
      <c r="I48" s="28" t="s">
        <v>302</v>
      </c>
      <c r="J48" s="28">
        <v>1.0</v>
      </c>
      <c r="K48" s="28" t="s">
        <v>294</v>
      </c>
      <c r="L48" s="28">
        <v>1.0</v>
      </c>
      <c r="M48" s="28" t="s">
        <v>343</v>
      </c>
      <c r="N48" s="28">
        <v>1.0</v>
      </c>
      <c r="O48" s="28" t="s">
        <v>281</v>
      </c>
      <c r="P48" s="28">
        <v>3.0</v>
      </c>
      <c r="Q48" s="28" t="s">
        <v>281</v>
      </c>
      <c r="R48" s="28">
        <v>2.0</v>
      </c>
      <c r="S48" s="28" t="s">
        <v>301</v>
      </c>
      <c r="T48" s="28">
        <v>5.0</v>
      </c>
      <c r="U48" s="28" t="s">
        <v>271</v>
      </c>
      <c r="V48" s="28">
        <v>1.0</v>
      </c>
      <c r="W48" s="28" t="s">
        <v>352</v>
      </c>
      <c r="X48" s="28">
        <v>1.0</v>
      </c>
      <c r="Y48" s="28" t="s">
        <v>301</v>
      </c>
      <c r="Z48" s="28">
        <v>2.0</v>
      </c>
      <c r="AA48" s="28" t="s">
        <v>271</v>
      </c>
      <c r="AB48" s="28">
        <v>1.0</v>
      </c>
      <c r="AC48" s="28" t="s">
        <v>299</v>
      </c>
      <c r="AD48" s="28">
        <v>1.0</v>
      </c>
      <c r="AE48" s="28" t="s">
        <v>335</v>
      </c>
      <c r="AF48" s="28">
        <v>1.0</v>
      </c>
      <c r="AG48" s="28" t="s">
        <v>319</v>
      </c>
      <c r="AH48" s="28">
        <v>3.0</v>
      </c>
      <c r="AI48" s="28" t="s">
        <v>261</v>
      </c>
      <c r="AJ48" s="28">
        <v>2.0</v>
      </c>
      <c r="AK48" s="28" t="s">
        <v>261</v>
      </c>
      <c r="AL48" s="28">
        <v>1.0</v>
      </c>
      <c r="AM48" s="28" t="s">
        <v>317</v>
      </c>
      <c r="AN48" s="28">
        <v>2.0</v>
      </c>
      <c r="AO48" s="127"/>
      <c r="AP48" s="127"/>
      <c r="AQ48" s="127"/>
      <c r="AR48" s="127"/>
    </row>
    <row r="49">
      <c r="A49" s="28" t="s">
        <v>357</v>
      </c>
      <c r="B49" s="28">
        <v>2.0</v>
      </c>
      <c r="C49" s="28" t="s">
        <v>359</v>
      </c>
      <c r="D49" s="28">
        <v>1.0</v>
      </c>
      <c r="E49" s="28" t="s">
        <v>281</v>
      </c>
      <c r="F49" s="28">
        <v>2.0</v>
      </c>
      <c r="G49" s="28" t="s">
        <v>490</v>
      </c>
      <c r="H49" s="28">
        <v>1.0</v>
      </c>
      <c r="I49" s="28" t="s">
        <v>261</v>
      </c>
      <c r="J49" s="28">
        <v>4.0</v>
      </c>
      <c r="K49" s="28" t="s">
        <v>319</v>
      </c>
      <c r="L49" s="28">
        <v>1.0</v>
      </c>
      <c r="M49" s="28" t="s">
        <v>359</v>
      </c>
      <c r="N49" s="28">
        <v>2.0</v>
      </c>
      <c r="O49" s="28" t="s">
        <v>319</v>
      </c>
      <c r="P49" s="28">
        <v>2.0</v>
      </c>
      <c r="Q49" s="28" t="s">
        <v>294</v>
      </c>
      <c r="R49" s="28">
        <v>1.0</v>
      </c>
      <c r="S49" s="28" t="s">
        <v>297</v>
      </c>
      <c r="T49" s="28">
        <v>1.0</v>
      </c>
      <c r="U49" s="28" t="s">
        <v>294</v>
      </c>
      <c r="V49" s="28">
        <v>1.0</v>
      </c>
      <c r="W49" s="28" t="s">
        <v>375</v>
      </c>
      <c r="X49" s="28">
        <v>2.0</v>
      </c>
      <c r="Y49" s="28" t="s">
        <v>315</v>
      </c>
      <c r="Z49" s="28">
        <v>1.0</v>
      </c>
      <c r="AA49" s="28" t="s">
        <v>285</v>
      </c>
      <c r="AB49" s="28">
        <v>1.0</v>
      </c>
      <c r="AC49" s="28" t="s">
        <v>302</v>
      </c>
      <c r="AD49" s="28">
        <v>2.0</v>
      </c>
      <c r="AE49" s="28" t="s">
        <v>366</v>
      </c>
      <c r="AF49" s="28">
        <v>1.0</v>
      </c>
      <c r="AG49" s="28" t="s">
        <v>306</v>
      </c>
      <c r="AH49" s="28">
        <v>1.0</v>
      </c>
      <c r="AI49" s="28" t="s">
        <v>271</v>
      </c>
      <c r="AJ49" s="28">
        <v>1.0</v>
      </c>
      <c r="AK49" s="28" t="s">
        <v>271</v>
      </c>
      <c r="AL49" s="28">
        <v>1.0</v>
      </c>
      <c r="AM49" s="28" t="s">
        <v>319</v>
      </c>
      <c r="AN49" s="28">
        <v>1.0</v>
      </c>
      <c r="AO49" s="127"/>
      <c r="AP49" s="127"/>
      <c r="AQ49" s="127"/>
      <c r="AR49" s="127"/>
    </row>
    <row r="50">
      <c r="A50" s="28" t="s">
        <v>379</v>
      </c>
      <c r="B50" s="28">
        <v>1.0</v>
      </c>
      <c r="C50" s="28" t="s">
        <v>305</v>
      </c>
      <c r="D50" s="28">
        <v>1.0</v>
      </c>
      <c r="E50" s="28" t="s">
        <v>294</v>
      </c>
      <c r="F50" s="28">
        <v>2.0</v>
      </c>
      <c r="G50" s="28" t="s">
        <v>297</v>
      </c>
      <c r="H50" s="28">
        <v>1.0</v>
      </c>
      <c r="I50" s="28" t="s">
        <v>271</v>
      </c>
      <c r="J50" s="28">
        <v>2.0</v>
      </c>
      <c r="K50" s="28" t="s">
        <v>301</v>
      </c>
      <c r="L50" s="28">
        <v>2.0</v>
      </c>
      <c r="M50" s="28" t="s">
        <v>309</v>
      </c>
      <c r="N50" s="28">
        <v>1.0</v>
      </c>
      <c r="O50" s="28" t="s">
        <v>306</v>
      </c>
      <c r="P50" s="28">
        <v>1.0</v>
      </c>
      <c r="Q50" s="28" t="s">
        <v>301</v>
      </c>
      <c r="R50" s="28">
        <v>2.0</v>
      </c>
      <c r="S50" s="28" t="s">
        <v>323</v>
      </c>
      <c r="T50" s="28">
        <v>1.0</v>
      </c>
      <c r="U50" s="28" t="s">
        <v>319</v>
      </c>
      <c r="V50" s="28">
        <v>2.0</v>
      </c>
      <c r="W50" s="28" t="s">
        <v>312</v>
      </c>
      <c r="X50" s="28">
        <v>1.0</v>
      </c>
      <c r="Y50" s="28" t="s">
        <v>323</v>
      </c>
      <c r="Z50" s="28">
        <v>1.0</v>
      </c>
      <c r="AA50" s="28" t="s">
        <v>294</v>
      </c>
      <c r="AB50" s="28">
        <v>1.0</v>
      </c>
      <c r="AC50" s="28" t="s">
        <v>261</v>
      </c>
      <c r="AD50" s="28">
        <v>5.0</v>
      </c>
      <c r="AE50" s="28" t="s">
        <v>379</v>
      </c>
      <c r="AF50" s="28">
        <v>2.0</v>
      </c>
      <c r="AG50" s="28" t="s">
        <v>301</v>
      </c>
      <c r="AH50" s="28">
        <v>1.0</v>
      </c>
      <c r="AI50" s="28" t="s">
        <v>285</v>
      </c>
      <c r="AJ50" s="28">
        <v>2.0</v>
      </c>
      <c r="AK50" s="28" t="s">
        <v>285</v>
      </c>
      <c r="AL50" s="28">
        <v>4.0</v>
      </c>
      <c r="AM50" s="28" t="s">
        <v>301</v>
      </c>
      <c r="AN50" s="28">
        <v>7.0</v>
      </c>
      <c r="AO50" s="127"/>
      <c r="AP50" s="127"/>
      <c r="AQ50" s="127"/>
      <c r="AR50" s="127"/>
    </row>
    <row r="51">
      <c r="A51" s="28" t="s">
        <v>356</v>
      </c>
      <c r="B51" s="28">
        <v>1.0</v>
      </c>
      <c r="C51" s="28" t="s">
        <v>320</v>
      </c>
      <c r="D51" s="28">
        <v>1.0</v>
      </c>
      <c r="E51" s="28" t="s">
        <v>319</v>
      </c>
      <c r="F51" s="28">
        <v>1.0</v>
      </c>
      <c r="G51" s="28" t="s">
        <v>315</v>
      </c>
      <c r="H51" s="28">
        <v>1.0</v>
      </c>
      <c r="I51" s="28" t="s">
        <v>281</v>
      </c>
      <c r="J51" s="28">
        <v>2.0</v>
      </c>
      <c r="K51" s="28" t="s">
        <v>300</v>
      </c>
      <c r="L51" s="28">
        <v>1.0</v>
      </c>
      <c r="M51" s="28" t="s">
        <v>312</v>
      </c>
      <c r="N51" s="28">
        <v>1.0</v>
      </c>
      <c r="O51" s="28" t="s">
        <v>301</v>
      </c>
      <c r="P51" s="28">
        <v>1.0</v>
      </c>
      <c r="Q51" s="28" t="s">
        <v>490</v>
      </c>
      <c r="R51" s="28">
        <v>1.0</v>
      </c>
      <c r="S51" s="28" t="s">
        <v>307</v>
      </c>
      <c r="T51" s="28">
        <v>1.0</v>
      </c>
      <c r="U51" s="28" t="s">
        <v>301</v>
      </c>
      <c r="V51" s="28">
        <v>1.0</v>
      </c>
      <c r="W51" s="28" t="s">
        <v>366</v>
      </c>
      <c r="X51" s="28">
        <v>2.0</v>
      </c>
      <c r="Y51" s="28" t="s">
        <v>300</v>
      </c>
      <c r="Z51" s="28">
        <v>2.0</v>
      </c>
      <c r="AA51" s="28" t="s">
        <v>319</v>
      </c>
      <c r="AB51" s="28">
        <v>1.0</v>
      </c>
      <c r="AC51" s="28" t="s">
        <v>271</v>
      </c>
      <c r="AD51" s="28">
        <v>2.0</v>
      </c>
      <c r="AE51" s="28" t="s">
        <v>356</v>
      </c>
      <c r="AF51" s="28">
        <v>2.0</v>
      </c>
      <c r="AG51" s="28" t="s">
        <v>331</v>
      </c>
      <c r="AH51" s="28">
        <v>1.0</v>
      </c>
      <c r="AI51" s="28" t="s">
        <v>317</v>
      </c>
      <c r="AJ51" s="28">
        <v>1.0</v>
      </c>
      <c r="AK51" s="28" t="s">
        <v>294</v>
      </c>
      <c r="AL51" s="28">
        <v>1.0</v>
      </c>
      <c r="AM51" s="28" t="s">
        <v>297</v>
      </c>
      <c r="AN51" s="28">
        <v>1.0</v>
      </c>
      <c r="AO51" s="127"/>
      <c r="AP51" s="127"/>
      <c r="AQ51" s="127"/>
      <c r="AR51" s="127"/>
    </row>
    <row r="52">
      <c r="A52" s="28" t="s">
        <v>322</v>
      </c>
      <c r="B52" s="28">
        <v>3.0</v>
      </c>
      <c r="C52" s="28" t="s">
        <v>309</v>
      </c>
      <c r="D52" s="28">
        <v>1.0</v>
      </c>
      <c r="E52" s="28" t="s">
        <v>306</v>
      </c>
      <c r="F52" s="28">
        <v>1.0</v>
      </c>
      <c r="G52" s="28" t="s">
        <v>307</v>
      </c>
      <c r="H52" s="28">
        <v>1.0</v>
      </c>
      <c r="I52" s="28" t="s">
        <v>294</v>
      </c>
      <c r="J52" s="28">
        <v>2.0</v>
      </c>
      <c r="K52" s="28" t="s">
        <v>307</v>
      </c>
      <c r="L52" s="28">
        <v>1.0</v>
      </c>
      <c r="M52" s="28" t="s">
        <v>354</v>
      </c>
      <c r="N52" s="28">
        <v>1.0</v>
      </c>
      <c r="O52" s="28" t="s">
        <v>297</v>
      </c>
      <c r="P52" s="28">
        <v>1.0</v>
      </c>
      <c r="Q52" s="28" t="s">
        <v>297</v>
      </c>
      <c r="R52" s="28">
        <v>1.0</v>
      </c>
      <c r="S52" s="28" t="s">
        <v>316</v>
      </c>
      <c r="T52" s="28">
        <v>1.0</v>
      </c>
      <c r="U52" s="28" t="s">
        <v>297</v>
      </c>
      <c r="V52" s="28">
        <v>1.0</v>
      </c>
      <c r="W52" s="28" t="s">
        <v>314</v>
      </c>
      <c r="X52" s="28">
        <v>2.0</v>
      </c>
      <c r="Y52" s="28" t="s">
        <v>331</v>
      </c>
      <c r="Z52" s="28">
        <v>2.0</v>
      </c>
      <c r="AA52" s="28" t="s">
        <v>301</v>
      </c>
      <c r="AB52" s="28">
        <v>1.0</v>
      </c>
      <c r="AC52" s="28" t="s">
        <v>294</v>
      </c>
      <c r="AD52" s="28">
        <v>1.0</v>
      </c>
      <c r="AE52" s="28" t="s">
        <v>361</v>
      </c>
      <c r="AF52" s="28">
        <v>3.0</v>
      </c>
      <c r="AG52" s="28" t="s">
        <v>336</v>
      </c>
      <c r="AH52" s="28">
        <v>1.0</v>
      </c>
      <c r="AI52" s="28" t="s">
        <v>315</v>
      </c>
      <c r="AJ52" s="28">
        <v>1.0</v>
      </c>
      <c r="AK52" s="28" t="s">
        <v>317</v>
      </c>
      <c r="AL52" s="28">
        <v>1.0</v>
      </c>
      <c r="AM52" s="28" t="s">
        <v>315</v>
      </c>
      <c r="AN52" s="28">
        <v>2.0</v>
      </c>
      <c r="AO52" s="127"/>
      <c r="AP52" s="127"/>
      <c r="AQ52" s="127"/>
      <c r="AR52" s="127"/>
    </row>
    <row r="53">
      <c r="A53" s="28" t="s">
        <v>364</v>
      </c>
      <c r="B53" s="28">
        <v>1.0</v>
      </c>
      <c r="C53" s="28" t="s">
        <v>312</v>
      </c>
      <c r="D53" s="28">
        <v>3.0</v>
      </c>
      <c r="E53" s="28" t="s">
        <v>301</v>
      </c>
      <c r="F53" s="28">
        <v>4.0</v>
      </c>
      <c r="G53" s="28" t="s">
        <v>343</v>
      </c>
      <c r="H53" s="28">
        <v>1.0</v>
      </c>
      <c r="I53" s="28" t="s">
        <v>319</v>
      </c>
      <c r="J53" s="28">
        <v>2.0</v>
      </c>
      <c r="K53" s="28" t="s">
        <v>340</v>
      </c>
      <c r="L53" s="28">
        <v>1.0</v>
      </c>
      <c r="M53" s="28" t="s">
        <v>366</v>
      </c>
      <c r="N53" s="28">
        <v>1.0</v>
      </c>
      <c r="O53" s="28" t="s">
        <v>315</v>
      </c>
      <c r="P53" s="28">
        <v>1.0</v>
      </c>
      <c r="Q53" s="28" t="s">
        <v>315</v>
      </c>
      <c r="R53" s="28">
        <v>1.0</v>
      </c>
      <c r="S53" s="28" t="s">
        <v>343</v>
      </c>
      <c r="T53" s="28">
        <v>2.0</v>
      </c>
      <c r="U53" s="28" t="s">
        <v>331</v>
      </c>
      <c r="V53" s="28">
        <v>1.0</v>
      </c>
      <c r="W53" s="28" t="s">
        <v>327</v>
      </c>
      <c r="X53" s="28">
        <v>1.0</v>
      </c>
      <c r="Y53" s="28" t="s">
        <v>340</v>
      </c>
      <c r="Z53" s="28">
        <v>1.0</v>
      </c>
      <c r="AA53" s="28" t="s">
        <v>297</v>
      </c>
      <c r="AB53" s="28">
        <v>1.0</v>
      </c>
      <c r="AC53" s="28" t="s">
        <v>317</v>
      </c>
      <c r="AD53" s="28">
        <v>1.0</v>
      </c>
      <c r="AE53" s="28" t="s">
        <v>370</v>
      </c>
      <c r="AF53" s="28">
        <v>1.0</v>
      </c>
      <c r="AG53" s="28" t="s">
        <v>320</v>
      </c>
      <c r="AH53" s="28">
        <v>1.0</v>
      </c>
      <c r="AI53" s="28" t="s">
        <v>323</v>
      </c>
      <c r="AJ53" s="28">
        <v>2.0</v>
      </c>
      <c r="AK53" s="28" t="s">
        <v>319</v>
      </c>
      <c r="AL53" s="28">
        <v>1.0</v>
      </c>
      <c r="AM53" s="28" t="s">
        <v>307</v>
      </c>
      <c r="AN53" s="28">
        <v>2.0</v>
      </c>
      <c r="AO53" s="127"/>
      <c r="AP53" s="127"/>
      <c r="AQ53" s="127"/>
      <c r="AR53" s="127"/>
    </row>
    <row r="54">
      <c r="A54" s="28" t="s">
        <v>383</v>
      </c>
      <c r="B54" s="28">
        <v>2.0</v>
      </c>
      <c r="C54" s="28" t="s">
        <v>366</v>
      </c>
      <c r="D54" s="28">
        <v>1.0</v>
      </c>
      <c r="E54" s="28" t="s">
        <v>315</v>
      </c>
      <c r="F54" s="28">
        <v>3.0</v>
      </c>
      <c r="G54" s="28" t="s">
        <v>352</v>
      </c>
      <c r="H54" s="28">
        <v>1.0</v>
      </c>
      <c r="I54" s="28" t="s">
        <v>301</v>
      </c>
      <c r="J54" s="28">
        <v>1.0</v>
      </c>
      <c r="K54" s="28" t="s">
        <v>343</v>
      </c>
      <c r="L54" s="28">
        <v>1.0</v>
      </c>
      <c r="M54" s="28" t="s">
        <v>314</v>
      </c>
      <c r="N54" s="28">
        <v>2.0</v>
      </c>
      <c r="O54" s="28" t="s">
        <v>300</v>
      </c>
      <c r="P54" s="28">
        <v>3.0</v>
      </c>
      <c r="Q54" s="28" t="s">
        <v>331</v>
      </c>
      <c r="R54" s="28">
        <v>1.0</v>
      </c>
      <c r="S54" s="28" t="s">
        <v>352</v>
      </c>
      <c r="T54" s="28">
        <v>1.0</v>
      </c>
      <c r="U54" s="28" t="s">
        <v>305</v>
      </c>
      <c r="V54" s="28">
        <v>2.0</v>
      </c>
      <c r="W54" s="28" t="s">
        <v>349</v>
      </c>
      <c r="X54" s="28">
        <v>1.0</v>
      </c>
      <c r="Y54" s="28" t="s">
        <v>310</v>
      </c>
      <c r="Z54" s="28">
        <v>1.0</v>
      </c>
      <c r="AA54" s="28" t="s">
        <v>323</v>
      </c>
      <c r="AB54" s="28">
        <v>1.0</v>
      </c>
      <c r="AC54" s="28" t="s">
        <v>301</v>
      </c>
      <c r="AD54" s="28">
        <v>2.0</v>
      </c>
      <c r="AE54" s="28" t="s">
        <v>329</v>
      </c>
      <c r="AF54" s="28">
        <v>1.0</v>
      </c>
      <c r="AG54" s="28" t="s">
        <v>309</v>
      </c>
      <c r="AH54" s="28">
        <v>1.0</v>
      </c>
      <c r="AI54" s="28" t="s">
        <v>300</v>
      </c>
      <c r="AJ54" s="28">
        <v>3.0</v>
      </c>
      <c r="AK54" s="28" t="s">
        <v>301</v>
      </c>
      <c r="AL54" s="28">
        <v>2.0</v>
      </c>
      <c r="AM54" s="28" t="s">
        <v>331</v>
      </c>
      <c r="AN54" s="28">
        <v>1.0</v>
      </c>
      <c r="AO54" s="127"/>
      <c r="AP54" s="127"/>
      <c r="AQ54" s="127"/>
      <c r="AR54" s="127"/>
    </row>
    <row r="55">
      <c r="A55" s="28" t="s">
        <v>486</v>
      </c>
      <c r="B55" s="28">
        <v>1.0</v>
      </c>
      <c r="C55" s="28" t="s">
        <v>314</v>
      </c>
      <c r="D55" s="28">
        <v>3.0</v>
      </c>
      <c r="E55" s="28" t="s">
        <v>323</v>
      </c>
      <c r="F55" s="28">
        <v>1.0</v>
      </c>
      <c r="G55" s="28" t="s">
        <v>360</v>
      </c>
      <c r="H55" s="28">
        <v>1.0</v>
      </c>
      <c r="I55" s="28" t="s">
        <v>297</v>
      </c>
      <c r="J55" s="28">
        <v>1.0</v>
      </c>
      <c r="K55" s="28" t="s">
        <v>305</v>
      </c>
      <c r="L55" s="28">
        <v>2.0</v>
      </c>
      <c r="M55" s="28" t="s">
        <v>385</v>
      </c>
      <c r="N55" s="28">
        <v>1.0</v>
      </c>
      <c r="O55" s="28" t="s">
        <v>331</v>
      </c>
      <c r="P55" s="28">
        <v>2.0</v>
      </c>
      <c r="Q55" s="28" t="s">
        <v>343</v>
      </c>
      <c r="R55" s="28">
        <v>2.0</v>
      </c>
      <c r="S55" s="28" t="s">
        <v>362</v>
      </c>
      <c r="T55" s="28">
        <v>1.0</v>
      </c>
      <c r="U55" s="28" t="s">
        <v>366</v>
      </c>
      <c r="V55" s="28">
        <v>1.0</v>
      </c>
      <c r="W55" s="28" t="s">
        <v>361</v>
      </c>
      <c r="X55" s="28">
        <v>2.0</v>
      </c>
      <c r="Y55" s="28" t="s">
        <v>352</v>
      </c>
      <c r="Z55" s="28">
        <v>1.0</v>
      </c>
      <c r="AA55" s="28" t="s">
        <v>316</v>
      </c>
      <c r="AB55" s="28">
        <v>1.0</v>
      </c>
      <c r="AC55" s="28" t="s">
        <v>331</v>
      </c>
      <c r="AD55" s="28">
        <v>2.0</v>
      </c>
      <c r="AE55" s="28" t="s">
        <v>368</v>
      </c>
      <c r="AF55" s="28">
        <v>1.0</v>
      </c>
      <c r="AG55" s="28" t="s">
        <v>312</v>
      </c>
      <c r="AH55" s="28">
        <v>1.0</v>
      </c>
      <c r="AI55" s="28" t="s">
        <v>307</v>
      </c>
      <c r="AJ55" s="28">
        <v>1.0</v>
      </c>
      <c r="AK55" s="28" t="s">
        <v>315</v>
      </c>
      <c r="AL55" s="28">
        <v>1.0</v>
      </c>
      <c r="AM55" s="28" t="s">
        <v>336</v>
      </c>
      <c r="AN55" s="28">
        <v>1.0</v>
      </c>
      <c r="AO55" s="127"/>
      <c r="AP55" s="127"/>
      <c r="AQ55" s="127"/>
      <c r="AR55" s="127"/>
    </row>
    <row r="56">
      <c r="A56" s="28" t="s">
        <v>392</v>
      </c>
      <c r="B56" s="28">
        <v>1.0</v>
      </c>
      <c r="C56" s="28" t="s">
        <v>379</v>
      </c>
      <c r="D56" s="28">
        <v>1.0</v>
      </c>
      <c r="E56" s="28" t="s">
        <v>300</v>
      </c>
      <c r="F56" s="28">
        <v>1.0</v>
      </c>
      <c r="G56" s="28" t="s">
        <v>362</v>
      </c>
      <c r="H56" s="28">
        <v>1.0</v>
      </c>
      <c r="I56" s="28" t="s">
        <v>315</v>
      </c>
      <c r="J56" s="28">
        <v>1.0</v>
      </c>
      <c r="K56" s="28" t="s">
        <v>354</v>
      </c>
      <c r="L56" s="28">
        <v>1.0</v>
      </c>
      <c r="M56" s="28" t="s">
        <v>361</v>
      </c>
      <c r="N56" s="28">
        <v>1.0</v>
      </c>
      <c r="O56" s="28" t="s">
        <v>310</v>
      </c>
      <c r="P56" s="28">
        <v>1.0</v>
      </c>
      <c r="Q56" s="28" t="s">
        <v>360</v>
      </c>
      <c r="R56" s="28">
        <v>1.0</v>
      </c>
      <c r="S56" s="28" t="s">
        <v>305</v>
      </c>
      <c r="T56" s="28">
        <v>2.0</v>
      </c>
      <c r="U56" s="28" t="s">
        <v>356</v>
      </c>
      <c r="V56" s="28">
        <v>1.0</v>
      </c>
      <c r="W56" s="28" t="s">
        <v>383</v>
      </c>
      <c r="X56" s="28">
        <v>1.0</v>
      </c>
      <c r="Y56" s="28" t="s">
        <v>305</v>
      </c>
      <c r="Z56" s="28">
        <v>5.0</v>
      </c>
      <c r="AA56" s="28" t="s">
        <v>331</v>
      </c>
      <c r="AB56" s="28">
        <v>1.0</v>
      </c>
      <c r="AC56" s="28" t="s">
        <v>360</v>
      </c>
      <c r="AD56" s="28">
        <v>1.0</v>
      </c>
      <c r="AE56" s="28" t="s">
        <v>353</v>
      </c>
      <c r="AF56" s="28">
        <v>1.0</v>
      </c>
      <c r="AG56" s="28" t="s">
        <v>366</v>
      </c>
      <c r="AH56" s="28">
        <v>1.0</v>
      </c>
      <c r="AI56" s="28" t="s">
        <v>331</v>
      </c>
      <c r="AJ56" s="28">
        <v>2.0</v>
      </c>
      <c r="AK56" s="28" t="s">
        <v>336</v>
      </c>
      <c r="AL56" s="28">
        <v>1.0</v>
      </c>
      <c r="AM56" s="28" t="s">
        <v>310</v>
      </c>
      <c r="AN56" s="28">
        <v>1.0</v>
      </c>
      <c r="AO56" s="127"/>
      <c r="AP56" s="127"/>
      <c r="AQ56" s="127"/>
      <c r="AR56" s="127"/>
    </row>
    <row r="57">
      <c r="A57" s="28" t="s">
        <v>370</v>
      </c>
      <c r="B57" s="28">
        <v>2.0</v>
      </c>
      <c r="C57" s="28" t="s">
        <v>322</v>
      </c>
      <c r="D57" s="28">
        <v>1.0</v>
      </c>
      <c r="E57" s="28" t="s">
        <v>316</v>
      </c>
      <c r="F57" s="28">
        <v>1.0</v>
      </c>
      <c r="G57" s="28" t="s">
        <v>357</v>
      </c>
      <c r="H57" s="28">
        <v>1.0</v>
      </c>
      <c r="I57" s="28" t="s">
        <v>331</v>
      </c>
      <c r="J57" s="28">
        <v>1.0</v>
      </c>
      <c r="K57" s="28" t="s">
        <v>314</v>
      </c>
      <c r="L57" s="28">
        <v>1.0</v>
      </c>
      <c r="M57" s="28" t="s">
        <v>383</v>
      </c>
      <c r="N57" s="28">
        <v>1.0</v>
      </c>
      <c r="O57" s="28" t="s">
        <v>341</v>
      </c>
      <c r="P57" s="28">
        <v>1.0</v>
      </c>
      <c r="Q57" s="28" t="s">
        <v>309</v>
      </c>
      <c r="R57" s="28">
        <v>1.0</v>
      </c>
      <c r="S57" s="28" t="s">
        <v>357</v>
      </c>
      <c r="T57" s="28">
        <v>1.0</v>
      </c>
      <c r="U57" s="28" t="s">
        <v>383</v>
      </c>
      <c r="V57" s="28">
        <v>1.0</v>
      </c>
      <c r="W57" s="28" t="s">
        <v>370</v>
      </c>
      <c r="X57" s="28">
        <v>1.0</v>
      </c>
      <c r="Y57" s="28" t="s">
        <v>357</v>
      </c>
      <c r="Z57" s="28">
        <v>1.0</v>
      </c>
      <c r="AA57" s="28" t="s">
        <v>336</v>
      </c>
      <c r="AB57" s="28">
        <v>1.0</v>
      </c>
      <c r="AC57" s="28" t="s">
        <v>359</v>
      </c>
      <c r="AD57" s="28">
        <v>1.0</v>
      </c>
      <c r="AE57" s="28" t="s">
        <v>346</v>
      </c>
      <c r="AF57" s="28">
        <v>2.0</v>
      </c>
      <c r="AG57" s="28" t="s">
        <v>314</v>
      </c>
      <c r="AH57" s="28">
        <v>1.0</v>
      </c>
      <c r="AI57" s="28" t="s">
        <v>348</v>
      </c>
      <c r="AJ57" s="28">
        <v>1.0</v>
      </c>
      <c r="AK57" s="28" t="s">
        <v>348</v>
      </c>
      <c r="AL57" s="28">
        <v>1.0</v>
      </c>
      <c r="AM57" s="28" t="s">
        <v>343</v>
      </c>
      <c r="AN57" s="28">
        <v>1.0</v>
      </c>
      <c r="AO57" s="127"/>
      <c r="AP57" s="127"/>
      <c r="AQ57" s="127"/>
      <c r="AR57" s="127"/>
    </row>
    <row r="58">
      <c r="A58" s="28" t="s">
        <v>489</v>
      </c>
      <c r="B58" s="28">
        <v>1.0</v>
      </c>
      <c r="C58" s="28" t="s">
        <v>370</v>
      </c>
      <c r="D58" s="28">
        <v>1.0</v>
      </c>
      <c r="E58" s="28" t="s">
        <v>331</v>
      </c>
      <c r="F58" s="28">
        <v>2.0</v>
      </c>
      <c r="G58" s="28" t="s">
        <v>320</v>
      </c>
      <c r="H58" s="28">
        <v>1.0</v>
      </c>
      <c r="I58" s="28" t="s">
        <v>343</v>
      </c>
      <c r="J58" s="28">
        <v>1.0</v>
      </c>
      <c r="K58" s="28" t="s">
        <v>322</v>
      </c>
      <c r="L58" s="28">
        <v>1.0</v>
      </c>
      <c r="M58" s="28" t="s">
        <v>334</v>
      </c>
      <c r="N58" s="28">
        <v>1.0</v>
      </c>
      <c r="O58" s="28" t="s">
        <v>352</v>
      </c>
      <c r="P58" s="28">
        <v>1.0</v>
      </c>
      <c r="Q58" s="28" t="s">
        <v>312</v>
      </c>
      <c r="R58" s="28">
        <v>1.0</v>
      </c>
      <c r="S58" s="28" t="s">
        <v>320</v>
      </c>
      <c r="T58" s="28">
        <v>2.0</v>
      </c>
      <c r="U58" s="28" t="s">
        <v>368</v>
      </c>
      <c r="V58" s="28">
        <v>1.0</v>
      </c>
      <c r="W58" s="28" t="s">
        <v>374</v>
      </c>
      <c r="X58" s="28">
        <v>1.0</v>
      </c>
      <c r="Y58" s="28" t="s">
        <v>320</v>
      </c>
      <c r="Z58" s="28">
        <v>3.0</v>
      </c>
      <c r="AA58" s="28" t="s">
        <v>360</v>
      </c>
      <c r="AB58" s="28">
        <v>1.0</v>
      </c>
      <c r="AC58" s="28" t="s">
        <v>305</v>
      </c>
      <c r="AD58" s="28">
        <v>2.0</v>
      </c>
      <c r="AE58" s="28"/>
      <c r="AF58" s="28"/>
      <c r="AG58" s="28" t="s">
        <v>385</v>
      </c>
      <c r="AH58" s="28">
        <v>1.0</v>
      </c>
      <c r="AI58" s="28" t="s">
        <v>341</v>
      </c>
      <c r="AJ58" s="28">
        <v>1.0</v>
      </c>
      <c r="AK58" s="28" t="s">
        <v>360</v>
      </c>
      <c r="AL58" s="28">
        <v>1.0</v>
      </c>
      <c r="AM58" s="28" t="s">
        <v>352</v>
      </c>
      <c r="AN58" s="28">
        <v>2.0</v>
      </c>
      <c r="AO58" s="127"/>
      <c r="AP58" s="127"/>
      <c r="AQ58" s="127"/>
      <c r="AR58" s="127"/>
    </row>
    <row r="59">
      <c r="A59" s="28" t="s">
        <v>368</v>
      </c>
      <c r="B59" s="28">
        <v>1.0</v>
      </c>
      <c r="C59" s="28" t="s">
        <v>329</v>
      </c>
      <c r="D59" s="28">
        <v>1.0</v>
      </c>
      <c r="E59" s="28" t="s">
        <v>310</v>
      </c>
      <c r="F59" s="28">
        <v>1.0</v>
      </c>
      <c r="G59" s="28" t="s">
        <v>312</v>
      </c>
      <c r="H59" s="28">
        <v>1.0</v>
      </c>
      <c r="I59" s="28" t="s">
        <v>359</v>
      </c>
      <c r="J59" s="28">
        <v>1.0</v>
      </c>
      <c r="K59" s="28" t="s">
        <v>364</v>
      </c>
      <c r="L59" s="28">
        <v>1.0</v>
      </c>
      <c r="M59" s="76"/>
      <c r="N59" s="76"/>
      <c r="O59" s="28" t="s">
        <v>359</v>
      </c>
      <c r="P59" s="28">
        <v>1.0</v>
      </c>
      <c r="Q59" s="28" t="s">
        <v>314</v>
      </c>
      <c r="R59" s="28">
        <v>1.0</v>
      </c>
      <c r="S59" s="28" t="s">
        <v>309</v>
      </c>
      <c r="T59" s="28">
        <v>3.0</v>
      </c>
      <c r="U59" s="28" t="s">
        <v>353</v>
      </c>
      <c r="V59" s="28">
        <v>2.0</v>
      </c>
      <c r="W59" s="28" t="s">
        <v>334</v>
      </c>
      <c r="X59" s="28">
        <v>1.0</v>
      </c>
      <c r="Y59" s="28" t="s">
        <v>309</v>
      </c>
      <c r="Z59" s="28">
        <v>2.0</v>
      </c>
      <c r="AA59" s="28" t="s">
        <v>350</v>
      </c>
      <c r="AB59" s="28">
        <v>1.0</v>
      </c>
      <c r="AC59" s="28" t="s">
        <v>320</v>
      </c>
      <c r="AD59" s="28">
        <v>1.0</v>
      </c>
      <c r="AE59" s="28"/>
      <c r="AF59" s="126">
        <v>68.0</v>
      </c>
      <c r="AG59" s="28" t="s">
        <v>370</v>
      </c>
      <c r="AH59" s="28">
        <v>1.0</v>
      </c>
      <c r="AI59" s="28" t="s">
        <v>352</v>
      </c>
      <c r="AJ59" s="28">
        <v>1.0</v>
      </c>
      <c r="AK59" s="28" t="s">
        <v>350</v>
      </c>
      <c r="AL59" s="28">
        <v>1.0</v>
      </c>
      <c r="AM59" s="28" t="s">
        <v>355</v>
      </c>
      <c r="AN59" s="28">
        <v>1.0</v>
      </c>
      <c r="AO59" s="127"/>
      <c r="AP59" s="127"/>
      <c r="AQ59" s="127"/>
      <c r="AR59" s="127"/>
    </row>
    <row r="60">
      <c r="A60" s="28" t="s">
        <v>353</v>
      </c>
      <c r="B60" s="28">
        <v>1.0</v>
      </c>
      <c r="C60" s="28" t="s">
        <v>368</v>
      </c>
      <c r="D60" s="28">
        <v>2.0</v>
      </c>
      <c r="E60" s="28" t="s">
        <v>341</v>
      </c>
      <c r="F60" s="28">
        <v>1.0</v>
      </c>
      <c r="G60" s="28" t="s">
        <v>366</v>
      </c>
      <c r="H60" s="28">
        <v>1.0</v>
      </c>
      <c r="I60" s="28" t="s">
        <v>372</v>
      </c>
      <c r="J60" s="28">
        <v>1.0</v>
      </c>
      <c r="K60" s="28" t="s">
        <v>370</v>
      </c>
      <c r="L60" s="28">
        <v>1.0</v>
      </c>
      <c r="M60" s="76"/>
      <c r="N60" s="79">
        <v>56.0</v>
      </c>
      <c r="O60" s="28" t="s">
        <v>344</v>
      </c>
      <c r="P60" s="28">
        <v>1.0</v>
      </c>
      <c r="Q60" s="28" t="s">
        <v>356</v>
      </c>
      <c r="R60" s="28">
        <v>2.0</v>
      </c>
      <c r="S60" s="28" t="s">
        <v>312</v>
      </c>
      <c r="T60" s="28">
        <v>1.0</v>
      </c>
      <c r="U60" s="28" t="s">
        <v>346</v>
      </c>
      <c r="V60" s="28">
        <v>2.0</v>
      </c>
      <c r="W60" s="28" t="s">
        <v>346</v>
      </c>
      <c r="X60" s="28">
        <v>1.0</v>
      </c>
      <c r="Y60" s="28" t="s">
        <v>312</v>
      </c>
      <c r="Z60" s="28">
        <v>1.0</v>
      </c>
      <c r="AA60" s="28" t="s">
        <v>305</v>
      </c>
      <c r="AB60" s="28">
        <v>3.0</v>
      </c>
      <c r="AC60" s="28" t="s">
        <v>309</v>
      </c>
      <c r="AD60" s="28">
        <v>2.0</v>
      </c>
      <c r="AE60" s="127"/>
      <c r="AF60" s="127"/>
      <c r="AG60" s="28" t="s">
        <v>329</v>
      </c>
      <c r="AH60" s="28">
        <v>1.0</v>
      </c>
      <c r="AI60" s="28" t="s">
        <v>360</v>
      </c>
      <c r="AJ60" s="28">
        <v>1.0</v>
      </c>
      <c r="AK60" s="28" t="s">
        <v>357</v>
      </c>
      <c r="AL60" s="28">
        <v>1.0</v>
      </c>
      <c r="AM60" s="28" t="s">
        <v>360</v>
      </c>
      <c r="AN60" s="28">
        <v>1.0</v>
      </c>
      <c r="AO60" s="127"/>
      <c r="AP60" s="127"/>
      <c r="AQ60" s="127"/>
      <c r="AR60" s="127"/>
    </row>
    <row r="61">
      <c r="A61" s="28" t="s">
        <v>346</v>
      </c>
      <c r="B61" s="28">
        <v>2.0</v>
      </c>
      <c r="C61" s="76"/>
      <c r="D61" s="76"/>
      <c r="E61" s="28" t="s">
        <v>359</v>
      </c>
      <c r="F61" s="28">
        <v>1.0</v>
      </c>
      <c r="G61" s="28" t="s">
        <v>314</v>
      </c>
      <c r="H61" s="28">
        <v>1.0</v>
      </c>
      <c r="I61" s="28" t="s">
        <v>305</v>
      </c>
      <c r="J61" s="28">
        <v>4.0</v>
      </c>
      <c r="K61" s="28" t="s">
        <v>489</v>
      </c>
      <c r="L61" s="28">
        <v>1.0</v>
      </c>
      <c r="O61" s="28" t="s">
        <v>305</v>
      </c>
      <c r="P61" s="28">
        <v>2.0</v>
      </c>
      <c r="Q61" s="28" t="s">
        <v>327</v>
      </c>
      <c r="R61" s="28">
        <v>1.0</v>
      </c>
      <c r="S61" s="28" t="s">
        <v>335</v>
      </c>
      <c r="T61" s="28">
        <v>1.0</v>
      </c>
      <c r="U61" s="76"/>
      <c r="V61" s="76"/>
      <c r="W61" s="76"/>
      <c r="X61" s="76"/>
      <c r="Y61" s="28" t="s">
        <v>335</v>
      </c>
      <c r="Z61" s="28">
        <v>1.0</v>
      </c>
      <c r="AA61" s="28" t="s">
        <v>309</v>
      </c>
      <c r="AB61" s="28">
        <v>1.0</v>
      </c>
      <c r="AC61" s="28" t="s">
        <v>367</v>
      </c>
      <c r="AD61" s="28">
        <v>2.0</v>
      </c>
      <c r="AE61" s="127"/>
      <c r="AF61" s="127"/>
      <c r="AG61" s="28" t="s">
        <v>334</v>
      </c>
      <c r="AH61" s="28">
        <v>2.0</v>
      </c>
      <c r="AI61" s="28" t="s">
        <v>305</v>
      </c>
      <c r="AJ61" s="28">
        <v>5.0</v>
      </c>
      <c r="AK61" s="28" t="s">
        <v>320</v>
      </c>
      <c r="AL61" s="28">
        <v>2.0</v>
      </c>
      <c r="AM61" s="28" t="s">
        <v>305</v>
      </c>
      <c r="AN61" s="28">
        <v>1.0</v>
      </c>
      <c r="AO61" s="127"/>
      <c r="AP61" s="127"/>
      <c r="AQ61" s="127"/>
      <c r="AR61" s="127"/>
    </row>
    <row r="62">
      <c r="A62" s="76"/>
      <c r="B62" s="76"/>
      <c r="C62" s="76"/>
      <c r="D62" s="79">
        <v>59.0</v>
      </c>
      <c r="E62" s="28" t="s">
        <v>305</v>
      </c>
      <c r="F62" s="28">
        <v>2.0</v>
      </c>
      <c r="G62" s="28" t="s">
        <v>379</v>
      </c>
      <c r="H62" s="28">
        <v>1.0</v>
      </c>
      <c r="I62" s="28" t="s">
        <v>357</v>
      </c>
      <c r="J62" s="28">
        <v>1.0</v>
      </c>
      <c r="K62" s="28" t="s">
        <v>368</v>
      </c>
      <c r="L62" s="28">
        <v>1.0</v>
      </c>
      <c r="O62" s="28" t="s">
        <v>320</v>
      </c>
      <c r="P62" s="28">
        <v>1.0</v>
      </c>
      <c r="Q62" s="28" t="s">
        <v>361</v>
      </c>
      <c r="R62" s="28">
        <v>2.0</v>
      </c>
      <c r="S62" s="28" t="s">
        <v>354</v>
      </c>
      <c r="T62" s="28">
        <v>3.0</v>
      </c>
      <c r="U62" s="76"/>
      <c r="V62" s="79">
        <v>68.0</v>
      </c>
      <c r="W62" s="76"/>
      <c r="X62" s="79">
        <v>58.0</v>
      </c>
      <c r="Y62" s="28" t="s">
        <v>379</v>
      </c>
      <c r="Z62" s="28">
        <v>2.0</v>
      </c>
      <c r="AA62" s="28" t="s">
        <v>335</v>
      </c>
      <c r="AB62" s="28">
        <v>1.0</v>
      </c>
      <c r="AC62" s="28" t="s">
        <v>366</v>
      </c>
      <c r="AD62" s="28">
        <v>3.0</v>
      </c>
      <c r="AE62" s="127"/>
      <c r="AF62" s="127"/>
      <c r="AG62" s="28" t="s">
        <v>353</v>
      </c>
      <c r="AH62" s="28">
        <v>1.0</v>
      </c>
      <c r="AI62" s="28" t="s">
        <v>320</v>
      </c>
      <c r="AJ62" s="28">
        <v>2.0</v>
      </c>
      <c r="AK62" s="28" t="s">
        <v>309</v>
      </c>
      <c r="AL62" s="28">
        <v>1.0</v>
      </c>
      <c r="AM62" s="28" t="s">
        <v>320</v>
      </c>
      <c r="AN62" s="28">
        <v>2.0</v>
      </c>
      <c r="AO62" s="127"/>
      <c r="AP62" s="127"/>
      <c r="AQ62" s="127"/>
      <c r="AR62" s="127"/>
    </row>
    <row r="63">
      <c r="A63" s="76"/>
      <c r="B63" s="79">
        <v>70.0</v>
      </c>
      <c r="E63" s="28" t="s">
        <v>320</v>
      </c>
      <c r="F63" s="28">
        <v>2.0</v>
      </c>
      <c r="G63" s="28" t="s">
        <v>356</v>
      </c>
      <c r="H63" s="28">
        <v>2.0</v>
      </c>
      <c r="I63" s="28" t="s">
        <v>320</v>
      </c>
      <c r="J63" s="28">
        <v>1.0</v>
      </c>
      <c r="K63" s="28" t="s">
        <v>353</v>
      </c>
      <c r="L63" s="28">
        <v>2.0</v>
      </c>
      <c r="O63" s="28" t="s">
        <v>309</v>
      </c>
      <c r="P63" s="28">
        <v>2.0</v>
      </c>
      <c r="Q63" s="28" t="s">
        <v>488</v>
      </c>
      <c r="R63" s="28">
        <v>1.0</v>
      </c>
      <c r="S63" s="28" t="s">
        <v>367</v>
      </c>
      <c r="T63" s="28">
        <v>1.0</v>
      </c>
      <c r="Y63" s="28" t="s">
        <v>356</v>
      </c>
      <c r="Z63" s="28">
        <v>1.0</v>
      </c>
      <c r="AA63" s="28" t="s">
        <v>367</v>
      </c>
      <c r="AB63" s="28">
        <v>1.0</v>
      </c>
      <c r="AC63" s="28" t="s">
        <v>314</v>
      </c>
      <c r="AD63" s="28">
        <v>2.0</v>
      </c>
      <c r="AE63" s="127"/>
      <c r="AF63" s="127"/>
      <c r="AG63" s="28" t="s">
        <v>346</v>
      </c>
      <c r="AH63" s="28">
        <v>2.0</v>
      </c>
      <c r="AI63" s="28" t="s">
        <v>309</v>
      </c>
      <c r="AJ63" s="28">
        <v>2.0</v>
      </c>
      <c r="AK63" s="28" t="s">
        <v>314</v>
      </c>
      <c r="AL63" s="28">
        <v>1.0</v>
      </c>
      <c r="AM63" s="28" t="s">
        <v>309</v>
      </c>
      <c r="AN63" s="28">
        <v>2.0</v>
      </c>
      <c r="AO63" s="127"/>
      <c r="AP63" s="127"/>
      <c r="AQ63" s="127"/>
      <c r="AR63" s="127"/>
    </row>
    <row r="64">
      <c r="E64" s="28" t="s">
        <v>309</v>
      </c>
      <c r="F64" s="28">
        <v>3.0</v>
      </c>
      <c r="G64" s="28" t="s">
        <v>322</v>
      </c>
      <c r="H64" s="28">
        <v>2.0</v>
      </c>
      <c r="I64" s="28" t="s">
        <v>309</v>
      </c>
      <c r="J64" s="28">
        <v>2.0</v>
      </c>
      <c r="K64" s="28" t="s">
        <v>346</v>
      </c>
      <c r="L64" s="28">
        <v>1.0</v>
      </c>
      <c r="O64" s="28" t="s">
        <v>354</v>
      </c>
      <c r="P64" s="28">
        <v>1.0</v>
      </c>
      <c r="Q64" s="28" t="s">
        <v>329</v>
      </c>
      <c r="R64" s="28">
        <v>2.0</v>
      </c>
      <c r="S64" s="28" t="s">
        <v>366</v>
      </c>
      <c r="T64" s="28">
        <v>4.0</v>
      </c>
      <c r="Y64" s="28" t="s">
        <v>322</v>
      </c>
      <c r="Z64" s="28">
        <v>2.0</v>
      </c>
      <c r="AA64" s="28" t="s">
        <v>366</v>
      </c>
      <c r="AB64" s="28">
        <v>2.0</v>
      </c>
      <c r="AC64" s="28" t="s">
        <v>379</v>
      </c>
      <c r="AD64" s="28">
        <v>1.0</v>
      </c>
      <c r="AE64" s="127"/>
      <c r="AF64" s="127"/>
      <c r="AG64" s="28"/>
      <c r="AH64" s="28"/>
      <c r="AI64" s="28" t="s">
        <v>312</v>
      </c>
      <c r="AJ64" s="28">
        <v>1.0</v>
      </c>
      <c r="AK64" s="28" t="s">
        <v>385</v>
      </c>
      <c r="AL64" s="28">
        <v>1.0</v>
      </c>
      <c r="AM64" s="28" t="s">
        <v>335</v>
      </c>
      <c r="AN64" s="28">
        <v>1.0</v>
      </c>
      <c r="AO64" s="127"/>
      <c r="AP64" s="127"/>
      <c r="AQ64" s="127"/>
      <c r="AR64" s="127"/>
    </row>
    <row r="65">
      <c r="E65" s="28" t="s">
        <v>312</v>
      </c>
      <c r="F65" s="28">
        <v>1.0</v>
      </c>
      <c r="G65" s="28" t="s">
        <v>329</v>
      </c>
      <c r="H65" s="28">
        <v>1.0</v>
      </c>
      <c r="I65" s="28" t="s">
        <v>335</v>
      </c>
      <c r="J65" s="28">
        <v>1.0</v>
      </c>
      <c r="K65" s="28"/>
      <c r="L65" s="76"/>
      <c r="O65" s="28" t="s">
        <v>366</v>
      </c>
      <c r="P65" s="28">
        <v>2.0</v>
      </c>
      <c r="Q65" s="28" t="s">
        <v>487</v>
      </c>
      <c r="R65" s="28">
        <v>1.0</v>
      </c>
      <c r="S65" s="28" t="s">
        <v>314</v>
      </c>
      <c r="T65" s="28">
        <v>1.0</v>
      </c>
      <c r="Y65" s="28" t="s">
        <v>378</v>
      </c>
      <c r="Z65" s="28">
        <v>1.0</v>
      </c>
      <c r="AA65" s="28" t="s">
        <v>385</v>
      </c>
      <c r="AB65" s="28">
        <v>1.0</v>
      </c>
      <c r="AC65" s="28" t="s">
        <v>378</v>
      </c>
      <c r="AD65" s="28">
        <v>1.0</v>
      </c>
      <c r="AE65" s="127"/>
      <c r="AF65" s="127"/>
      <c r="AG65" s="28"/>
      <c r="AH65" s="126">
        <v>69.0</v>
      </c>
      <c r="AI65" s="28" t="s">
        <v>379</v>
      </c>
      <c r="AJ65" s="28">
        <v>2.0</v>
      </c>
      <c r="AK65" s="28" t="s">
        <v>379</v>
      </c>
      <c r="AL65" s="28">
        <v>1.0</v>
      </c>
      <c r="AM65" s="28" t="s">
        <v>367</v>
      </c>
      <c r="AN65" s="28">
        <v>3.0</v>
      </c>
      <c r="AO65" s="127"/>
      <c r="AP65" s="127"/>
      <c r="AQ65" s="127"/>
      <c r="AR65" s="127"/>
    </row>
    <row r="66">
      <c r="E66" s="28" t="s">
        <v>367</v>
      </c>
      <c r="F66" s="28">
        <v>1.0</v>
      </c>
      <c r="G66" s="28" t="s">
        <v>487</v>
      </c>
      <c r="H66" s="28">
        <v>1.0</v>
      </c>
      <c r="I66" s="28" t="s">
        <v>354</v>
      </c>
      <c r="J66" s="28">
        <v>3.0</v>
      </c>
      <c r="K66" s="28"/>
      <c r="L66" s="79">
        <v>70.0</v>
      </c>
      <c r="O66" s="28" t="s">
        <v>356</v>
      </c>
      <c r="P66" s="28">
        <v>1.0</v>
      </c>
      <c r="Q66" s="76"/>
      <c r="R66" s="76"/>
      <c r="S66" s="28" t="s">
        <v>379</v>
      </c>
      <c r="T66" s="28">
        <v>2.0</v>
      </c>
      <c r="Y66" s="28" t="s">
        <v>327</v>
      </c>
      <c r="Z66" s="28">
        <v>1.0</v>
      </c>
      <c r="AA66" s="28" t="s">
        <v>356</v>
      </c>
      <c r="AB66" s="28">
        <v>1.0</v>
      </c>
      <c r="AC66" s="28" t="s">
        <v>327</v>
      </c>
      <c r="AD66" s="28">
        <v>1.0</v>
      </c>
      <c r="AE66" s="127"/>
      <c r="AF66" s="127"/>
      <c r="AG66" s="127"/>
      <c r="AH66" s="127"/>
      <c r="AI66" s="28" t="s">
        <v>356</v>
      </c>
      <c r="AJ66" s="28">
        <v>3.0</v>
      </c>
      <c r="AK66" s="28" t="s">
        <v>356</v>
      </c>
      <c r="AL66" s="28">
        <v>2.0</v>
      </c>
      <c r="AM66" s="28" t="s">
        <v>366</v>
      </c>
      <c r="AN66" s="28">
        <v>1.0</v>
      </c>
      <c r="AO66" s="127"/>
      <c r="AP66" s="127"/>
      <c r="AQ66" s="127"/>
      <c r="AR66" s="127"/>
    </row>
    <row r="67">
      <c r="E67" s="28" t="s">
        <v>366</v>
      </c>
      <c r="F67" s="28">
        <v>2.0</v>
      </c>
      <c r="G67" s="76"/>
      <c r="H67" s="76"/>
      <c r="I67" s="28" t="s">
        <v>367</v>
      </c>
      <c r="J67" s="28">
        <v>1.0</v>
      </c>
      <c r="K67" s="127"/>
      <c r="O67" s="28" t="s">
        <v>322</v>
      </c>
      <c r="P67" s="28">
        <v>2.0</v>
      </c>
      <c r="Q67" s="76"/>
      <c r="R67" s="79">
        <v>71.0</v>
      </c>
      <c r="S67" s="28" t="s">
        <v>356</v>
      </c>
      <c r="T67" s="28">
        <v>4.0</v>
      </c>
      <c r="Y67" s="28" t="s">
        <v>383</v>
      </c>
      <c r="Z67" s="28">
        <v>1.0</v>
      </c>
      <c r="AA67" s="28" t="s">
        <v>349</v>
      </c>
      <c r="AB67" s="28">
        <v>1.0</v>
      </c>
      <c r="AC67" s="28" t="s">
        <v>349</v>
      </c>
      <c r="AD67" s="28">
        <v>1.0</v>
      </c>
      <c r="AE67" s="127"/>
      <c r="AF67" s="127"/>
      <c r="AG67" s="127"/>
      <c r="AH67" s="127"/>
      <c r="AI67" s="28" t="s">
        <v>322</v>
      </c>
      <c r="AJ67" s="28">
        <v>3.0</v>
      </c>
      <c r="AK67" s="28" t="s">
        <v>322</v>
      </c>
      <c r="AL67" s="28">
        <v>1.0</v>
      </c>
      <c r="AM67" s="28" t="s">
        <v>314</v>
      </c>
      <c r="AN67" s="28">
        <v>2.0</v>
      </c>
      <c r="AO67" s="127"/>
      <c r="AP67" s="127"/>
      <c r="AQ67" s="127"/>
      <c r="AR67" s="127"/>
    </row>
    <row r="68">
      <c r="E68" s="28" t="s">
        <v>385</v>
      </c>
      <c r="F68" s="28">
        <v>1.0</v>
      </c>
      <c r="G68" s="76"/>
      <c r="H68" s="79">
        <v>66.0</v>
      </c>
      <c r="I68" s="28" t="s">
        <v>366</v>
      </c>
      <c r="J68" s="28">
        <v>4.0</v>
      </c>
      <c r="K68" s="127"/>
      <c r="O68" s="28" t="s">
        <v>327</v>
      </c>
      <c r="P68" s="28">
        <v>1.0</v>
      </c>
      <c r="S68" s="28" t="s">
        <v>378</v>
      </c>
      <c r="T68" s="28">
        <v>1.0</v>
      </c>
      <c r="Y68" s="28" t="s">
        <v>486</v>
      </c>
      <c r="Z68" s="28">
        <v>2.0</v>
      </c>
      <c r="AA68" s="28" t="s">
        <v>488</v>
      </c>
      <c r="AB68" s="28">
        <v>1.0</v>
      </c>
      <c r="AC68" s="28" t="s">
        <v>361</v>
      </c>
      <c r="AD68" s="28">
        <v>1.0</v>
      </c>
      <c r="AE68" s="127"/>
      <c r="AF68" s="127"/>
      <c r="AG68" s="127"/>
      <c r="AH68" s="127"/>
      <c r="AI68" s="28" t="s">
        <v>327</v>
      </c>
      <c r="AJ68" s="28">
        <v>2.0</v>
      </c>
      <c r="AK68" s="28" t="s">
        <v>327</v>
      </c>
      <c r="AL68" s="28">
        <v>1.0</v>
      </c>
      <c r="AM68" s="28" t="s">
        <v>356</v>
      </c>
      <c r="AN68" s="28">
        <v>1.0</v>
      </c>
      <c r="AO68" s="127"/>
      <c r="AP68" s="127"/>
      <c r="AQ68" s="127"/>
      <c r="AR68" s="127"/>
    </row>
    <row r="69">
      <c r="E69" s="28" t="s">
        <v>356</v>
      </c>
      <c r="F69" s="28">
        <v>2.0</v>
      </c>
      <c r="I69" s="28" t="s">
        <v>379</v>
      </c>
      <c r="J69" s="28">
        <v>1.0</v>
      </c>
      <c r="K69" s="127"/>
      <c r="O69" s="28" t="s">
        <v>361</v>
      </c>
      <c r="P69" s="28">
        <v>1.0</v>
      </c>
      <c r="S69" s="28" t="s">
        <v>327</v>
      </c>
      <c r="T69" s="28">
        <v>1.0</v>
      </c>
      <c r="Y69" s="28" t="s">
        <v>370</v>
      </c>
      <c r="Z69" s="28">
        <v>1.0</v>
      </c>
      <c r="AA69" s="28" t="s">
        <v>353</v>
      </c>
      <c r="AB69" s="28">
        <v>1.0</v>
      </c>
      <c r="AC69" s="28" t="s">
        <v>488</v>
      </c>
      <c r="AD69" s="28">
        <v>2.0</v>
      </c>
      <c r="AE69" s="127"/>
      <c r="AF69" s="127"/>
      <c r="AG69" s="127"/>
      <c r="AH69" s="127"/>
      <c r="AI69" s="28" t="s">
        <v>361</v>
      </c>
      <c r="AJ69" s="28">
        <v>1.0</v>
      </c>
      <c r="AK69" s="28" t="s">
        <v>361</v>
      </c>
      <c r="AL69" s="28">
        <v>1.0</v>
      </c>
      <c r="AM69" s="28" t="s">
        <v>378</v>
      </c>
      <c r="AN69" s="28">
        <v>1.0</v>
      </c>
      <c r="AO69" s="127"/>
      <c r="AP69" s="127"/>
      <c r="AQ69" s="127"/>
      <c r="AR69" s="127"/>
    </row>
    <row r="70">
      <c r="E70" s="28" t="s">
        <v>378</v>
      </c>
      <c r="F70" s="28">
        <v>2.0</v>
      </c>
      <c r="I70" s="28" t="s">
        <v>322</v>
      </c>
      <c r="J70" s="28">
        <v>1.0</v>
      </c>
      <c r="K70" s="127"/>
      <c r="O70" s="28" t="s">
        <v>364</v>
      </c>
      <c r="P70" s="28">
        <v>1.0</v>
      </c>
      <c r="S70" s="28" t="s">
        <v>361</v>
      </c>
      <c r="T70" s="28">
        <v>2.0</v>
      </c>
      <c r="Y70" s="28" t="s">
        <v>339</v>
      </c>
      <c r="Z70" s="28">
        <v>2.0</v>
      </c>
      <c r="AA70" s="28" t="s">
        <v>346</v>
      </c>
      <c r="AB70" s="28">
        <v>2.0</v>
      </c>
      <c r="AC70" s="28" t="s">
        <v>383</v>
      </c>
      <c r="AD70" s="28">
        <v>1.0</v>
      </c>
      <c r="AE70" s="127"/>
      <c r="AF70" s="127"/>
      <c r="AG70" s="127"/>
      <c r="AH70" s="127"/>
      <c r="AI70" s="28" t="s">
        <v>383</v>
      </c>
      <c r="AJ70" s="28">
        <v>1.0</v>
      </c>
      <c r="AK70" s="28" t="s">
        <v>383</v>
      </c>
      <c r="AL70" s="28">
        <v>1.0</v>
      </c>
      <c r="AM70" s="28" t="s">
        <v>327</v>
      </c>
      <c r="AN70" s="28">
        <v>2.0</v>
      </c>
      <c r="AO70" s="127"/>
      <c r="AP70" s="127"/>
      <c r="AQ70" s="127"/>
      <c r="AR70" s="127"/>
    </row>
    <row r="71">
      <c r="E71" s="28" t="s">
        <v>327</v>
      </c>
      <c r="F71" s="28">
        <v>1.0</v>
      </c>
      <c r="I71" s="28" t="s">
        <v>378</v>
      </c>
      <c r="J71" s="28">
        <v>1.0</v>
      </c>
      <c r="K71" s="127"/>
      <c r="O71" s="28" t="s">
        <v>383</v>
      </c>
      <c r="P71" s="28">
        <v>3.0</v>
      </c>
      <c r="S71" s="28" t="s">
        <v>329</v>
      </c>
      <c r="T71" s="28">
        <v>1.0</v>
      </c>
      <c r="Y71" s="76"/>
      <c r="Z71" s="76"/>
      <c r="AA71" s="76"/>
      <c r="AB71" s="76"/>
      <c r="AC71" s="28" t="s">
        <v>392</v>
      </c>
      <c r="AD71" s="28">
        <v>1.0</v>
      </c>
      <c r="AE71" s="127"/>
      <c r="AF71" s="127"/>
      <c r="AG71" s="127"/>
      <c r="AH71" s="127"/>
      <c r="AI71" s="28" t="s">
        <v>370</v>
      </c>
      <c r="AJ71" s="28">
        <v>1.0</v>
      </c>
      <c r="AK71" s="28" t="s">
        <v>329</v>
      </c>
      <c r="AL71" s="28">
        <v>1.0</v>
      </c>
      <c r="AM71" s="28" t="s">
        <v>361</v>
      </c>
      <c r="AN71" s="28">
        <v>1.0</v>
      </c>
      <c r="AO71" s="127"/>
      <c r="AP71" s="127"/>
      <c r="AQ71" s="127"/>
      <c r="AR71" s="127"/>
    </row>
    <row r="72">
      <c r="E72" s="28" t="s">
        <v>361</v>
      </c>
      <c r="F72" s="28">
        <v>1.0</v>
      </c>
      <c r="I72" s="28" t="s">
        <v>361</v>
      </c>
      <c r="J72" s="28">
        <v>1.0</v>
      </c>
      <c r="K72" s="127"/>
      <c r="O72" s="28" t="s">
        <v>486</v>
      </c>
      <c r="P72" s="28">
        <v>1.0</v>
      </c>
      <c r="S72" s="28" t="s">
        <v>374</v>
      </c>
      <c r="T72" s="28">
        <v>2.0</v>
      </c>
      <c r="Y72" s="76"/>
      <c r="Z72" s="79">
        <v>85.0</v>
      </c>
      <c r="AA72" s="76"/>
      <c r="AB72" s="79">
        <v>68.0</v>
      </c>
      <c r="AC72" s="28" t="s">
        <v>370</v>
      </c>
      <c r="AD72" s="28">
        <v>1.0</v>
      </c>
      <c r="AE72" s="127"/>
      <c r="AF72" s="127"/>
      <c r="AG72" s="127"/>
      <c r="AH72" s="127"/>
      <c r="AI72" s="28" t="s">
        <v>329</v>
      </c>
      <c r="AJ72" s="28">
        <v>1.0</v>
      </c>
      <c r="AK72" s="28" t="s">
        <v>353</v>
      </c>
      <c r="AL72" s="28">
        <v>2.0</v>
      </c>
      <c r="AM72" s="28" t="s">
        <v>329</v>
      </c>
      <c r="AN72" s="28">
        <v>1.0</v>
      </c>
      <c r="AO72" s="127"/>
      <c r="AP72" s="127"/>
      <c r="AQ72" s="127"/>
      <c r="AR72" s="127"/>
    </row>
    <row r="73">
      <c r="E73" s="28" t="s">
        <v>368</v>
      </c>
      <c r="F73" s="28">
        <v>1.0</v>
      </c>
      <c r="I73" s="28" t="s">
        <v>486</v>
      </c>
      <c r="J73" s="28">
        <v>1.0</v>
      </c>
      <c r="K73" s="127"/>
      <c r="O73" s="28" t="s">
        <v>392</v>
      </c>
      <c r="P73" s="28">
        <v>1.0</v>
      </c>
      <c r="S73" s="28" t="s">
        <v>353</v>
      </c>
      <c r="T73" s="28">
        <v>1.0</v>
      </c>
      <c r="AC73" s="28" t="s">
        <v>329</v>
      </c>
      <c r="AD73" s="28">
        <v>2.0</v>
      </c>
      <c r="AE73" s="127"/>
      <c r="AF73" s="127"/>
      <c r="AG73" s="127"/>
      <c r="AH73" s="127"/>
      <c r="AI73" s="28"/>
      <c r="AJ73" s="28"/>
      <c r="AK73" s="28"/>
      <c r="AL73" s="28"/>
      <c r="AM73" s="28" t="s">
        <v>374</v>
      </c>
      <c r="AN73" s="28">
        <v>4.0</v>
      </c>
      <c r="AO73" s="127"/>
      <c r="AP73" s="127"/>
      <c r="AQ73" s="127"/>
      <c r="AR73" s="127"/>
    </row>
    <row r="74">
      <c r="E74" s="28" t="s">
        <v>353</v>
      </c>
      <c r="F74" s="28">
        <v>1.0</v>
      </c>
      <c r="I74" s="28" t="s">
        <v>370</v>
      </c>
      <c r="J74" s="28">
        <v>1.0</v>
      </c>
      <c r="K74" s="127"/>
      <c r="O74" s="28" t="s">
        <v>370</v>
      </c>
      <c r="P74" s="28">
        <v>1.0</v>
      </c>
      <c r="S74" s="28" t="s">
        <v>339</v>
      </c>
      <c r="T74" s="28">
        <v>1.0</v>
      </c>
      <c r="AC74" s="28" t="s">
        <v>374</v>
      </c>
      <c r="AD74" s="28">
        <v>4.0</v>
      </c>
      <c r="AE74" s="127"/>
      <c r="AF74" s="127"/>
      <c r="AG74" s="127"/>
      <c r="AH74" s="127"/>
      <c r="AI74" s="28"/>
      <c r="AJ74" s="126">
        <v>96.0</v>
      </c>
      <c r="AK74" s="126"/>
      <c r="AL74" s="126">
        <v>81.0</v>
      </c>
      <c r="AM74" s="28" t="s">
        <v>368</v>
      </c>
      <c r="AN74" s="28">
        <v>2.0</v>
      </c>
      <c r="AO74" s="133"/>
      <c r="AP74" s="133"/>
      <c r="AQ74" s="133"/>
      <c r="AR74" s="133"/>
    </row>
    <row r="75">
      <c r="E75" s="28" t="s">
        <v>339</v>
      </c>
      <c r="F75" s="28">
        <v>1.0</v>
      </c>
      <c r="I75" s="28" t="s">
        <v>489</v>
      </c>
      <c r="J75" s="28">
        <v>1.0</v>
      </c>
      <c r="K75" s="127"/>
      <c r="O75" s="28" t="s">
        <v>374</v>
      </c>
      <c r="P75" s="28">
        <v>1.0</v>
      </c>
      <c r="S75" s="28" t="s">
        <v>346</v>
      </c>
      <c r="T75" s="28">
        <v>1.0</v>
      </c>
      <c r="AC75" s="28" t="s">
        <v>334</v>
      </c>
      <c r="AD75" s="28">
        <v>1.0</v>
      </c>
      <c r="AE75" s="127"/>
      <c r="AF75" s="127"/>
      <c r="AG75" s="127"/>
      <c r="AH75" s="127"/>
      <c r="AI75" s="127"/>
      <c r="AJ75" s="127"/>
      <c r="AK75" s="127"/>
      <c r="AL75" s="127"/>
      <c r="AM75" s="28" t="s">
        <v>353</v>
      </c>
      <c r="AN75" s="28">
        <v>3.0</v>
      </c>
      <c r="AO75" s="127"/>
      <c r="AP75" s="127"/>
      <c r="AQ75" s="127"/>
      <c r="AR75" s="127"/>
    </row>
    <row r="76">
      <c r="E76" s="28" t="s">
        <v>346</v>
      </c>
      <c r="F76" s="28">
        <v>1.0</v>
      </c>
      <c r="I76" s="28" t="s">
        <v>329</v>
      </c>
      <c r="J76" s="28">
        <v>1.0</v>
      </c>
      <c r="K76" s="127"/>
      <c r="O76" s="76"/>
      <c r="P76" s="76"/>
      <c r="S76" s="76"/>
      <c r="T76" s="76"/>
      <c r="AC76" s="28" t="s">
        <v>368</v>
      </c>
      <c r="AD76" s="28">
        <v>3.0</v>
      </c>
      <c r="AE76" s="127"/>
      <c r="AF76" s="127"/>
      <c r="AG76" s="127"/>
      <c r="AH76" s="127"/>
      <c r="AI76" s="127"/>
      <c r="AJ76" s="127"/>
      <c r="AK76" s="127"/>
      <c r="AL76" s="127"/>
      <c r="AM76" s="28" t="s">
        <v>339</v>
      </c>
      <c r="AN76" s="28">
        <v>1.0</v>
      </c>
      <c r="AO76" s="127"/>
      <c r="AP76" s="127"/>
      <c r="AQ76" s="127"/>
      <c r="AR76" s="127"/>
    </row>
    <row r="77">
      <c r="E77" s="76"/>
      <c r="F77" s="76"/>
      <c r="I77" s="28" t="s">
        <v>334</v>
      </c>
      <c r="J77" s="28">
        <v>1.0</v>
      </c>
      <c r="K77" s="127"/>
      <c r="O77" s="76"/>
      <c r="P77" s="79">
        <v>88.0</v>
      </c>
      <c r="S77" s="76"/>
      <c r="T77" s="79">
        <v>101.0</v>
      </c>
      <c r="AC77" s="28" t="s">
        <v>353</v>
      </c>
      <c r="AD77" s="28">
        <v>4.0</v>
      </c>
      <c r="AE77" s="127"/>
      <c r="AF77" s="127"/>
      <c r="AG77" s="127"/>
      <c r="AH77" s="127"/>
      <c r="AI77" s="127"/>
      <c r="AJ77" s="127"/>
      <c r="AK77" s="127"/>
      <c r="AL77" s="127"/>
      <c r="AM77" s="28" t="s">
        <v>346</v>
      </c>
      <c r="AN77" s="28">
        <v>2.0</v>
      </c>
      <c r="AO77" s="127"/>
      <c r="AP77" s="127"/>
      <c r="AQ77" s="127"/>
      <c r="AR77" s="127"/>
    </row>
    <row r="78">
      <c r="E78" s="76"/>
      <c r="F78" s="79">
        <v>83.0</v>
      </c>
      <c r="I78" s="28" t="s">
        <v>353</v>
      </c>
      <c r="J78" s="28">
        <v>3.0</v>
      </c>
      <c r="K78" s="127"/>
      <c r="AC78" s="28" t="s">
        <v>346</v>
      </c>
      <c r="AD78" s="28">
        <v>2.0</v>
      </c>
      <c r="AE78" s="127"/>
      <c r="AF78" s="127"/>
      <c r="AG78" s="127"/>
      <c r="AH78" s="127"/>
      <c r="AI78" s="127"/>
      <c r="AJ78" s="127"/>
      <c r="AK78" s="127"/>
      <c r="AL78" s="127"/>
      <c r="AM78" s="28"/>
      <c r="AN78" s="28"/>
      <c r="AO78" s="127"/>
      <c r="AP78" s="127"/>
      <c r="AQ78" s="127"/>
      <c r="AR78" s="127"/>
    </row>
    <row r="79">
      <c r="I79" s="28" t="s">
        <v>346</v>
      </c>
      <c r="J79" s="28">
        <v>2.0</v>
      </c>
      <c r="K79" s="127"/>
      <c r="AC79" s="76"/>
      <c r="AD79" s="76"/>
      <c r="AE79" s="134"/>
      <c r="AF79" s="134"/>
      <c r="AG79" s="134"/>
      <c r="AH79" s="134"/>
      <c r="AI79" s="134"/>
      <c r="AJ79" s="134"/>
      <c r="AK79" s="134"/>
      <c r="AL79" s="134"/>
      <c r="AM79" s="76"/>
      <c r="AN79" s="79">
        <v>110.0</v>
      </c>
      <c r="AO79" s="134"/>
      <c r="AP79" s="134"/>
      <c r="AQ79" s="134"/>
      <c r="AR79" s="134"/>
    </row>
    <row r="80">
      <c r="I80" s="76"/>
      <c r="J80" s="76"/>
      <c r="K80" s="134"/>
      <c r="AC80" s="76"/>
      <c r="AD80" s="79">
        <v>108.0</v>
      </c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</row>
    <row r="81">
      <c r="I81" s="76"/>
      <c r="J81" s="79">
        <v>97.0</v>
      </c>
      <c r="K81" s="13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7.0"/>
    <col customWidth="1" hidden="1" min="2" max="2" width="5.0"/>
    <col customWidth="1" hidden="1" min="3" max="3" width="37.0"/>
    <col customWidth="1" hidden="1" min="4" max="4" width="5.0"/>
    <col customWidth="1" hidden="1" min="5" max="5" width="36.63"/>
    <col hidden="1" min="6" max="6" width="12.63"/>
    <col customWidth="1" hidden="1" min="7" max="7" width="36.63"/>
    <col hidden="1" min="8" max="8" width="12.63"/>
    <col customWidth="1" hidden="1" min="9" max="9" width="36.63"/>
    <col hidden="1" min="10" max="10" width="12.63"/>
    <col customWidth="1" hidden="1" min="11" max="11" width="36.63"/>
    <col hidden="1" min="12" max="12" width="12.63"/>
    <col customWidth="1" hidden="1" min="13" max="13" width="36.63"/>
    <col hidden="1" min="14" max="14" width="12.63"/>
    <col customWidth="1" hidden="1" min="15" max="15" width="36.63"/>
    <col hidden="1" min="16" max="16" width="12.63"/>
    <col customWidth="1" hidden="1" min="17" max="17" width="36.63"/>
    <col hidden="1" min="18" max="18" width="12.63"/>
    <col customWidth="1" hidden="1" min="19" max="19" width="36.63"/>
    <col hidden="1" min="20" max="20" width="12.63"/>
    <col customWidth="1" hidden="1" min="21" max="21" width="36.63"/>
    <col hidden="1" min="22" max="22" width="12.63"/>
    <col customWidth="1" hidden="1" min="23" max="23" width="36.63"/>
    <col hidden="1" min="24" max="24" width="12.63"/>
    <col customWidth="1" hidden="1" min="25" max="25" width="36.63"/>
    <col hidden="1" min="26" max="26" width="12.63"/>
    <col customWidth="1" hidden="1" min="27" max="27" width="38.63"/>
    <col hidden="1" min="28" max="28" width="12.63"/>
    <col customWidth="1" min="29" max="29" width="38.63"/>
    <col customWidth="1" min="31" max="31" width="38.63"/>
    <col customWidth="1" min="33" max="33" width="38.63"/>
    <col customWidth="1" min="35" max="35" width="38.63"/>
  </cols>
  <sheetData>
    <row r="1">
      <c r="A1" s="147" t="s">
        <v>491</v>
      </c>
      <c r="B1" s="9"/>
      <c r="C1" s="7" t="s">
        <v>492</v>
      </c>
      <c r="D1" s="9"/>
      <c r="E1" s="7" t="s">
        <v>493</v>
      </c>
      <c r="F1" s="9"/>
      <c r="G1" s="147" t="s">
        <v>494</v>
      </c>
      <c r="H1" s="9"/>
      <c r="I1" s="147" t="s">
        <v>495</v>
      </c>
      <c r="J1" s="9"/>
      <c r="K1" s="147" t="s">
        <v>496</v>
      </c>
      <c r="L1" s="9"/>
      <c r="M1" s="7" t="s">
        <v>497</v>
      </c>
      <c r="N1" s="66"/>
      <c r="O1" s="7" t="s">
        <v>498</v>
      </c>
      <c r="P1" s="9"/>
      <c r="Q1" s="7" t="s">
        <v>499</v>
      </c>
      <c r="R1" s="9"/>
      <c r="S1" s="151" t="s">
        <v>500</v>
      </c>
      <c r="T1" s="76"/>
      <c r="U1" s="151" t="s">
        <v>501</v>
      </c>
      <c r="V1" s="76"/>
      <c r="W1" s="25" t="s">
        <v>502</v>
      </c>
      <c r="X1" s="9"/>
      <c r="Y1" s="25" t="s">
        <v>503</v>
      </c>
      <c r="Z1" s="9"/>
      <c r="AA1" s="25" t="s">
        <v>499</v>
      </c>
      <c r="AB1" s="9"/>
      <c r="AC1" s="25" t="s">
        <v>504</v>
      </c>
      <c r="AD1" s="9"/>
      <c r="AE1" s="25" t="s">
        <v>505</v>
      </c>
      <c r="AF1" s="9"/>
      <c r="AG1" s="25" t="s">
        <v>506</v>
      </c>
      <c r="AH1" s="9"/>
      <c r="AI1" s="25" t="s">
        <v>507</v>
      </c>
      <c r="AJ1" s="9"/>
    </row>
    <row r="2">
      <c r="A2" s="28" t="s">
        <v>20</v>
      </c>
      <c r="B2" s="28">
        <v>4.0</v>
      </c>
      <c r="C2" s="28" t="s">
        <v>20</v>
      </c>
      <c r="D2" s="28">
        <v>4.0</v>
      </c>
      <c r="E2" s="28" t="s">
        <v>20</v>
      </c>
      <c r="F2" s="28">
        <v>2.0</v>
      </c>
      <c r="G2" s="28" t="s">
        <v>20</v>
      </c>
      <c r="H2" s="28">
        <v>8.0</v>
      </c>
      <c r="I2" s="28" t="s">
        <v>20</v>
      </c>
      <c r="J2" s="28">
        <v>4.0</v>
      </c>
      <c r="K2" s="28" t="s">
        <v>20</v>
      </c>
      <c r="L2" s="28">
        <v>9.0</v>
      </c>
      <c r="M2" s="129" t="s">
        <v>20</v>
      </c>
      <c r="N2" s="37">
        <v>7.0</v>
      </c>
      <c r="O2" s="31" t="s">
        <v>20</v>
      </c>
      <c r="P2" s="28">
        <v>3.0</v>
      </c>
      <c r="Q2" s="28" t="s">
        <v>20</v>
      </c>
      <c r="R2" s="28">
        <v>6.0</v>
      </c>
      <c r="S2" s="28" t="s">
        <v>20</v>
      </c>
      <c r="T2" s="28">
        <v>4.0</v>
      </c>
      <c r="U2" s="28" t="s">
        <v>20</v>
      </c>
      <c r="V2" s="28">
        <v>9.0</v>
      </c>
      <c r="W2" s="28" t="s">
        <v>20</v>
      </c>
      <c r="X2" s="28">
        <v>6.0</v>
      </c>
      <c r="Y2" s="28" t="s">
        <v>20</v>
      </c>
      <c r="Z2" s="28">
        <v>3.0</v>
      </c>
      <c r="AA2" s="28" t="s">
        <v>20</v>
      </c>
      <c r="AB2" s="28">
        <v>10.0</v>
      </c>
      <c r="AC2" s="28" t="s">
        <v>20</v>
      </c>
      <c r="AD2" s="28">
        <v>9.0</v>
      </c>
      <c r="AE2" s="28" t="s">
        <v>20</v>
      </c>
      <c r="AF2" s="28">
        <v>9.0</v>
      </c>
      <c r="AG2" s="28" t="s">
        <v>20</v>
      </c>
      <c r="AH2" s="28">
        <v>3.0</v>
      </c>
      <c r="AI2" s="28" t="s">
        <v>20</v>
      </c>
      <c r="AJ2" s="28">
        <v>7.0</v>
      </c>
    </row>
    <row r="3">
      <c r="A3" s="28" t="s">
        <v>25</v>
      </c>
      <c r="B3" s="28">
        <v>16.0</v>
      </c>
      <c r="C3" s="28" t="s">
        <v>25</v>
      </c>
      <c r="D3" s="28">
        <v>16.0</v>
      </c>
      <c r="E3" s="31" t="s">
        <v>25</v>
      </c>
      <c r="F3" s="28">
        <v>11.0</v>
      </c>
      <c r="G3" s="28" t="s">
        <v>25</v>
      </c>
      <c r="H3" s="28">
        <v>20.0</v>
      </c>
      <c r="I3" s="28" t="s">
        <v>25</v>
      </c>
      <c r="J3" s="28">
        <v>14.0</v>
      </c>
      <c r="K3" s="28" t="s">
        <v>25</v>
      </c>
      <c r="L3" s="28">
        <v>18.0</v>
      </c>
      <c r="M3" s="37" t="s">
        <v>25</v>
      </c>
      <c r="N3" s="37">
        <v>11.0</v>
      </c>
      <c r="O3" s="31" t="s">
        <v>25</v>
      </c>
      <c r="P3" s="28">
        <v>13.0</v>
      </c>
      <c r="Q3" s="28" t="s">
        <v>25</v>
      </c>
      <c r="R3" s="28">
        <v>21.0</v>
      </c>
      <c r="S3" s="28" t="s">
        <v>25</v>
      </c>
      <c r="T3" s="28">
        <v>16.0</v>
      </c>
      <c r="U3" s="28" t="s">
        <v>25</v>
      </c>
      <c r="V3" s="28">
        <v>21.0</v>
      </c>
      <c r="W3" s="28" t="s">
        <v>25</v>
      </c>
      <c r="X3" s="28">
        <v>16.0</v>
      </c>
      <c r="Y3" s="31" t="s">
        <v>25</v>
      </c>
      <c r="Z3" s="28">
        <v>18.0</v>
      </c>
      <c r="AA3" s="28" t="s">
        <v>25</v>
      </c>
      <c r="AB3" s="28">
        <v>22.0</v>
      </c>
      <c r="AC3" s="28" t="s">
        <v>25</v>
      </c>
      <c r="AD3" s="28">
        <v>16.0</v>
      </c>
      <c r="AE3" s="28" t="s">
        <v>25</v>
      </c>
      <c r="AF3" s="28">
        <v>21.0</v>
      </c>
      <c r="AG3" s="28" t="s">
        <v>25</v>
      </c>
      <c r="AH3" s="28">
        <v>13.0</v>
      </c>
      <c r="AI3" s="31" t="s">
        <v>25</v>
      </c>
      <c r="AJ3" s="28">
        <v>13.0</v>
      </c>
    </row>
    <row r="4">
      <c r="A4" s="28" t="s">
        <v>28</v>
      </c>
      <c r="B4" s="28">
        <v>1.0</v>
      </c>
      <c r="C4" s="28" t="s">
        <v>28</v>
      </c>
      <c r="D4" s="28">
        <v>1.0</v>
      </c>
      <c r="E4" s="31" t="s">
        <v>28</v>
      </c>
      <c r="F4" s="28">
        <v>7.0</v>
      </c>
      <c r="G4" s="28" t="s">
        <v>28</v>
      </c>
      <c r="H4" s="28">
        <v>7.0</v>
      </c>
      <c r="I4" s="28" t="s">
        <v>28</v>
      </c>
      <c r="J4" s="28">
        <v>5.0</v>
      </c>
      <c r="K4" s="28" t="s">
        <v>28</v>
      </c>
      <c r="L4" s="28">
        <v>6.0</v>
      </c>
      <c r="M4" s="37" t="s">
        <v>28</v>
      </c>
      <c r="N4" s="37">
        <v>2.0</v>
      </c>
      <c r="O4" s="31" t="s">
        <v>28</v>
      </c>
      <c r="P4" s="28">
        <v>6.0</v>
      </c>
      <c r="Q4" s="28" t="s">
        <v>28</v>
      </c>
      <c r="R4" s="28">
        <v>10.0</v>
      </c>
      <c r="S4" s="28" t="s">
        <v>28</v>
      </c>
      <c r="T4" s="28">
        <v>6.0</v>
      </c>
      <c r="U4" s="28" t="s">
        <v>28</v>
      </c>
      <c r="V4" s="28">
        <v>7.0</v>
      </c>
      <c r="W4" s="28" t="s">
        <v>33</v>
      </c>
      <c r="X4" s="28">
        <v>7.0</v>
      </c>
      <c r="Y4" s="31" t="s">
        <v>28</v>
      </c>
      <c r="Z4" s="28">
        <v>6.0</v>
      </c>
      <c r="AA4" s="28" t="s">
        <v>28</v>
      </c>
      <c r="AB4" s="28">
        <v>7.0</v>
      </c>
      <c r="AC4" s="28" t="s">
        <v>28</v>
      </c>
      <c r="AD4" s="28">
        <v>1.0</v>
      </c>
      <c r="AE4" s="28" t="s">
        <v>28</v>
      </c>
      <c r="AF4" s="28">
        <v>11.0</v>
      </c>
      <c r="AG4" s="28" t="s">
        <v>28</v>
      </c>
      <c r="AH4" s="28">
        <v>4.0</v>
      </c>
      <c r="AI4" s="31" t="s">
        <v>28</v>
      </c>
      <c r="AJ4" s="28">
        <v>4.0</v>
      </c>
    </row>
    <row r="5">
      <c r="A5" s="28" t="s">
        <v>33</v>
      </c>
      <c r="B5" s="28">
        <v>5.0</v>
      </c>
      <c r="C5" s="28" t="s">
        <v>33</v>
      </c>
      <c r="D5" s="28">
        <v>5.0</v>
      </c>
      <c r="E5" s="31" t="s">
        <v>33</v>
      </c>
      <c r="F5" s="28">
        <v>3.0</v>
      </c>
      <c r="G5" s="28" t="s">
        <v>33</v>
      </c>
      <c r="H5" s="28">
        <v>9.0</v>
      </c>
      <c r="I5" s="28" t="s">
        <v>33</v>
      </c>
      <c r="J5" s="28">
        <v>8.0</v>
      </c>
      <c r="K5" s="28" t="s">
        <v>33</v>
      </c>
      <c r="L5" s="28">
        <v>13.0</v>
      </c>
      <c r="M5" s="37" t="s">
        <v>33</v>
      </c>
      <c r="N5" s="37">
        <v>10.0</v>
      </c>
      <c r="O5" s="28" t="s">
        <v>33</v>
      </c>
      <c r="P5" s="28">
        <v>5.0</v>
      </c>
      <c r="Q5" s="28" t="s">
        <v>33</v>
      </c>
      <c r="R5" s="28">
        <v>6.0</v>
      </c>
      <c r="S5" s="28" t="s">
        <v>33</v>
      </c>
      <c r="T5" s="28">
        <v>6.0</v>
      </c>
      <c r="U5" s="28" t="s">
        <v>33</v>
      </c>
      <c r="V5" s="28">
        <v>12.0</v>
      </c>
      <c r="W5" s="28" t="s">
        <v>35</v>
      </c>
      <c r="X5" s="28">
        <v>11.0</v>
      </c>
      <c r="Y5" s="31" t="s">
        <v>33</v>
      </c>
      <c r="Z5" s="28">
        <v>6.0</v>
      </c>
      <c r="AA5" s="28" t="s">
        <v>33</v>
      </c>
      <c r="AB5" s="28">
        <v>8.0</v>
      </c>
      <c r="AC5" s="28" t="s">
        <v>33</v>
      </c>
      <c r="AD5" s="28">
        <v>5.0</v>
      </c>
      <c r="AE5" s="28" t="s">
        <v>33</v>
      </c>
      <c r="AF5" s="28">
        <v>9.0</v>
      </c>
      <c r="AG5" s="28" t="s">
        <v>33</v>
      </c>
      <c r="AH5" s="28">
        <v>9.0</v>
      </c>
      <c r="AI5" s="31" t="s">
        <v>33</v>
      </c>
      <c r="AJ5" s="28">
        <v>4.0</v>
      </c>
    </row>
    <row r="6">
      <c r="A6" s="28" t="s">
        <v>35</v>
      </c>
      <c r="B6" s="28">
        <v>11.0</v>
      </c>
      <c r="C6" s="28" t="s">
        <v>35</v>
      </c>
      <c r="D6" s="28">
        <v>11.0</v>
      </c>
      <c r="E6" s="31" t="s">
        <v>35</v>
      </c>
      <c r="F6" s="28">
        <v>7.0</v>
      </c>
      <c r="G6" s="28" t="s">
        <v>35</v>
      </c>
      <c r="H6" s="28">
        <v>9.0</v>
      </c>
      <c r="I6" s="28" t="s">
        <v>35</v>
      </c>
      <c r="J6" s="28">
        <v>11.0</v>
      </c>
      <c r="K6" s="28" t="s">
        <v>35</v>
      </c>
      <c r="L6" s="28">
        <v>15.0</v>
      </c>
      <c r="M6" s="37" t="s">
        <v>35</v>
      </c>
      <c r="N6" s="37">
        <v>11.0</v>
      </c>
      <c r="O6" s="28" t="s">
        <v>35</v>
      </c>
      <c r="P6" s="28">
        <v>4.0</v>
      </c>
      <c r="Q6" s="28" t="s">
        <v>35</v>
      </c>
      <c r="R6" s="28">
        <v>14.0</v>
      </c>
      <c r="S6" s="28" t="s">
        <v>35</v>
      </c>
      <c r="T6" s="28">
        <v>4.0</v>
      </c>
      <c r="U6" s="28" t="s">
        <v>35</v>
      </c>
      <c r="V6" s="28">
        <v>13.0</v>
      </c>
      <c r="W6" s="28" t="s">
        <v>40</v>
      </c>
      <c r="X6" s="28">
        <v>10.0</v>
      </c>
      <c r="Y6" s="28" t="s">
        <v>35</v>
      </c>
      <c r="Z6" s="28">
        <v>5.0</v>
      </c>
      <c r="AA6" s="28" t="s">
        <v>35</v>
      </c>
      <c r="AB6" s="28">
        <v>9.0</v>
      </c>
      <c r="AC6" s="28" t="s">
        <v>35</v>
      </c>
      <c r="AD6" s="28">
        <v>7.0</v>
      </c>
      <c r="AE6" s="28" t="s">
        <v>35</v>
      </c>
      <c r="AF6" s="28">
        <v>11.0</v>
      </c>
      <c r="AG6" s="28" t="s">
        <v>35</v>
      </c>
      <c r="AH6" s="28">
        <v>8.0</v>
      </c>
      <c r="AI6" s="31" t="s">
        <v>35</v>
      </c>
      <c r="AJ6" s="28">
        <v>11.0</v>
      </c>
    </row>
    <row r="7">
      <c r="A7" s="28" t="s">
        <v>40</v>
      </c>
      <c r="B7" s="28">
        <v>5.0</v>
      </c>
      <c r="C7" s="28" t="s">
        <v>40</v>
      </c>
      <c r="D7" s="28">
        <v>6.0</v>
      </c>
      <c r="E7" s="28" t="s">
        <v>40</v>
      </c>
      <c r="F7" s="28">
        <v>12.0</v>
      </c>
      <c r="G7" s="28" t="s">
        <v>40</v>
      </c>
      <c r="H7" s="28">
        <v>12.0</v>
      </c>
      <c r="I7" s="28" t="s">
        <v>40</v>
      </c>
      <c r="J7" s="28">
        <v>13.0</v>
      </c>
      <c r="K7" s="28" t="s">
        <v>40</v>
      </c>
      <c r="L7" s="28">
        <v>21.0</v>
      </c>
      <c r="M7" s="37" t="s">
        <v>40</v>
      </c>
      <c r="N7" s="37">
        <v>14.0</v>
      </c>
      <c r="O7" s="28" t="s">
        <v>40</v>
      </c>
      <c r="P7" s="28">
        <v>13.0</v>
      </c>
      <c r="Q7" s="28" t="s">
        <v>40</v>
      </c>
      <c r="R7" s="28">
        <v>9.0</v>
      </c>
      <c r="S7" s="28" t="s">
        <v>40</v>
      </c>
      <c r="T7" s="28">
        <v>13.0</v>
      </c>
      <c r="U7" s="28" t="s">
        <v>40</v>
      </c>
      <c r="V7" s="28">
        <v>10.0</v>
      </c>
      <c r="W7" s="28" t="s">
        <v>45</v>
      </c>
      <c r="X7" s="28">
        <v>3.0</v>
      </c>
      <c r="Y7" s="28" t="s">
        <v>40</v>
      </c>
      <c r="Z7" s="28">
        <v>7.0</v>
      </c>
      <c r="AA7" s="28" t="s">
        <v>40</v>
      </c>
      <c r="AB7" s="28">
        <v>17.0</v>
      </c>
      <c r="AC7" s="28" t="s">
        <v>40</v>
      </c>
      <c r="AD7" s="28">
        <v>11.0</v>
      </c>
      <c r="AE7" s="28" t="s">
        <v>40</v>
      </c>
      <c r="AF7" s="28">
        <v>15.0</v>
      </c>
      <c r="AG7" s="28" t="s">
        <v>40</v>
      </c>
      <c r="AH7" s="28">
        <v>10.0</v>
      </c>
      <c r="AI7" s="28" t="s">
        <v>40</v>
      </c>
      <c r="AJ7" s="28">
        <v>6.0</v>
      </c>
    </row>
    <row r="8">
      <c r="A8" s="28" t="s">
        <v>45</v>
      </c>
      <c r="B8" s="28">
        <v>3.0</v>
      </c>
      <c r="C8" s="28" t="s">
        <v>45</v>
      </c>
      <c r="D8" s="28">
        <v>5.0</v>
      </c>
      <c r="E8" s="28" t="s">
        <v>45</v>
      </c>
      <c r="F8" s="28">
        <v>3.0</v>
      </c>
      <c r="G8" s="28" t="s">
        <v>45</v>
      </c>
      <c r="H8" s="28">
        <v>5.0</v>
      </c>
      <c r="I8" s="28" t="s">
        <v>45</v>
      </c>
      <c r="J8" s="28">
        <v>5.0</v>
      </c>
      <c r="K8" s="28" t="s">
        <v>45</v>
      </c>
      <c r="L8" s="28">
        <v>3.0</v>
      </c>
      <c r="M8" s="37" t="s">
        <v>45</v>
      </c>
      <c r="N8" s="37">
        <v>2.0</v>
      </c>
      <c r="O8" s="31" t="s">
        <v>45</v>
      </c>
      <c r="P8" s="28">
        <v>5.0</v>
      </c>
      <c r="Q8" s="28" t="s">
        <v>45</v>
      </c>
      <c r="R8" s="28">
        <v>5.0</v>
      </c>
      <c r="S8" s="28" t="s">
        <v>45</v>
      </c>
      <c r="T8" s="28">
        <v>4.0</v>
      </c>
      <c r="U8" s="28" t="s">
        <v>45</v>
      </c>
      <c r="V8" s="28">
        <v>6.0</v>
      </c>
      <c r="W8" s="28" t="s">
        <v>16</v>
      </c>
      <c r="X8" s="28">
        <v>7.0</v>
      </c>
      <c r="Y8" s="28" t="s">
        <v>45</v>
      </c>
      <c r="Z8" s="28">
        <v>2.0</v>
      </c>
      <c r="AA8" s="28" t="s">
        <v>45</v>
      </c>
      <c r="AB8" s="28">
        <v>6.0</v>
      </c>
      <c r="AC8" s="28" t="s">
        <v>45</v>
      </c>
      <c r="AD8" s="28">
        <v>4.0</v>
      </c>
      <c r="AE8" s="28" t="s">
        <v>45</v>
      </c>
      <c r="AF8" s="28">
        <v>8.0</v>
      </c>
      <c r="AG8" s="28" t="s">
        <v>45</v>
      </c>
      <c r="AH8" s="28">
        <v>2.0</v>
      </c>
      <c r="AI8" s="28" t="s">
        <v>45</v>
      </c>
      <c r="AJ8" s="28">
        <v>3.0</v>
      </c>
    </row>
    <row r="9">
      <c r="A9" s="28" t="s">
        <v>16</v>
      </c>
      <c r="B9" s="28">
        <v>13.0</v>
      </c>
      <c r="C9" s="28" t="s">
        <v>16</v>
      </c>
      <c r="D9" s="28">
        <v>14.0</v>
      </c>
      <c r="E9" s="28" t="s">
        <v>16</v>
      </c>
      <c r="F9" s="28">
        <v>5.0</v>
      </c>
      <c r="G9" s="28" t="s">
        <v>16</v>
      </c>
      <c r="H9" s="28">
        <v>4.0</v>
      </c>
      <c r="I9" s="28" t="s">
        <v>16</v>
      </c>
      <c r="J9" s="28">
        <v>3.0</v>
      </c>
      <c r="K9" s="28" t="s">
        <v>16</v>
      </c>
      <c r="L9" s="28">
        <v>8.0</v>
      </c>
      <c r="M9" s="37" t="s">
        <v>16</v>
      </c>
      <c r="N9" s="37">
        <v>7.0</v>
      </c>
      <c r="O9" s="31" t="s">
        <v>16</v>
      </c>
      <c r="P9" s="28">
        <v>4.0</v>
      </c>
      <c r="Q9" s="31" t="s">
        <v>16</v>
      </c>
      <c r="R9" s="28">
        <v>11.0</v>
      </c>
      <c r="S9" s="28" t="s">
        <v>16</v>
      </c>
      <c r="T9" s="28">
        <v>8.0</v>
      </c>
      <c r="U9" s="28" t="s">
        <v>16</v>
      </c>
      <c r="V9" s="28">
        <v>13.0</v>
      </c>
      <c r="W9" s="28" t="s">
        <v>31</v>
      </c>
      <c r="X9" s="28">
        <v>10.0</v>
      </c>
      <c r="Y9" s="31" t="s">
        <v>16</v>
      </c>
      <c r="Z9" s="28">
        <v>4.0</v>
      </c>
      <c r="AA9" s="28" t="s">
        <v>16</v>
      </c>
      <c r="AB9" s="28">
        <v>6.0</v>
      </c>
      <c r="AC9" s="28" t="s">
        <v>16</v>
      </c>
      <c r="AD9" s="28">
        <v>8.0</v>
      </c>
      <c r="AE9" s="28" t="s">
        <v>16</v>
      </c>
      <c r="AF9" s="28">
        <v>11.0</v>
      </c>
      <c r="AG9" s="28" t="s">
        <v>16</v>
      </c>
      <c r="AH9" s="28">
        <v>6.0</v>
      </c>
      <c r="AI9" s="31" t="s">
        <v>16</v>
      </c>
      <c r="AJ9" s="28">
        <v>4.0</v>
      </c>
    </row>
    <row r="10">
      <c r="A10" s="28" t="s">
        <v>31</v>
      </c>
      <c r="B10" s="28">
        <v>7.0</v>
      </c>
      <c r="C10" s="28" t="s">
        <v>31</v>
      </c>
      <c r="D10" s="28">
        <v>7.0</v>
      </c>
      <c r="E10" s="31" t="s">
        <v>31</v>
      </c>
      <c r="F10" s="28">
        <v>8.0</v>
      </c>
      <c r="G10" s="31" t="s">
        <v>31</v>
      </c>
      <c r="H10" s="28">
        <v>18.0</v>
      </c>
      <c r="I10" s="28" t="s">
        <v>31</v>
      </c>
      <c r="J10" s="28">
        <v>6.0</v>
      </c>
      <c r="K10" s="28" t="s">
        <v>31</v>
      </c>
      <c r="L10" s="28">
        <v>13.0</v>
      </c>
      <c r="M10" s="37" t="s">
        <v>31</v>
      </c>
      <c r="N10" s="37">
        <v>5.0</v>
      </c>
      <c r="O10" s="28" t="s">
        <v>31</v>
      </c>
      <c r="P10" s="28">
        <v>5.0</v>
      </c>
      <c r="Q10" s="31" t="s">
        <v>31</v>
      </c>
      <c r="R10" s="28">
        <v>7.0</v>
      </c>
      <c r="S10" s="28" t="s">
        <v>31</v>
      </c>
      <c r="T10" s="28">
        <v>7.0</v>
      </c>
      <c r="U10" s="28" t="s">
        <v>31</v>
      </c>
      <c r="V10" s="28">
        <v>13.0</v>
      </c>
      <c r="W10" s="76"/>
      <c r="X10" s="76"/>
      <c r="Y10" s="31" t="s">
        <v>31</v>
      </c>
      <c r="Z10" s="28">
        <v>7.0</v>
      </c>
      <c r="AA10" s="31" t="s">
        <v>31</v>
      </c>
      <c r="AB10" s="28">
        <v>5.0</v>
      </c>
      <c r="AC10" s="28" t="s">
        <v>31</v>
      </c>
      <c r="AD10" s="28">
        <v>8.0</v>
      </c>
      <c r="AE10" s="28" t="s">
        <v>31</v>
      </c>
      <c r="AF10" s="28">
        <v>14.0</v>
      </c>
      <c r="AG10" s="28" t="s">
        <v>31</v>
      </c>
      <c r="AH10" s="28">
        <v>13.0</v>
      </c>
      <c r="AI10" s="31" t="s">
        <v>31</v>
      </c>
      <c r="AJ10" s="28">
        <v>7.0</v>
      </c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8"/>
      <c r="N11" s="78"/>
      <c r="O11" s="76"/>
      <c r="P11" s="76"/>
      <c r="Q11" s="76"/>
      <c r="R11" s="76"/>
      <c r="S11" s="76"/>
      <c r="T11" s="76"/>
      <c r="U11" s="76"/>
      <c r="V11" s="76"/>
      <c r="W11" s="76"/>
      <c r="X11" s="79">
        <v>70.0</v>
      </c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</row>
    <row r="12">
      <c r="A12" s="76"/>
      <c r="B12" s="79">
        <v>65.0</v>
      </c>
      <c r="C12" s="76"/>
      <c r="D12" s="79">
        <v>69.0</v>
      </c>
      <c r="E12" s="76"/>
      <c r="F12" s="79">
        <v>58.0</v>
      </c>
      <c r="G12" s="76"/>
      <c r="H12" s="79">
        <v>92.0</v>
      </c>
      <c r="I12" s="76"/>
      <c r="J12" s="79">
        <v>69.0</v>
      </c>
      <c r="K12" s="76"/>
      <c r="L12" s="79">
        <v>106.0</v>
      </c>
      <c r="M12" s="78"/>
      <c r="N12" s="82">
        <v>69.0</v>
      </c>
      <c r="O12" s="76"/>
      <c r="P12" s="79">
        <v>58.0</v>
      </c>
      <c r="Q12" s="76"/>
      <c r="R12" s="79">
        <v>89.0</v>
      </c>
      <c r="S12" s="76"/>
      <c r="T12" s="79">
        <v>68.0</v>
      </c>
      <c r="U12" s="76"/>
      <c r="V12" s="79">
        <v>104.0</v>
      </c>
      <c r="W12" s="76"/>
      <c r="X12" s="76"/>
      <c r="Y12" s="76"/>
      <c r="Z12" s="79">
        <v>58.0</v>
      </c>
      <c r="AA12" s="79"/>
      <c r="AB12" s="79">
        <v>90.0</v>
      </c>
      <c r="AC12" s="79"/>
      <c r="AD12" s="79">
        <v>69.0</v>
      </c>
      <c r="AE12" s="79"/>
      <c r="AF12" s="79">
        <v>109.0</v>
      </c>
      <c r="AG12" s="79"/>
      <c r="AH12" s="79">
        <v>68.0</v>
      </c>
      <c r="AI12" s="79"/>
      <c r="AJ12" s="79">
        <v>59.0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8"/>
      <c r="N13" s="78"/>
      <c r="O13" s="76"/>
      <c r="P13" s="76"/>
      <c r="Q13" s="76"/>
      <c r="R13" s="76"/>
      <c r="S13" s="76"/>
      <c r="T13" s="76"/>
      <c r="U13" s="76"/>
      <c r="V13" s="76"/>
      <c r="W13" s="28" t="s">
        <v>48</v>
      </c>
      <c r="X13" s="28">
        <v>13.0</v>
      </c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</row>
    <row r="14">
      <c r="A14" s="28" t="s">
        <v>48</v>
      </c>
      <c r="B14" s="28">
        <v>10.0</v>
      </c>
      <c r="C14" s="28" t="s">
        <v>48</v>
      </c>
      <c r="D14" s="28">
        <v>11.0</v>
      </c>
      <c r="E14" s="28" t="s">
        <v>48</v>
      </c>
      <c r="F14" s="28">
        <v>15.0</v>
      </c>
      <c r="G14" s="28" t="s">
        <v>48</v>
      </c>
      <c r="H14" s="28">
        <v>11.0</v>
      </c>
      <c r="I14" s="28" t="s">
        <v>48</v>
      </c>
      <c r="J14" s="28">
        <v>9.0</v>
      </c>
      <c r="K14" s="28" t="s">
        <v>48</v>
      </c>
      <c r="L14" s="28">
        <v>7.0</v>
      </c>
      <c r="M14" s="37" t="s">
        <v>48</v>
      </c>
      <c r="N14" s="37">
        <v>11.0</v>
      </c>
      <c r="O14" s="28" t="s">
        <v>48</v>
      </c>
      <c r="P14" s="28">
        <v>15.0</v>
      </c>
      <c r="Q14" s="28" t="s">
        <v>48</v>
      </c>
      <c r="R14" s="28">
        <v>5.0</v>
      </c>
      <c r="S14" s="28" t="s">
        <v>48</v>
      </c>
      <c r="T14" s="28">
        <v>8.0</v>
      </c>
      <c r="U14" s="28" t="s">
        <v>48</v>
      </c>
      <c r="V14" s="28">
        <v>10.0</v>
      </c>
      <c r="W14" s="28" t="s">
        <v>50</v>
      </c>
      <c r="X14" s="28">
        <v>22.0</v>
      </c>
      <c r="Y14" s="28" t="s">
        <v>48</v>
      </c>
      <c r="Z14" s="28">
        <v>14.0</v>
      </c>
      <c r="AA14" s="28" t="s">
        <v>48</v>
      </c>
      <c r="AB14" s="28">
        <v>6.0</v>
      </c>
      <c r="AC14" s="28" t="s">
        <v>48</v>
      </c>
      <c r="AD14" s="28">
        <v>7.0</v>
      </c>
      <c r="AE14" s="28" t="s">
        <v>48</v>
      </c>
      <c r="AF14" s="28">
        <v>13.0</v>
      </c>
      <c r="AG14" s="28" t="s">
        <v>48</v>
      </c>
      <c r="AH14" s="28">
        <v>13.0</v>
      </c>
      <c r="AI14" s="28" t="s">
        <v>48</v>
      </c>
      <c r="AJ14" s="28">
        <v>12.0</v>
      </c>
    </row>
    <row r="15">
      <c r="A15" s="28" t="s">
        <v>50</v>
      </c>
      <c r="B15" s="28">
        <v>30.0</v>
      </c>
      <c r="C15" s="28" t="s">
        <v>50</v>
      </c>
      <c r="D15" s="28">
        <v>32.0</v>
      </c>
      <c r="E15" s="28" t="s">
        <v>50</v>
      </c>
      <c r="F15" s="28">
        <v>15.0</v>
      </c>
      <c r="G15" s="28" t="s">
        <v>50</v>
      </c>
      <c r="H15" s="28">
        <v>24.0</v>
      </c>
      <c r="I15" s="28" t="s">
        <v>50</v>
      </c>
      <c r="J15" s="28">
        <v>19.0</v>
      </c>
      <c r="K15" s="28" t="s">
        <v>50</v>
      </c>
      <c r="L15" s="28">
        <v>31.0</v>
      </c>
      <c r="M15" s="37" t="s">
        <v>50</v>
      </c>
      <c r="N15" s="37">
        <v>24.0</v>
      </c>
      <c r="O15" s="28" t="s">
        <v>50</v>
      </c>
      <c r="P15" s="28">
        <v>16.0</v>
      </c>
      <c r="Q15" s="28" t="s">
        <v>50</v>
      </c>
      <c r="R15" s="28">
        <v>26.0</v>
      </c>
      <c r="S15" s="28" t="s">
        <v>50</v>
      </c>
      <c r="T15" s="28">
        <v>24.0</v>
      </c>
      <c r="U15" s="28" t="s">
        <v>50</v>
      </c>
      <c r="V15" s="28">
        <v>26.0</v>
      </c>
      <c r="W15" s="28" t="s">
        <v>52</v>
      </c>
      <c r="X15" s="28">
        <v>15.0</v>
      </c>
      <c r="Y15" s="28" t="s">
        <v>50</v>
      </c>
      <c r="Z15" s="28">
        <v>17.0</v>
      </c>
      <c r="AA15" s="28" t="s">
        <v>50</v>
      </c>
      <c r="AB15" s="28">
        <v>24.0</v>
      </c>
      <c r="AC15" s="28" t="s">
        <v>50</v>
      </c>
      <c r="AD15" s="28">
        <v>17.0</v>
      </c>
      <c r="AE15" s="28" t="s">
        <v>50</v>
      </c>
      <c r="AF15" s="28">
        <v>31.0</v>
      </c>
      <c r="AG15" s="28" t="s">
        <v>50</v>
      </c>
      <c r="AH15" s="28">
        <v>24.0</v>
      </c>
      <c r="AI15" s="28" t="s">
        <v>50</v>
      </c>
      <c r="AJ15" s="28">
        <v>17.0</v>
      </c>
    </row>
    <row r="16">
      <c r="A16" s="28" t="s">
        <v>52</v>
      </c>
      <c r="B16" s="28">
        <v>6.0</v>
      </c>
      <c r="C16" s="28" t="s">
        <v>52</v>
      </c>
      <c r="D16" s="28">
        <v>7.0</v>
      </c>
      <c r="E16" s="28" t="s">
        <v>52</v>
      </c>
      <c r="F16" s="28">
        <v>12.0</v>
      </c>
      <c r="G16" s="28" t="s">
        <v>52</v>
      </c>
      <c r="H16" s="28">
        <v>15.0</v>
      </c>
      <c r="I16" s="28" t="s">
        <v>52</v>
      </c>
      <c r="J16" s="28">
        <v>11.0</v>
      </c>
      <c r="K16" s="28" t="s">
        <v>52</v>
      </c>
      <c r="L16" s="28">
        <v>22.0</v>
      </c>
      <c r="M16" s="37" t="s">
        <v>52</v>
      </c>
      <c r="N16" s="37">
        <v>16.0</v>
      </c>
      <c r="O16" s="28" t="s">
        <v>52</v>
      </c>
      <c r="P16" s="28">
        <v>11.0</v>
      </c>
      <c r="Q16" s="28" t="s">
        <v>52</v>
      </c>
      <c r="R16" s="28">
        <v>26.0</v>
      </c>
      <c r="S16" s="28" t="s">
        <v>52</v>
      </c>
      <c r="T16" s="28">
        <v>8.0</v>
      </c>
      <c r="U16" s="28" t="s">
        <v>52</v>
      </c>
      <c r="V16" s="28">
        <v>17.0</v>
      </c>
      <c r="W16" s="28" t="s">
        <v>55</v>
      </c>
      <c r="X16" s="28">
        <v>11.0</v>
      </c>
      <c r="Y16" s="28" t="s">
        <v>52</v>
      </c>
      <c r="Z16" s="28">
        <v>9.0</v>
      </c>
      <c r="AA16" s="28" t="s">
        <v>52</v>
      </c>
      <c r="AB16" s="28">
        <v>26.0</v>
      </c>
      <c r="AC16" s="28" t="s">
        <v>52</v>
      </c>
      <c r="AD16" s="28">
        <v>9.0</v>
      </c>
      <c r="AE16" s="28" t="s">
        <v>52</v>
      </c>
      <c r="AF16" s="28">
        <v>14.0</v>
      </c>
      <c r="AG16" s="28" t="s">
        <v>52</v>
      </c>
      <c r="AH16" s="28">
        <v>15.0</v>
      </c>
      <c r="AI16" s="28" t="s">
        <v>52</v>
      </c>
      <c r="AJ16" s="28">
        <v>9.0</v>
      </c>
    </row>
    <row r="17">
      <c r="A17" s="28" t="s">
        <v>55</v>
      </c>
      <c r="B17" s="28">
        <v>9.0</v>
      </c>
      <c r="C17" s="28" t="s">
        <v>55</v>
      </c>
      <c r="D17" s="28">
        <v>9.0</v>
      </c>
      <c r="E17" s="28" t="s">
        <v>55</v>
      </c>
      <c r="F17" s="28">
        <v>8.0</v>
      </c>
      <c r="G17" s="28" t="s">
        <v>55</v>
      </c>
      <c r="H17" s="28">
        <v>16.0</v>
      </c>
      <c r="I17" s="28" t="s">
        <v>55</v>
      </c>
      <c r="J17" s="28">
        <v>11.0</v>
      </c>
      <c r="K17" s="28" t="s">
        <v>55</v>
      </c>
      <c r="L17" s="28">
        <v>13.0</v>
      </c>
      <c r="M17" s="37" t="s">
        <v>55</v>
      </c>
      <c r="N17" s="37">
        <v>4.0</v>
      </c>
      <c r="O17" s="28" t="s">
        <v>55</v>
      </c>
      <c r="P17" s="28">
        <v>5.0</v>
      </c>
      <c r="Q17" s="28" t="s">
        <v>55</v>
      </c>
      <c r="R17" s="28">
        <v>8.0</v>
      </c>
      <c r="S17" s="28" t="s">
        <v>55</v>
      </c>
      <c r="T17" s="28">
        <v>10.0</v>
      </c>
      <c r="U17" s="28" t="s">
        <v>55</v>
      </c>
      <c r="V17" s="28">
        <v>14.0</v>
      </c>
      <c r="W17" s="28" t="s">
        <v>57</v>
      </c>
      <c r="X17" s="28">
        <v>5.0</v>
      </c>
      <c r="Y17" s="28" t="s">
        <v>55</v>
      </c>
      <c r="Z17" s="28">
        <v>8.0</v>
      </c>
      <c r="AA17" s="28" t="s">
        <v>55</v>
      </c>
      <c r="AB17" s="28">
        <v>12.0</v>
      </c>
      <c r="AC17" s="28" t="s">
        <v>55</v>
      </c>
      <c r="AD17" s="28">
        <v>10.0</v>
      </c>
      <c r="AE17" s="28" t="s">
        <v>55</v>
      </c>
      <c r="AF17" s="28">
        <v>7.0</v>
      </c>
      <c r="AG17" s="28" t="s">
        <v>55</v>
      </c>
      <c r="AH17" s="28">
        <v>5.0</v>
      </c>
      <c r="AI17" s="28" t="s">
        <v>55</v>
      </c>
      <c r="AJ17" s="28">
        <v>10.0</v>
      </c>
    </row>
    <row r="18">
      <c r="A18" s="28" t="s">
        <v>57</v>
      </c>
      <c r="B18" s="28">
        <v>4.0</v>
      </c>
      <c r="C18" s="28" t="s">
        <v>57</v>
      </c>
      <c r="D18" s="28">
        <v>4.0</v>
      </c>
      <c r="E18" s="28" t="s">
        <v>57</v>
      </c>
      <c r="F18" s="28">
        <v>6.0</v>
      </c>
      <c r="G18" s="28" t="s">
        <v>57</v>
      </c>
      <c r="H18" s="28">
        <v>7.0</v>
      </c>
      <c r="I18" s="28" t="s">
        <v>57</v>
      </c>
      <c r="J18" s="28">
        <v>13.0</v>
      </c>
      <c r="K18" s="28" t="s">
        <v>57</v>
      </c>
      <c r="L18" s="28">
        <v>14.0</v>
      </c>
      <c r="M18" s="37" t="s">
        <v>57</v>
      </c>
      <c r="N18" s="37">
        <v>6.0</v>
      </c>
      <c r="O18" s="28" t="s">
        <v>57</v>
      </c>
      <c r="P18" s="28">
        <v>6.0</v>
      </c>
      <c r="Q18" s="28" t="s">
        <v>57</v>
      </c>
      <c r="R18" s="28">
        <v>10.0</v>
      </c>
      <c r="S18" s="28" t="s">
        <v>57</v>
      </c>
      <c r="T18" s="28">
        <v>11.0</v>
      </c>
      <c r="U18" s="28" t="s">
        <v>57</v>
      </c>
      <c r="V18" s="28">
        <v>17.0</v>
      </c>
      <c r="W18" s="28" t="s">
        <v>59</v>
      </c>
      <c r="X18" s="28">
        <v>3.0</v>
      </c>
      <c r="Y18" s="28" t="s">
        <v>57</v>
      </c>
      <c r="Z18" s="28">
        <v>4.0</v>
      </c>
      <c r="AA18" s="28" t="s">
        <v>57</v>
      </c>
      <c r="AB18" s="28">
        <v>7.0</v>
      </c>
      <c r="AC18" s="28" t="s">
        <v>57</v>
      </c>
      <c r="AD18" s="28">
        <v>18.0</v>
      </c>
      <c r="AE18" s="28" t="s">
        <v>57</v>
      </c>
      <c r="AF18" s="28">
        <v>24.0</v>
      </c>
      <c r="AG18" s="28" t="s">
        <v>57</v>
      </c>
      <c r="AH18" s="28">
        <v>5.0</v>
      </c>
      <c r="AI18" s="28" t="s">
        <v>57</v>
      </c>
      <c r="AJ18" s="28">
        <v>5.0</v>
      </c>
    </row>
    <row r="19">
      <c r="A19" s="28" t="s">
        <v>59</v>
      </c>
      <c r="B19" s="28">
        <v>4.0</v>
      </c>
      <c r="C19" s="28" t="s">
        <v>59</v>
      </c>
      <c r="D19" s="28">
        <v>4.0</v>
      </c>
      <c r="E19" s="28" t="s">
        <v>59</v>
      </c>
      <c r="F19" s="28">
        <v>1.0</v>
      </c>
      <c r="G19" s="28" t="s">
        <v>59</v>
      </c>
      <c r="H19" s="28">
        <v>8.0</v>
      </c>
      <c r="I19" s="28" t="s">
        <v>59</v>
      </c>
      <c r="J19" s="28">
        <v>5.0</v>
      </c>
      <c r="K19" s="28" t="s">
        <v>59</v>
      </c>
      <c r="L19" s="28">
        <v>6.0</v>
      </c>
      <c r="M19" s="37" t="s">
        <v>59</v>
      </c>
      <c r="N19" s="37">
        <v>4.0</v>
      </c>
      <c r="O19" s="28" t="s">
        <v>61</v>
      </c>
      <c r="P19" s="28">
        <v>5.0</v>
      </c>
      <c r="Q19" s="28" t="s">
        <v>59</v>
      </c>
      <c r="R19" s="28">
        <v>5.0</v>
      </c>
      <c r="S19" s="28" t="s">
        <v>59</v>
      </c>
      <c r="T19" s="28">
        <v>3.0</v>
      </c>
      <c r="U19" s="28" t="s">
        <v>59</v>
      </c>
      <c r="V19" s="28">
        <v>7.0</v>
      </c>
      <c r="W19" s="28" t="s">
        <v>61</v>
      </c>
      <c r="X19" s="28">
        <v>2.0</v>
      </c>
      <c r="Y19" s="28" t="s">
        <v>59</v>
      </c>
      <c r="Z19" s="28">
        <v>3.0</v>
      </c>
      <c r="AA19" s="28" t="s">
        <v>59</v>
      </c>
      <c r="AB19" s="28">
        <v>6.0</v>
      </c>
      <c r="AC19" s="28" t="s">
        <v>59</v>
      </c>
      <c r="AD19" s="28">
        <v>5.0</v>
      </c>
      <c r="AE19" s="28" t="s">
        <v>59</v>
      </c>
      <c r="AF19" s="28">
        <v>6.0</v>
      </c>
      <c r="AG19" s="28" t="s">
        <v>59</v>
      </c>
      <c r="AH19" s="28">
        <v>4.0</v>
      </c>
      <c r="AI19" s="28" t="s">
        <v>59</v>
      </c>
      <c r="AJ19" s="28">
        <v>2.0</v>
      </c>
    </row>
    <row r="20">
      <c r="A20" s="28" t="s">
        <v>61</v>
      </c>
      <c r="B20" s="28">
        <v>3.0</v>
      </c>
      <c r="C20" s="28" t="s">
        <v>61</v>
      </c>
      <c r="D20" s="28">
        <v>3.0</v>
      </c>
      <c r="E20" s="28" t="s">
        <v>61</v>
      </c>
      <c r="F20" s="28">
        <v>1.0</v>
      </c>
      <c r="G20" s="28" t="s">
        <v>61</v>
      </c>
      <c r="H20" s="28">
        <v>10.0</v>
      </c>
      <c r="I20" s="28" t="s">
        <v>61</v>
      </c>
      <c r="J20" s="28">
        <v>2.0</v>
      </c>
      <c r="K20" s="28" t="s">
        <v>61</v>
      </c>
      <c r="L20" s="28">
        <v>12.0</v>
      </c>
      <c r="M20" s="37" t="s">
        <v>61</v>
      </c>
      <c r="N20" s="37">
        <v>6.0</v>
      </c>
      <c r="O20" s="76"/>
      <c r="P20" s="76"/>
      <c r="Q20" s="28" t="s">
        <v>61</v>
      </c>
      <c r="R20" s="28">
        <v>9.0</v>
      </c>
      <c r="S20" s="28" t="s">
        <v>61</v>
      </c>
      <c r="T20" s="28">
        <v>5.0</v>
      </c>
      <c r="U20" s="28" t="s">
        <v>61</v>
      </c>
      <c r="V20" s="28">
        <v>13.0</v>
      </c>
      <c r="W20" s="76"/>
      <c r="X20" s="76"/>
      <c r="Y20" s="28" t="s">
        <v>61</v>
      </c>
      <c r="Z20" s="28">
        <v>3.0</v>
      </c>
      <c r="AA20" s="28" t="s">
        <v>61</v>
      </c>
      <c r="AB20" s="28">
        <v>8.0</v>
      </c>
      <c r="AC20" s="28" t="s">
        <v>61</v>
      </c>
      <c r="AD20" s="28">
        <v>3.0</v>
      </c>
      <c r="AE20" s="28" t="s">
        <v>61</v>
      </c>
      <c r="AF20" s="28">
        <v>13.0</v>
      </c>
      <c r="AG20" s="28" t="s">
        <v>61</v>
      </c>
      <c r="AH20" s="28">
        <v>3.0</v>
      </c>
      <c r="AI20" s="28" t="s">
        <v>61</v>
      </c>
      <c r="AJ20" s="28">
        <v>3.0</v>
      </c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8"/>
      <c r="N21" s="78"/>
      <c r="O21" s="76"/>
      <c r="P21" s="79">
        <v>58.0</v>
      </c>
      <c r="Q21" s="76"/>
      <c r="R21" s="76"/>
      <c r="S21" s="76"/>
      <c r="T21" s="76"/>
      <c r="U21" s="76"/>
      <c r="V21" s="76"/>
      <c r="W21" s="76"/>
      <c r="X21" s="79">
        <v>71.0</v>
      </c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</row>
    <row r="22">
      <c r="A22" s="76"/>
      <c r="B22" s="79">
        <v>66.0</v>
      </c>
      <c r="C22" s="76"/>
      <c r="D22" s="79">
        <v>70.0</v>
      </c>
      <c r="E22" s="76"/>
      <c r="F22" s="79">
        <v>58.0</v>
      </c>
      <c r="G22" s="76"/>
      <c r="H22" s="79">
        <v>91.0</v>
      </c>
      <c r="I22" s="76"/>
      <c r="J22" s="79">
        <v>70.0</v>
      </c>
      <c r="K22" s="76"/>
      <c r="L22" s="79">
        <v>105.0</v>
      </c>
      <c r="M22" s="78"/>
      <c r="N22" s="82">
        <v>71.0</v>
      </c>
      <c r="O22" s="76"/>
      <c r="P22" s="76"/>
      <c r="Q22" s="76"/>
      <c r="R22" s="79">
        <v>89.0</v>
      </c>
      <c r="S22" s="76"/>
      <c r="T22" s="79">
        <v>69.0</v>
      </c>
      <c r="U22" s="76"/>
      <c r="V22" s="79">
        <v>104.0</v>
      </c>
      <c r="W22" s="76"/>
      <c r="X22" s="76"/>
      <c r="Y22" s="76"/>
      <c r="Z22" s="79">
        <v>58.0</v>
      </c>
      <c r="AA22" s="79"/>
      <c r="AB22" s="79">
        <v>89.0</v>
      </c>
      <c r="AC22" s="79"/>
      <c r="AD22" s="79">
        <v>69.0</v>
      </c>
      <c r="AE22" s="79"/>
      <c r="AF22" s="79">
        <v>108.0</v>
      </c>
      <c r="AG22" s="79"/>
      <c r="AH22" s="79">
        <v>69.0</v>
      </c>
      <c r="AI22" s="79"/>
      <c r="AJ22" s="79">
        <v>58.0</v>
      </c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8"/>
      <c r="N23" s="78"/>
      <c r="O23" s="76"/>
      <c r="P23" s="76"/>
      <c r="Q23" s="76"/>
      <c r="R23" s="76"/>
      <c r="S23" s="76"/>
      <c r="T23" s="76"/>
      <c r="U23" s="76"/>
      <c r="V23" s="76"/>
      <c r="W23" s="28" t="s">
        <v>176</v>
      </c>
      <c r="X23" s="28">
        <v>1.0</v>
      </c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</row>
    <row r="24">
      <c r="A24" s="28" t="s">
        <v>174</v>
      </c>
      <c r="B24" s="28">
        <v>2.0</v>
      </c>
      <c r="C24" s="28" t="s">
        <v>174</v>
      </c>
      <c r="D24" s="28">
        <v>2.0</v>
      </c>
      <c r="E24" s="28" t="s">
        <v>174</v>
      </c>
      <c r="F24" s="28">
        <v>1.0</v>
      </c>
      <c r="G24" s="95" t="s">
        <v>176</v>
      </c>
      <c r="H24" s="28">
        <v>2.0</v>
      </c>
      <c r="I24" s="28" t="s">
        <v>176</v>
      </c>
      <c r="J24" s="28">
        <v>3.0</v>
      </c>
      <c r="K24" s="28" t="s">
        <v>176</v>
      </c>
      <c r="L24" s="28">
        <v>1.0</v>
      </c>
      <c r="M24" s="37" t="s">
        <v>176</v>
      </c>
      <c r="N24" s="37">
        <v>2.0</v>
      </c>
      <c r="O24" s="28" t="s">
        <v>176</v>
      </c>
      <c r="P24" s="28">
        <v>1.0</v>
      </c>
      <c r="Q24" s="95" t="s">
        <v>176</v>
      </c>
      <c r="R24" s="28">
        <v>2.0</v>
      </c>
      <c r="S24" s="28" t="s">
        <v>183</v>
      </c>
      <c r="T24" s="28">
        <v>5.0</v>
      </c>
      <c r="U24" s="28" t="s">
        <v>176</v>
      </c>
      <c r="V24" s="28">
        <v>1.0</v>
      </c>
      <c r="W24" s="28" t="s">
        <v>195</v>
      </c>
      <c r="X24" s="28">
        <v>1.0</v>
      </c>
      <c r="Y24" s="28" t="s">
        <v>174</v>
      </c>
      <c r="Z24" s="28">
        <v>1.0</v>
      </c>
      <c r="AA24" s="95" t="s">
        <v>183</v>
      </c>
      <c r="AB24" s="28">
        <v>1.0</v>
      </c>
      <c r="AC24" s="28" t="s">
        <v>176</v>
      </c>
      <c r="AD24" s="28">
        <v>1.0</v>
      </c>
      <c r="AE24" s="28" t="s">
        <v>183</v>
      </c>
      <c r="AF24" s="28">
        <v>3.0</v>
      </c>
      <c r="AG24" s="28" t="s">
        <v>183</v>
      </c>
      <c r="AH24" s="28">
        <v>2.0</v>
      </c>
      <c r="AI24" s="28" t="s">
        <v>174</v>
      </c>
      <c r="AJ24" s="28">
        <v>1.0</v>
      </c>
    </row>
    <row r="25">
      <c r="A25" s="28" t="s">
        <v>183</v>
      </c>
      <c r="B25" s="28">
        <v>1.0</v>
      </c>
      <c r="C25" s="28" t="s">
        <v>183</v>
      </c>
      <c r="D25" s="28">
        <v>1.0</v>
      </c>
      <c r="E25" s="28" t="s">
        <v>183</v>
      </c>
      <c r="F25" s="28">
        <v>1.0</v>
      </c>
      <c r="G25" s="95" t="s">
        <v>183</v>
      </c>
      <c r="H25" s="28">
        <v>3.0</v>
      </c>
      <c r="I25" s="28" t="s">
        <v>183</v>
      </c>
      <c r="J25" s="28">
        <v>2.0</v>
      </c>
      <c r="K25" s="28" t="s">
        <v>174</v>
      </c>
      <c r="L25" s="28">
        <v>1.0</v>
      </c>
      <c r="M25" s="37" t="s">
        <v>180</v>
      </c>
      <c r="N25" s="37">
        <v>1.0</v>
      </c>
      <c r="O25" s="28" t="s">
        <v>174</v>
      </c>
      <c r="P25" s="28">
        <v>1.0</v>
      </c>
      <c r="Q25" s="95" t="s">
        <v>183</v>
      </c>
      <c r="R25" s="28">
        <v>3.0</v>
      </c>
      <c r="S25" s="28" t="s">
        <v>180</v>
      </c>
      <c r="T25" s="28">
        <v>3.0</v>
      </c>
      <c r="U25" s="28" t="s">
        <v>183</v>
      </c>
      <c r="V25" s="28">
        <v>3.0</v>
      </c>
      <c r="W25" s="28" t="s">
        <v>186</v>
      </c>
      <c r="X25" s="28">
        <v>1.0</v>
      </c>
      <c r="Y25" s="28" t="s">
        <v>195</v>
      </c>
      <c r="Z25" s="28">
        <v>2.0</v>
      </c>
      <c r="AA25" s="95" t="s">
        <v>180</v>
      </c>
      <c r="AB25" s="28">
        <v>3.0</v>
      </c>
      <c r="AC25" s="28" t="s">
        <v>183</v>
      </c>
      <c r="AD25" s="28">
        <v>4.0</v>
      </c>
      <c r="AE25" s="28" t="s">
        <v>180</v>
      </c>
      <c r="AF25" s="28">
        <v>3.0</v>
      </c>
      <c r="AG25" s="28" t="s">
        <v>180</v>
      </c>
      <c r="AH25" s="28">
        <v>1.0</v>
      </c>
      <c r="AI25" s="28" t="s">
        <v>195</v>
      </c>
      <c r="AJ25" s="28">
        <v>1.0</v>
      </c>
    </row>
    <row r="26">
      <c r="A26" s="28" t="s">
        <v>180</v>
      </c>
      <c r="B26" s="28">
        <v>2.0</v>
      </c>
      <c r="C26" s="28" t="s">
        <v>180</v>
      </c>
      <c r="D26" s="28">
        <v>2.0</v>
      </c>
      <c r="E26" s="28" t="s">
        <v>180</v>
      </c>
      <c r="F26" s="28">
        <v>2.0</v>
      </c>
      <c r="G26" s="95" t="s">
        <v>180</v>
      </c>
      <c r="H26" s="28">
        <v>2.0</v>
      </c>
      <c r="I26" s="28" t="s">
        <v>180</v>
      </c>
      <c r="J26" s="28">
        <v>2.0</v>
      </c>
      <c r="K26" s="28" t="s">
        <v>183</v>
      </c>
      <c r="L26" s="28">
        <v>3.0</v>
      </c>
      <c r="M26" s="37" t="s">
        <v>195</v>
      </c>
      <c r="N26" s="37">
        <v>2.0</v>
      </c>
      <c r="O26" s="28" t="s">
        <v>195</v>
      </c>
      <c r="P26" s="28">
        <v>2.0</v>
      </c>
      <c r="Q26" s="95" t="s">
        <v>195</v>
      </c>
      <c r="R26" s="28">
        <v>1.0</v>
      </c>
      <c r="S26" s="28" t="s">
        <v>192</v>
      </c>
      <c r="T26" s="28">
        <v>1.0</v>
      </c>
      <c r="U26" s="28" t="s">
        <v>180</v>
      </c>
      <c r="V26" s="28">
        <v>3.0</v>
      </c>
      <c r="W26" s="28" t="s">
        <v>202</v>
      </c>
      <c r="X26" s="28">
        <v>4.0</v>
      </c>
      <c r="Y26" s="28" t="s">
        <v>192</v>
      </c>
      <c r="Z26" s="28">
        <v>4.0</v>
      </c>
      <c r="AA26" s="95" t="s">
        <v>195</v>
      </c>
      <c r="AB26" s="28">
        <v>5.0</v>
      </c>
      <c r="AC26" s="28" t="s">
        <v>180</v>
      </c>
      <c r="AD26" s="28">
        <v>3.0</v>
      </c>
      <c r="AE26" s="28" t="s">
        <v>195</v>
      </c>
      <c r="AF26" s="28">
        <v>4.0</v>
      </c>
      <c r="AG26" s="28" t="s">
        <v>195</v>
      </c>
      <c r="AH26" s="28">
        <v>1.0</v>
      </c>
      <c r="AI26" s="28" t="s">
        <v>192</v>
      </c>
      <c r="AJ26" s="28">
        <v>1.0</v>
      </c>
    </row>
    <row r="27">
      <c r="A27" s="28" t="s">
        <v>195</v>
      </c>
      <c r="B27" s="28">
        <v>1.0</v>
      </c>
      <c r="C27" s="28" t="s">
        <v>195</v>
      </c>
      <c r="D27" s="28">
        <v>1.0</v>
      </c>
      <c r="E27" s="28" t="s">
        <v>192</v>
      </c>
      <c r="F27" s="28">
        <v>1.0</v>
      </c>
      <c r="G27" s="95" t="s">
        <v>195</v>
      </c>
      <c r="H27" s="28">
        <v>3.0</v>
      </c>
      <c r="I27" s="28" t="s">
        <v>186</v>
      </c>
      <c r="J27" s="28">
        <v>1.0</v>
      </c>
      <c r="K27" s="28" t="s">
        <v>180</v>
      </c>
      <c r="L27" s="28">
        <v>6.0</v>
      </c>
      <c r="M27" s="37" t="s">
        <v>186</v>
      </c>
      <c r="N27" s="37">
        <v>1.0</v>
      </c>
      <c r="O27" s="28" t="s">
        <v>192</v>
      </c>
      <c r="P27" s="28">
        <v>3.0</v>
      </c>
      <c r="Q27" s="95" t="s">
        <v>186</v>
      </c>
      <c r="R27" s="28">
        <v>3.0</v>
      </c>
      <c r="S27" s="28" t="s">
        <v>197</v>
      </c>
      <c r="T27" s="28">
        <v>1.0</v>
      </c>
      <c r="U27" s="28" t="s">
        <v>195</v>
      </c>
      <c r="V27" s="28">
        <v>2.0</v>
      </c>
      <c r="W27" s="28" t="s">
        <v>207</v>
      </c>
      <c r="X27" s="28">
        <v>2.0</v>
      </c>
      <c r="Y27" s="28" t="s">
        <v>197</v>
      </c>
      <c r="Z27" s="28">
        <v>2.0</v>
      </c>
      <c r="AA27" s="28" t="s">
        <v>192</v>
      </c>
      <c r="AB27" s="28">
        <v>3.0</v>
      </c>
      <c r="AC27" s="28" t="s">
        <v>207</v>
      </c>
      <c r="AD27" s="28">
        <v>1.0</v>
      </c>
      <c r="AE27" s="28" t="s">
        <v>192</v>
      </c>
      <c r="AF27" s="28">
        <v>3.0</v>
      </c>
      <c r="AG27" s="28" t="s">
        <v>186</v>
      </c>
      <c r="AH27" s="28">
        <v>1.0</v>
      </c>
      <c r="AI27" s="28" t="s">
        <v>197</v>
      </c>
      <c r="AJ27" s="28">
        <v>2.0</v>
      </c>
    </row>
    <row r="28">
      <c r="A28" s="28" t="s">
        <v>192</v>
      </c>
      <c r="B28" s="28">
        <v>1.0</v>
      </c>
      <c r="C28" s="28" t="s">
        <v>192</v>
      </c>
      <c r="D28" s="28">
        <v>1.0</v>
      </c>
      <c r="E28" s="28" t="s">
        <v>197</v>
      </c>
      <c r="F28" s="28">
        <v>1.0</v>
      </c>
      <c r="G28" s="28" t="s">
        <v>192</v>
      </c>
      <c r="H28" s="28">
        <v>5.0</v>
      </c>
      <c r="I28" s="28" t="s">
        <v>192</v>
      </c>
      <c r="J28" s="28">
        <v>1.0</v>
      </c>
      <c r="K28" s="28" t="s">
        <v>195</v>
      </c>
      <c r="L28" s="28">
        <v>4.0</v>
      </c>
      <c r="M28" s="37" t="s">
        <v>192</v>
      </c>
      <c r="N28" s="37">
        <v>1.0</v>
      </c>
      <c r="O28" s="28" t="s">
        <v>197</v>
      </c>
      <c r="P28" s="28">
        <v>1.0</v>
      </c>
      <c r="Q28" s="28" t="s">
        <v>192</v>
      </c>
      <c r="R28" s="28">
        <v>4.0</v>
      </c>
      <c r="S28" s="28" t="s">
        <v>202</v>
      </c>
      <c r="T28" s="28">
        <v>1.0</v>
      </c>
      <c r="U28" s="28" t="s">
        <v>186</v>
      </c>
      <c r="V28" s="28">
        <v>2.0</v>
      </c>
      <c r="W28" s="28" t="s">
        <v>210</v>
      </c>
      <c r="X28" s="28">
        <v>3.0</v>
      </c>
      <c r="Y28" s="28" t="s">
        <v>202</v>
      </c>
      <c r="Z28" s="28">
        <v>2.0</v>
      </c>
      <c r="AA28" s="28" t="s">
        <v>197</v>
      </c>
      <c r="AB28" s="28">
        <v>1.0</v>
      </c>
      <c r="AC28" s="28" t="s">
        <v>212</v>
      </c>
      <c r="AD28" s="28">
        <v>3.0</v>
      </c>
      <c r="AE28" s="28" t="s">
        <v>202</v>
      </c>
      <c r="AF28" s="28">
        <v>1.0</v>
      </c>
      <c r="AG28" s="28" t="s">
        <v>197</v>
      </c>
      <c r="AH28" s="28">
        <v>1.0</v>
      </c>
      <c r="AI28" s="28" t="s">
        <v>202</v>
      </c>
      <c r="AJ28" s="28">
        <v>2.0</v>
      </c>
    </row>
    <row r="29">
      <c r="A29" s="28" t="s">
        <v>202</v>
      </c>
      <c r="B29" s="28">
        <v>1.0</v>
      </c>
      <c r="C29" s="28" t="s">
        <v>202</v>
      </c>
      <c r="D29" s="28">
        <v>1.0</v>
      </c>
      <c r="E29" s="28" t="s">
        <v>202</v>
      </c>
      <c r="F29" s="28">
        <v>1.0</v>
      </c>
      <c r="G29" s="28" t="s">
        <v>203</v>
      </c>
      <c r="H29" s="28">
        <v>1.0</v>
      </c>
      <c r="I29" s="28" t="s">
        <v>197</v>
      </c>
      <c r="J29" s="28">
        <v>1.0</v>
      </c>
      <c r="K29" s="28" t="s">
        <v>192</v>
      </c>
      <c r="L29" s="28">
        <v>3.0</v>
      </c>
      <c r="M29" s="129" t="s">
        <v>202</v>
      </c>
      <c r="N29" s="37">
        <v>1.0</v>
      </c>
      <c r="O29" s="28" t="s">
        <v>203</v>
      </c>
      <c r="P29" s="28">
        <v>1.0</v>
      </c>
      <c r="Q29" s="28" t="s">
        <v>197</v>
      </c>
      <c r="R29" s="28">
        <v>3.0</v>
      </c>
      <c r="S29" s="28" t="s">
        <v>207</v>
      </c>
      <c r="T29" s="28">
        <v>1.0</v>
      </c>
      <c r="U29" s="28" t="s">
        <v>192</v>
      </c>
      <c r="V29" s="28">
        <v>3.0</v>
      </c>
      <c r="W29" s="28" t="s">
        <v>223</v>
      </c>
      <c r="X29" s="28">
        <v>1.0</v>
      </c>
      <c r="Y29" s="28" t="s">
        <v>207</v>
      </c>
      <c r="Z29" s="28">
        <v>1.0</v>
      </c>
      <c r="AA29" s="28" t="s">
        <v>207</v>
      </c>
      <c r="AB29" s="28">
        <v>2.0</v>
      </c>
      <c r="AC29" s="28" t="s">
        <v>216</v>
      </c>
      <c r="AD29" s="28">
        <v>3.0</v>
      </c>
      <c r="AE29" s="28" t="s">
        <v>207</v>
      </c>
      <c r="AF29" s="28">
        <v>2.0</v>
      </c>
      <c r="AG29" s="28" t="s">
        <v>202</v>
      </c>
      <c r="AH29" s="28">
        <v>3.0</v>
      </c>
      <c r="AI29" s="28" t="s">
        <v>210</v>
      </c>
      <c r="AJ29" s="28">
        <v>4.0</v>
      </c>
    </row>
    <row r="30">
      <c r="A30" s="28" t="s">
        <v>203</v>
      </c>
      <c r="B30" s="28">
        <v>1.0</v>
      </c>
      <c r="C30" s="28" t="s">
        <v>203</v>
      </c>
      <c r="D30" s="28">
        <v>1.0</v>
      </c>
      <c r="E30" s="28" t="s">
        <v>203</v>
      </c>
      <c r="F30" s="28">
        <v>2.0</v>
      </c>
      <c r="G30" s="28" t="s">
        <v>207</v>
      </c>
      <c r="H30" s="28">
        <v>2.0</v>
      </c>
      <c r="I30" s="28" t="s">
        <v>202</v>
      </c>
      <c r="J30" s="28">
        <v>1.0</v>
      </c>
      <c r="K30" s="28" t="s">
        <v>202</v>
      </c>
      <c r="L30" s="28">
        <v>1.0</v>
      </c>
      <c r="M30" s="129" t="s">
        <v>207</v>
      </c>
      <c r="N30" s="37">
        <v>1.0</v>
      </c>
      <c r="O30" s="28" t="s">
        <v>210</v>
      </c>
      <c r="P30" s="28">
        <v>2.0</v>
      </c>
      <c r="Q30" s="28" t="s">
        <v>203</v>
      </c>
      <c r="R30" s="28">
        <v>1.0</v>
      </c>
      <c r="S30" s="28" t="s">
        <v>212</v>
      </c>
      <c r="T30" s="28">
        <v>1.0</v>
      </c>
      <c r="U30" s="28" t="s">
        <v>197</v>
      </c>
      <c r="V30" s="28">
        <v>2.0</v>
      </c>
      <c r="W30" s="28" t="s">
        <v>212</v>
      </c>
      <c r="X30" s="28">
        <v>2.0</v>
      </c>
      <c r="Y30" s="28" t="s">
        <v>210</v>
      </c>
      <c r="Z30" s="28">
        <v>2.0</v>
      </c>
      <c r="AA30" s="28" t="s">
        <v>210</v>
      </c>
      <c r="AB30" s="28">
        <v>1.0</v>
      </c>
      <c r="AC30" s="28" t="s">
        <v>225</v>
      </c>
      <c r="AD30" s="28">
        <v>6.0</v>
      </c>
      <c r="AE30" s="28" t="s">
        <v>212</v>
      </c>
      <c r="AF30" s="28">
        <v>2.0</v>
      </c>
      <c r="AG30" s="28" t="s">
        <v>203</v>
      </c>
      <c r="AH30" s="28">
        <v>1.0</v>
      </c>
      <c r="AI30" s="28" t="s">
        <v>223</v>
      </c>
      <c r="AJ30" s="28">
        <v>3.0</v>
      </c>
    </row>
    <row r="31">
      <c r="A31" s="28" t="s">
        <v>207</v>
      </c>
      <c r="B31" s="28">
        <v>4.0</v>
      </c>
      <c r="C31" s="28" t="s">
        <v>207</v>
      </c>
      <c r="D31" s="28">
        <v>4.0</v>
      </c>
      <c r="E31" s="28" t="s">
        <v>207</v>
      </c>
      <c r="F31" s="28">
        <v>1.0</v>
      </c>
      <c r="G31" s="28" t="s">
        <v>210</v>
      </c>
      <c r="H31" s="28">
        <v>1.0</v>
      </c>
      <c r="I31" s="28" t="s">
        <v>466</v>
      </c>
      <c r="J31" s="28">
        <v>1.0</v>
      </c>
      <c r="K31" s="28" t="s">
        <v>212</v>
      </c>
      <c r="L31" s="28">
        <v>2.0</v>
      </c>
      <c r="M31" s="129" t="s">
        <v>210</v>
      </c>
      <c r="N31" s="37">
        <v>2.0</v>
      </c>
      <c r="O31" s="28" t="s">
        <v>212</v>
      </c>
      <c r="P31" s="28">
        <v>2.0</v>
      </c>
      <c r="Q31" s="28" t="s">
        <v>207</v>
      </c>
      <c r="R31" s="28">
        <v>1.0</v>
      </c>
      <c r="S31" s="28" t="s">
        <v>216</v>
      </c>
      <c r="T31" s="28">
        <v>2.0</v>
      </c>
      <c r="U31" s="28" t="s">
        <v>207</v>
      </c>
      <c r="V31" s="28">
        <v>2.0</v>
      </c>
      <c r="W31" s="28" t="s">
        <v>216</v>
      </c>
      <c r="X31" s="28">
        <v>11.0</v>
      </c>
      <c r="Y31" s="28" t="s">
        <v>212</v>
      </c>
      <c r="Z31" s="28">
        <v>1.0</v>
      </c>
      <c r="AA31" s="28" t="s">
        <v>223</v>
      </c>
      <c r="AB31" s="28">
        <v>1.0</v>
      </c>
      <c r="AC31" s="28" t="s">
        <v>230</v>
      </c>
      <c r="AD31" s="28">
        <v>5.0</v>
      </c>
      <c r="AE31" s="28" t="s">
        <v>466</v>
      </c>
      <c r="AF31" s="28">
        <v>1.0</v>
      </c>
      <c r="AG31" s="28" t="s">
        <v>207</v>
      </c>
      <c r="AH31" s="28">
        <v>4.0</v>
      </c>
      <c r="AI31" s="28" t="s">
        <v>212</v>
      </c>
      <c r="AJ31" s="28">
        <v>2.0</v>
      </c>
    </row>
    <row r="32">
      <c r="A32" s="28" t="s">
        <v>210</v>
      </c>
      <c r="B32" s="28">
        <v>1.0</v>
      </c>
      <c r="C32" s="28" t="s">
        <v>210</v>
      </c>
      <c r="D32" s="28">
        <v>1.0</v>
      </c>
      <c r="E32" s="28" t="s">
        <v>210</v>
      </c>
      <c r="F32" s="28">
        <v>3.0</v>
      </c>
      <c r="G32" s="28" t="s">
        <v>223</v>
      </c>
      <c r="H32" s="28">
        <v>1.0</v>
      </c>
      <c r="I32" s="28" t="s">
        <v>216</v>
      </c>
      <c r="J32" s="28">
        <v>3.0</v>
      </c>
      <c r="K32" s="28" t="s">
        <v>216</v>
      </c>
      <c r="L32" s="28">
        <v>1.0</v>
      </c>
      <c r="M32" s="37" t="s">
        <v>223</v>
      </c>
      <c r="N32" s="37">
        <v>1.0</v>
      </c>
      <c r="O32" s="28" t="s">
        <v>466</v>
      </c>
      <c r="P32" s="28">
        <v>1.0</v>
      </c>
      <c r="Q32" s="28" t="s">
        <v>210</v>
      </c>
      <c r="R32" s="28">
        <v>2.0</v>
      </c>
      <c r="S32" s="28" t="s">
        <v>225</v>
      </c>
      <c r="T32" s="28">
        <v>6.0</v>
      </c>
      <c r="U32" s="28" t="s">
        <v>223</v>
      </c>
      <c r="V32" s="28">
        <v>3.0</v>
      </c>
      <c r="W32" s="28" t="s">
        <v>225</v>
      </c>
      <c r="X32" s="28">
        <v>5.0</v>
      </c>
      <c r="Y32" s="28" t="s">
        <v>216</v>
      </c>
      <c r="Z32" s="28">
        <v>7.0</v>
      </c>
      <c r="AA32" s="28" t="s">
        <v>216</v>
      </c>
      <c r="AB32" s="28">
        <v>8.0</v>
      </c>
      <c r="AC32" s="28" t="s">
        <v>236</v>
      </c>
      <c r="AD32" s="28">
        <v>2.0</v>
      </c>
      <c r="AE32" s="28" t="s">
        <v>216</v>
      </c>
      <c r="AF32" s="28">
        <v>4.0</v>
      </c>
      <c r="AG32" s="28" t="s">
        <v>210</v>
      </c>
      <c r="AH32" s="28">
        <v>2.0</v>
      </c>
      <c r="AI32" s="28" t="s">
        <v>216</v>
      </c>
      <c r="AJ32" s="28">
        <v>3.0</v>
      </c>
    </row>
    <row r="33">
      <c r="A33" s="28" t="s">
        <v>223</v>
      </c>
      <c r="B33" s="28">
        <v>1.0</v>
      </c>
      <c r="C33" s="28" t="s">
        <v>223</v>
      </c>
      <c r="D33" s="28">
        <v>2.0</v>
      </c>
      <c r="E33" s="28" t="s">
        <v>223</v>
      </c>
      <c r="F33" s="28">
        <v>2.0</v>
      </c>
      <c r="G33" s="28" t="s">
        <v>212</v>
      </c>
      <c r="H33" s="28">
        <v>1.0</v>
      </c>
      <c r="I33" s="28" t="s">
        <v>225</v>
      </c>
      <c r="J33" s="28">
        <v>7.0</v>
      </c>
      <c r="K33" s="28" t="s">
        <v>225</v>
      </c>
      <c r="L33" s="28">
        <v>8.0</v>
      </c>
      <c r="M33" s="37" t="s">
        <v>212</v>
      </c>
      <c r="N33" s="37">
        <v>2.0</v>
      </c>
      <c r="O33" s="28" t="s">
        <v>216</v>
      </c>
      <c r="P33" s="28">
        <v>3.0</v>
      </c>
      <c r="Q33" s="28" t="s">
        <v>223</v>
      </c>
      <c r="R33" s="28">
        <v>1.0</v>
      </c>
      <c r="S33" s="28" t="s">
        <v>230</v>
      </c>
      <c r="T33" s="28">
        <v>4.0</v>
      </c>
      <c r="U33" s="28" t="s">
        <v>212</v>
      </c>
      <c r="V33" s="28">
        <v>4.0</v>
      </c>
      <c r="W33" s="28" t="s">
        <v>230</v>
      </c>
      <c r="X33" s="28">
        <v>7.0</v>
      </c>
      <c r="Y33" s="28" t="s">
        <v>225</v>
      </c>
      <c r="Z33" s="28">
        <v>5.0</v>
      </c>
      <c r="AA33" s="28" t="s">
        <v>225</v>
      </c>
      <c r="AB33" s="28">
        <v>10.0</v>
      </c>
      <c r="AC33" s="28" t="s">
        <v>246</v>
      </c>
      <c r="AD33" s="28">
        <v>2.0</v>
      </c>
      <c r="AE33" s="28" t="s">
        <v>225</v>
      </c>
      <c r="AF33" s="28">
        <v>7.0</v>
      </c>
      <c r="AG33" s="28" t="s">
        <v>221</v>
      </c>
      <c r="AH33" s="28">
        <v>1.0</v>
      </c>
      <c r="AI33" s="28" t="s">
        <v>225</v>
      </c>
      <c r="AJ33" s="28">
        <v>6.0</v>
      </c>
    </row>
    <row r="34">
      <c r="A34" s="28" t="s">
        <v>212</v>
      </c>
      <c r="B34" s="28">
        <v>2.0</v>
      </c>
      <c r="C34" s="28" t="s">
        <v>212</v>
      </c>
      <c r="D34" s="28">
        <v>2.0</v>
      </c>
      <c r="E34" s="28" t="s">
        <v>212</v>
      </c>
      <c r="F34" s="28">
        <v>2.0</v>
      </c>
      <c r="G34" s="28" t="s">
        <v>216</v>
      </c>
      <c r="H34" s="28">
        <v>7.0</v>
      </c>
      <c r="I34" s="28" t="s">
        <v>230</v>
      </c>
      <c r="J34" s="28">
        <v>6.0</v>
      </c>
      <c r="K34" s="28" t="s">
        <v>230</v>
      </c>
      <c r="L34" s="28">
        <v>4.0</v>
      </c>
      <c r="M34" s="37" t="s">
        <v>216</v>
      </c>
      <c r="N34" s="37">
        <v>10.0</v>
      </c>
      <c r="O34" s="28" t="s">
        <v>225</v>
      </c>
      <c r="P34" s="28">
        <v>6.0</v>
      </c>
      <c r="Q34" s="28" t="s">
        <v>212</v>
      </c>
      <c r="R34" s="28">
        <v>3.0</v>
      </c>
      <c r="S34" s="28" t="s">
        <v>236</v>
      </c>
      <c r="T34" s="28">
        <v>1.0</v>
      </c>
      <c r="U34" s="28" t="s">
        <v>216</v>
      </c>
      <c r="V34" s="28">
        <v>5.0</v>
      </c>
      <c r="W34" s="28" t="s">
        <v>236</v>
      </c>
      <c r="X34" s="28">
        <v>1.0</v>
      </c>
      <c r="Y34" s="28" t="s">
        <v>230</v>
      </c>
      <c r="Z34" s="28">
        <v>1.0</v>
      </c>
      <c r="AA34" s="28" t="s">
        <v>254</v>
      </c>
      <c r="AB34" s="28">
        <v>1.0</v>
      </c>
      <c r="AC34" s="28" t="s">
        <v>291</v>
      </c>
      <c r="AD34" s="28">
        <v>2.0</v>
      </c>
      <c r="AE34" s="28" t="s">
        <v>230</v>
      </c>
      <c r="AF34" s="28">
        <v>6.0</v>
      </c>
      <c r="AG34" s="28" t="s">
        <v>212</v>
      </c>
      <c r="AH34" s="28">
        <v>1.0</v>
      </c>
      <c r="AI34" s="28" t="s">
        <v>230</v>
      </c>
      <c r="AJ34" s="28">
        <v>1.0</v>
      </c>
    </row>
    <row r="35">
      <c r="A35" s="28" t="s">
        <v>216</v>
      </c>
      <c r="B35" s="28">
        <v>7.0</v>
      </c>
      <c r="C35" s="28" t="s">
        <v>466</v>
      </c>
      <c r="D35" s="28">
        <v>1.0</v>
      </c>
      <c r="E35" s="28" t="s">
        <v>216</v>
      </c>
      <c r="F35" s="28">
        <v>6.0</v>
      </c>
      <c r="G35" s="28" t="s">
        <v>225</v>
      </c>
      <c r="H35" s="28">
        <v>4.0</v>
      </c>
      <c r="I35" s="28" t="s">
        <v>236</v>
      </c>
      <c r="J35" s="28">
        <v>1.0</v>
      </c>
      <c r="K35" s="28" t="s">
        <v>236</v>
      </c>
      <c r="L35" s="28">
        <v>2.0</v>
      </c>
      <c r="M35" s="37" t="s">
        <v>225</v>
      </c>
      <c r="N35" s="37">
        <v>6.0</v>
      </c>
      <c r="O35" s="28" t="s">
        <v>230</v>
      </c>
      <c r="P35" s="28">
        <v>5.0</v>
      </c>
      <c r="Q35" s="28" t="s">
        <v>216</v>
      </c>
      <c r="R35" s="28">
        <v>7.0</v>
      </c>
      <c r="S35" s="28" t="s">
        <v>243</v>
      </c>
      <c r="T35" s="28">
        <v>1.0</v>
      </c>
      <c r="U35" s="28" t="s">
        <v>225</v>
      </c>
      <c r="V35" s="28">
        <v>6.0</v>
      </c>
      <c r="W35" s="28" t="s">
        <v>269</v>
      </c>
      <c r="X35" s="28">
        <v>1.0</v>
      </c>
      <c r="Y35" s="28" t="s">
        <v>236</v>
      </c>
      <c r="Z35" s="28">
        <v>5.0</v>
      </c>
      <c r="AA35" s="28" t="s">
        <v>230</v>
      </c>
      <c r="AB35" s="28">
        <v>8.0</v>
      </c>
      <c r="AC35" s="28" t="s">
        <v>277</v>
      </c>
      <c r="AD35" s="28">
        <v>1.0</v>
      </c>
      <c r="AE35" s="28" t="s">
        <v>236</v>
      </c>
      <c r="AF35" s="28">
        <v>1.0</v>
      </c>
      <c r="AG35" s="28" t="s">
        <v>466</v>
      </c>
      <c r="AH35" s="28">
        <v>1.0</v>
      </c>
      <c r="AI35" s="28" t="s">
        <v>236</v>
      </c>
      <c r="AJ35" s="28">
        <v>2.0</v>
      </c>
    </row>
    <row r="36">
      <c r="A36" s="28" t="s">
        <v>225</v>
      </c>
      <c r="B36" s="28">
        <v>10.0</v>
      </c>
      <c r="C36" s="28" t="s">
        <v>216</v>
      </c>
      <c r="D36" s="28">
        <v>8.0</v>
      </c>
      <c r="E36" s="28" t="s">
        <v>225</v>
      </c>
      <c r="F36" s="28">
        <v>4.0</v>
      </c>
      <c r="G36" s="28" t="s">
        <v>230</v>
      </c>
      <c r="H36" s="28">
        <v>5.0</v>
      </c>
      <c r="I36" s="28" t="s">
        <v>291</v>
      </c>
      <c r="J36" s="28">
        <v>1.0</v>
      </c>
      <c r="K36" s="28" t="s">
        <v>273</v>
      </c>
      <c r="L36" s="28">
        <v>1.0</v>
      </c>
      <c r="M36" s="37" t="s">
        <v>230</v>
      </c>
      <c r="N36" s="37">
        <v>8.0</v>
      </c>
      <c r="O36" s="28" t="s">
        <v>525</v>
      </c>
      <c r="P36" s="28">
        <v>1.0</v>
      </c>
      <c r="Q36" s="28" t="s">
        <v>225</v>
      </c>
      <c r="R36" s="28">
        <v>7.0</v>
      </c>
      <c r="S36" s="28" t="s">
        <v>273</v>
      </c>
      <c r="T36" s="28">
        <v>1.0</v>
      </c>
      <c r="U36" s="28" t="s">
        <v>230</v>
      </c>
      <c r="V36" s="28">
        <v>4.0</v>
      </c>
      <c r="W36" s="28" t="s">
        <v>291</v>
      </c>
      <c r="X36" s="28">
        <v>3.0</v>
      </c>
      <c r="Y36" s="28" t="s">
        <v>246</v>
      </c>
      <c r="Z36" s="28">
        <v>1.0</v>
      </c>
      <c r="AA36" s="28" t="s">
        <v>236</v>
      </c>
      <c r="AB36" s="28">
        <v>4.0</v>
      </c>
      <c r="AC36" s="28" t="s">
        <v>279</v>
      </c>
      <c r="AD36" s="28">
        <v>1.0</v>
      </c>
      <c r="AE36" s="28" t="s">
        <v>246</v>
      </c>
      <c r="AF36" s="28">
        <v>1.0</v>
      </c>
      <c r="AG36" s="28" t="s">
        <v>216</v>
      </c>
      <c r="AH36" s="28">
        <v>5.0</v>
      </c>
      <c r="AI36" s="28" t="s">
        <v>244</v>
      </c>
      <c r="AJ36" s="28">
        <v>1.0</v>
      </c>
    </row>
    <row r="37">
      <c r="A37" s="28" t="s">
        <v>230</v>
      </c>
      <c r="B37" s="28">
        <v>2.0</v>
      </c>
      <c r="C37" s="28" t="s">
        <v>225</v>
      </c>
      <c r="D37" s="28">
        <v>10.0</v>
      </c>
      <c r="E37" s="28" t="s">
        <v>230</v>
      </c>
      <c r="F37" s="28">
        <v>5.0</v>
      </c>
      <c r="G37" s="28" t="s">
        <v>236</v>
      </c>
      <c r="H37" s="28">
        <v>5.0</v>
      </c>
      <c r="I37" s="28" t="s">
        <v>266</v>
      </c>
      <c r="J37" s="28">
        <v>1.0</v>
      </c>
      <c r="K37" s="28" t="s">
        <v>291</v>
      </c>
      <c r="L37" s="28">
        <v>2.0</v>
      </c>
      <c r="M37" s="37" t="s">
        <v>236</v>
      </c>
      <c r="N37" s="37">
        <v>1.0</v>
      </c>
      <c r="O37" s="28" t="s">
        <v>236</v>
      </c>
      <c r="P37" s="28">
        <v>3.0</v>
      </c>
      <c r="Q37" s="28" t="s">
        <v>230</v>
      </c>
      <c r="R37" s="28">
        <v>5.0</v>
      </c>
      <c r="S37" s="28" t="s">
        <v>291</v>
      </c>
      <c r="T37" s="28">
        <v>1.0</v>
      </c>
      <c r="U37" s="28" t="s">
        <v>236</v>
      </c>
      <c r="V37" s="28">
        <v>2.0</v>
      </c>
      <c r="W37" s="28" t="s">
        <v>266</v>
      </c>
      <c r="X37" s="28">
        <v>1.0</v>
      </c>
      <c r="Y37" s="28" t="s">
        <v>244</v>
      </c>
      <c r="Z37" s="28">
        <v>1.0</v>
      </c>
      <c r="AA37" s="28" t="s">
        <v>246</v>
      </c>
      <c r="AB37" s="28">
        <v>1.0</v>
      </c>
      <c r="AC37" s="28" t="s">
        <v>249</v>
      </c>
      <c r="AD37" s="28">
        <v>1.0</v>
      </c>
      <c r="AE37" s="28" t="s">
        <v>244</v>
      </c>
      <c r="AF37" s="28">
        <v>1.0</v>
      </c>
      <c r="AG37" s="28" t="s">
        <v>225</v>
      </c>
      <c r="AH37" s="28">
        <v>8.0</v>
      </c>
      <c r="AI37" s="28" t="s">
        <v>249</v>
      </c>
      <c r="AJ37" s="28">
        <v>2.0</v>
      </c>
    </row>
    <row r="38">
      <c r="A38" s="28" t="s">
        <v>236</v>
      </c>
      <c r="B38" s="28">
        <v>2.0</v>
      </c>
      <c r="C38" s="28" t="s">
        <v>230</v>
      </c>
      <c r="D38" s="28">
        <v>3.0</v>
      </c>
      <c r="E38" s="28" t="s">
        <v>525</v>
      </c>
      <c r="F38" s="28">
        <v>1.0</v>
      </c>
      <c r="G38" s="28" t="s">
        <v>266</v>
      </c>
      <c r="H38" s="28">
        <v>1.0</v>
      </c>
      <c r="I38" s="28" t="s">
        <v>277</v>
      </c>
      <c r="J38" s="28">
        <v>1.0</v>
      </c>
      <c r="K38" s="28" t="s">
        <v>241</v>
      </c>
      <c r="L38" s="28">
        <v>1.0</v>
      </c>
      <c r="M38" s="129" t="s">
        <v>246</v>
      </c>
      <c r="N38" s="129">
        <v>2.0</v>
      </c>
      <c r="O38" s="28" t="s">
        <v>244</v>
      </c>
      <c r="P38" s="28">
        <v>2.0</v>
      </c>
      <c r="Q38" s="28" t="s">
        <v>236</v>
      </c>
      <c r="R38" s="28">
        <v>2.0</v>
      </c>
      <c r="S38" s="28" t="s">
        <v>248</v>
      </c>
      <c r="T38" s="28">
        <v>1.0</v>
      </c>
      <c r="U38" s="28" t="s">
        <v>246</v>
      </c>
      <c r="V38" s="28">
        <v>1.0</v>
      </c>
      <c r="W38" s="28" t="s">
        <v>276</v>
      </c>
      <c r="X38" s="28">
        <v>1.0</v>
      </c>
      <c r="Y38" s="28" t="s">
        <v>273</v>
      </c>
      <c r="Z38" s="28">
        <v>1.0</v>
      </c>
      <c r="AA38" s="28" t="s">
        <v>276</v>
      </c>
      <c r="AB38" s="28">
        <v>1.0</v>
      </c>
      <c r="AC38" s="28" t="s">
        <v>257</v>
      </c>
      <c r="AD38" s="28">
        <v>1.0</v>
      </c>
      <c r="AE38" s="28" t="s">
        <v>273</v>
      </c>
      <c r="AF38" s="28">
        <v>1.0</v>
      </c>
      <c r="AG38" s="28" t="s">
        <v>230</v>
      </c>
      <c r="AH38" s="28">
        <v>2.0</v>
      </c>
      <c r="AI38" s="28" t="s">
        <v>475</v>
      </c>
      <c r="AJ38" s="28">
        <v>1.0</v>
      </c>
    </row>
    <row r="39">
      <c r="A39" s="28" t="s">
        <v>248</v>
      </c>
      <c r="B39" s="28">
        <v>1.0</v>
      </c>
      <c r="C39" s="28" t="s">
        <v>236</v>
      </c>
      <c r="D39" s="28">
        <v>2.0</v>
      </c>
      <c r="E39" s="28" t="s">
        <v>236</v>
      </c>
      <c r="F39" s="28">
        <v>2.0</v>
      </c>
      <c r="G39" s="28" t="s">
        <v>292</v>
      </c>
      <c r="H39" s="28">
        <v>1.0</v>
      </c>
      <c r="I39" s="28" t="s">
        <v>276</v>
      </c>
      <c r="J39" s="28">
        <v>1.0</v>
      </c>
      <c r="K39" s="28" t="s">
        <v>248</v>
      </c>
      <c r="L39" s="28">
        <v>1.0</v>
      </c>
      <c r="M39" s="129" t="s">
        <v>269</v>
      </c>
      <c r="N39" s="129">
        <v>1.0</v>
      </c>
      <c r="O39" s="28" t="s">
        <v>248</v>
      </c>
      <c r="P39" s="28">
        <v>1.0</v>
      </c>
      <c r="Q39" s="28" t="s">
        <v>291</v>
      </c>
      <c r="R39" s="28">
        <v>1.0</v>
      </c>
      <c r="S39" s="28" t="s">
        <v>276</v>
      </c>
      <c r="T39" s="28">
        <v>1.0</v>
      </c>
      <c r="U39" s="28" t="s">
        <v>244</v>
      </c>
      <c r="V39" s="28">
        <v>1.0</v>
      </c>
      <c r="W39" s="28" t="s">
        <v>279</v>
      </c>
      <c r="X39" s="28">
        <v>1.0</v>
      </c>
      <c r="Y39" s="28" t="s">
        <v>266</v>
      </c>
      <c r="Z39" s="28">
        <v>1.0</v>
      </c>
      <c r="AA39" s="28" t="s">
        <v>249</v>
      </c>
      <c r="AB39" s="28">
        <v>1.0</v>
      </c>
      <c r="AC39" s="28" t="s">
        <v>475</v>
      </c>
      <c r="AD39" s="28">
        <v>2.0</v>
      </c>
      <c r="AE39" s="28" t="s">
        <v>241</v>
      </c>
      <c r="AF39" s="28">
        <v>1.0</v>
      </c>
      <c r="AG39" s="28" t="s">
        <v>236</v>
      </c>
      <c r="AH39" s="28">
        <v>3.0</v>
      </c>
      <c r="AI39" s="28" t="s">
        <v>258</v>
      </c>
      <c r="AJ39" s="28">
        <v>1.0</v>
      </c>
    </row>
    <row r="40">
      <c r="A40" s="28" t="s">
        <v>266</v>
      </c>
      <c r="B40" s="28">
        <v>1.0</v>
      </c>
      <c r="C40" s="28" t="s">
        <v>248</v>
      </c>
      <c r="D40" s="28">
        <v>1.0</v>
      </c>
      <c r="E40" s="28" t="s">
        <v>273</v>
      </c>
      <c r="F40" s="28">
        <v>1.0</v>
      </c>
      <c r="G40" s="28" t="s">
        <v>277</v>
      </c>
      <c r="H40" s="28">
        <v>1.0</v>
      </c>
      <c r="I40" s="28" t="s">
        <v>279</v>
      </c>
      <c r="J40" s="28">
        <v>2.0</v>
      </c>
      <c r="K40" s="28" t="s">
        <v>266</v>
      </c>
      <c r="L40" s="28">
        <v>1.0</v>
      </c>
      <c r="M40" s="129" t="s">
        <v>248</v>
      </c>
      <c r="N40" s="129">
        <v>1.0</v>
      </c>
      <c r="O40" s="28" t="s">
        <v>266</v>
      </c>
      <c r="P40" s="28">
        <v>1.0</v>
      </c>
      <c r="Q40" s="28" t="s">
        <v>266</v>
      </c>
      <c r="R40" s="28">
        <v>1.0</v>
      </c>
      <c r="S40" s="28" t="s">
        <v>279</v>
      </c>
      <c r="T40" s="28">
        <v>1.0</v>
      </c>
      <c r="U40" s="28" t="s">
        <v>243</v>
      </c>
      <c r="V40" s="28">
        <v>1.0</v>
      </c>
      <c r="W40" s="28" t="s">
        <v>257</v>
      </c>
      <c r="X40" s="28">
        <v>1.0</v>
      </c>
      <c r="Y40" s="28" t="s">
        <v>257</v>
      </c>
      <c r="Z40" s="28">
        <v>1.0</v>
      </c>
      <c r="AA40" s="28" t="s">
        <v>257</v>
      </c>
      <c r="AB40" s="28">
        <v>1.0</v>
      </c>
      <c r="AC40" s="28" t="s">
        <v>258</v>
      </c>
      <c r="AD40" s="28">
        <v>1.0</v>
      </c>
      <c r="AE40" s="28" t="s">
        <v>266</v>
      </c>
      <c r="AF40" s="28">
        <v>1.0</v>
      </c>
      <c r="AG40" s="28" t="s">
        <v>471</v>
      </c>
      <c r="AH40" s="28">
        <v>1.0</v>
      </c>
      <c r="AI40" s="28" t="s">
        <v>261</v>
      </c>
      <c r="AJ40" s="28">
        <v>2.0</v>
      </c>
    </row>
    <row r="41">
      <c r="A41" s="28" t="s">
        <v>277</v>
      </c>
      <c r="B41" s="28">
        <v>1.0</v>
      </c>
      <c r="C41" s="28" t="s">
        <v>266</v>
      </c>
      <c r="D41" s="28">
        <v>1.0</v>
      </c>
      <c r="E41" s="28" t="s">
        <v>248</v>
      </c>
      <c r="F41" s="28">
        <v>1.0</v>
      </c>
      <c r="G41" s="28" t="s">
        <v>249</v>
      </c>
      <c r="H41" s="28">
        <v>3.0</v>
      </c>
      <c r="I41" s="28" t="s">
        <v>249</v>
      </c>
      <c r="J41" s="28">
        <v>2.0</v>
      </c>
      <c r="K41" s="28" t="s">
        <v>258</v>
      </c>
      <c r="L41" s="28">
        <v>1.0</v>
      </c>
      <c r="M41" s="37" t="s">
        <v>276</v>
      </c>
      <c r="N41" s="37">
        <v>1.0</v>
      </c>
      <c r="O41" s="28" t="s">
        <v>276</v>
      </c>
      <c r="P41" s="28">
        <v>1.0</v>
      </c>
      <c r="Q41" s="28" t="s">
        <v>257</v>
      </c>
      <c r="R41" s="28">
        <v>1.0</v>
      </c>
      <c r="S41" s="28" t="s">
        <v>475</v>
      </c>
      <c r="T41" s="28">
        <v>2.0</v>
      </c>
      <c r="U41" s="28" t="s">
        <v>287</v>
      </c>
      <c r="V41" s="28">
        <v>1.0</v>
      </c>
      <c r="W41" s="28" t="s">
        <v>476</v>
      </c>
      <c r="X41" s="28">
        <v>1.0</v>
      </c>
      <c r="Y41" s="28" t="s">
        <v>475</v>
      </c>
      <c r="Z41" s="28">
        <v>1.0</v>
      </c>
      <c r="AA41" s="28" t="s">
        <v>258</v>
      </c>
      <c r="AB41" s="28">
        <v>1.0</v>
      </c>
      <c r="AC41" s="28" t="s">
        <v>255</v>
      </c>
      <c r="AD41" s="28">
        <v>2.0</v>
      </c>
      <c r="AE41" s="28" t="s">
        <v>292</v>
      </c>
      <c r="AF41" s="28">
        <v>2.0</v>
      </c>
      <c r="AG41" s="28" t="s">
        <v>276</v>
      </c>
      <c r="AH41" s="28">
        <v>1.0</v>
      </c>
      <c r="AI41" s="28" t="s">
        <v>271</v>
      </c>
      <c r="AJ41" s="28">
        <v>1.0</v>
      </c>
    </row>
    <row r="42">
      <c r="A42" s="28" t="s">
        <v>276</v>
      </c>
      <c r="B42" s="28">
        <v>2.0</v>
      </c>
      <c r="C42" s="28" t="s">
        <v>277</v>
      </c>
      <c r="D42" s="28">
        <v>1.0</v>
      </c>
      <c r="E42" s="28" t="s">
        <v>471</v>
      </c>
      <c r="F42" s="28">
        <v>1.0</v>
      </c>
      <c r="G42" s="28" t="s">
        <v>257</v>
      </c>
      <c r="H42" s="28">
        <v>1.0</v>
      </c>
      <c r="I42" s="28" t="s">
        <v>257</v>
      </c>
      <c r="J42" s="28">
        <v>2.0</v>
      </c>
      <c r="K42" s="28" t="s">
        <v>283</v>
      </c>
      <c r="L42" s="28">
        <v>1.0</v>
      </c>
      <c r="M42" s="37" t="s">
        <v>262</v>
      </c>
      <c r="N42" s="37">
        <v>1.0</v>
      </c>
      <c r="O42" s="28" t="s">
        <v>279</v>
      </c>
      <c r="P42" s="28">
        <v>1.0</v>
      </c>
      <c r="Q42" s="28" t="s">
        <v>258</v>
      </c>
      <c r="R42" s="28">
        <v>1.0</v>
      </c>
      <c r="S42" s="28" t="s">
        <v>258</v>
      </c>
      <c r="T42" s="28">
        <v>1.0</v>
      </c>
      <c r="U42" s="28" t="s">
        <v>241</v>
      </c>
      <c r="V42" s="28">
        <v>1.0</v>
      </c>
      <c r="W42" s="28" t="s">
        <v>283</v>
      </c>
      <c r="X42" s="28">
        <v>1.0</v>
      </c>
      <c r="Y42" s="28" t="s">
        <v>311</v>
      </c>
      <c r="Z42" s="28">
        <v>2.0</v>
      </c>
      <c r="AA42" s="28" t="s">
        <v>263</v>
      </c>
      <c r="AB42" s="28">
        <v>1.0</v>
      </c>
      <c r="AC42" s="28" t="s">
        <v>263</v>
      </c>
      <c r="AD42" s="28">
        <v>1.0</v>
      </c>
      <c r="AE42" s="28" t="s">
        <v>304</v>
      </c>
      <c r="AF42" s="28">
        <v>1.0</v>
      </c>
      <c r="AG42" s="28" t="s">
        <v>258</v>
      </c>
      <c r="AH42" s="28">
        <v>2.0</v>
      </c>
      <c r="AI42" s="28" t="s">
        <v>285</v>
      </c>
      <c r="AJ42" s="28">
        <v>1.0</v>
      </c>
    </row>
    <row r="43">
      <c r="A43" s="28" t="s">
        <v>249</v>
      </c>
      <c r="B43" s="28">
        <v>1.0</v>
      </c>
      <c r="C43" s="28" t="s">
        <v>276</v>
      </c>
      <c r="D43" s="28">
        <v>2.0</v>
      </c>
      <c r="E43" s="28" t="s">
        <v>292</v>
      </c>
      <c r="F43" s="28">
        <v>1.0</v>
      </c>
      <c r="G43" s="28" t="s">
        <v>258</v>
      </c>
      <c r="H43" s="28">
        <v>1.0</v>
      </c>
      <c r="I43" s="28" t="s">
        <v>479</v>
      </c>
      <c r="J43" s="28">
        <v>1.0</v>
      </c>
      <c r="K43" s="28" t="s">
        <v>261</v>
      </c>
      <c r="L43" s="28">
        <v>9.0</v>
      </c>
      <c r="M43" s="37" t="s">
        <v>263</v>
      </c>
      <c r="N43" s="37">
        <v>1.0</v>
      </c>
      <c r="O43" s="28" t="s">
        <v>249</v>
      </c>
      <c r="P43" s="28">
        <v>1.0</v>
      </c>
      <c r="Q43" s="28" t="s">
        <v>262</v>
      </c>
      <c r="R43" s="28">
        <v>1.0</v>
      </c>
      <c r="S43" s="28" t="s">
        <v>262</v>
      </c>
      <c r="T43" s="28">
        <v>1.0</v>
      </c>
      <c r="U43" s="28" t="s">
        <v>248</v>
      </c>
      <c r="V43" s="28">
        <v>3.0</v>
      </c>
      <c r="W43" s="28" t="s">
        <v>261</v>
      </c>
      <c r="X43" s="28">
        <v>3.0</v>
      </c>
      <c r="Y43" s="28" t="s">
        <v>261</v>
      </c>
      <c r="Z43" s="28">
        <v>2.0</v>
      </c>
      <c r="AA43" s="28" t="s">
        <v>311</v>
      </c>
      <c r="AB43" s="28">
        <v>1.0</v>
      </c>
      <c r="AC43" s="28" t="s">
        <v>261</v>
      </c>
      <c r="AD43" s="28">
        <v>3.0</v>
      </c>
      <c r="AE43" s="28" t="s">
        <v>311</v>
      </c>
      <c r="AF43" s="28">
        <v>1.0</v>
      </c>
      <c r="AG43" s="28" t="s">
        <v>263</v>
      </c>
      <c r="AH43" s="28">
        <v>1.0</v>
      </c>
      <c r="AI43" s="28" t="s">
        <v>281</v>
      </c>
      <c r="AJ43" s="28">
        <v>1.0</v>
      </c>
    </row>
    <row r="44">
      <c r="A44" s="28" t="s">
        <v>255</v>
      </c>
      <c r="B44" s="28">
        <v>1.0</v>
      </c>
      <c r="C44" s="28" t="s">
        <v>249</v>
      </c>
      <c r="D44" s="28">
        <v>1.0</v>
      </c>
      <c r="E44" s="28" t="s">
        <v>279</v>
      </c>
      <c r="F44" s="28">
        <v>1.0</v>
      </c>
      <c r="G44" s="28" t="s">
        <v>255</v>
      </c>
      <c r="H44" s="28">
        <v>1.0</v>
      </c>
      <c r="I44" s="28" t="s">
        <v>261</v>
      </c>
      <c r="J44" s="28">
        <v>1.0</v>
      </c>
      <c r="K44" s="28" t="s">
        <v>271</v>
      </c>
      <c r="L44" s="28">
        <v>1.0</v>
      </c>
      <c r="M44" s="37" t="s">
        <v>261</v>
      </c>
      <c r="N44" s="37">
        <v>4.0</v>
      </c>
      <c r="O44" s="28" t="s">
        <v>475</v>
      </c>
      <c r="P44" s="28">
        <v>1.0</v>
      </c>
      <c r="Q44" s="28" t="s">
        <v>476</v>
      </c>
      <c r="R44" s="28">
        <v>1.0</v>
      </c>
      <c r="S44" s="28" t="s">
        <v>255</v>
      </c>
      <c r="T44" s="28">
        <v>2.0</v>
      </c>
      <c r="U44" s="28" t="s">
        <v>258</v>
      </c>
      <c r="V44" s="28">
        <v>1.0</v>
      </c>
      <c r="W44" s="28" t="s">
        <v>294</v>
      </c>
      <c r="X44" s="28">
        <v>1.0</v>
      </c>
      <c r="Y44" s="28" t="s">
        <v>281</v>
      </c>
      <c r="Z44" s="28">
        <v>1.0</v>
      </c>
      <c r="AA44" s="28" t="s">
        <v>281</v>
      </c>
      <c r="AB44" s="28">
        <v>3.0</v>
      </c>
      <c r="AC44" s="28" t="s">
        <v>271</v>
      </c>
      <c r="AD44" s="28">
        <v>1.0</v>
      </c>
      <c r="AE44" s="28" t="s">
        <v>261</v>
      </c>
      <c r="AF44" s="28">
        <v>8.0</v>
      </c>
      <c r="AG44" s="28" t="s">
        <v>304</v>
      </c>
      <c r="AH44" s="28">
        <v>2.0</v>
      </c>
      <c r="AI44" s="28" t="s">
        <v>319</v>
      </c>
      <c r="AJ44" s="28">
        <v>3.0</v>
      </c>
    </row>
    <row r="45">
      <c r="A45" s="28" t="s">
        <v>304</v>
      </c>
      <c r="B45" s="28">
        <v>1.0</v>
      </c>
      <c r="C45" s="28" t="s">
        <v>255</v>
      </c>
      <c r="D45" s="28">
        <v>1.0</v>
      </c>
      <c r="E45" s="28" t="s">
        <v>249</v>
      </c>
      <c r="F45" s="28">
        <v>1.0</v>
      </c>
      <c r="G45" s="28" t="s">
        <v>283</v>
      </c>
      <c r="H45" s="28">
        <v>2.0</v>
      </c>
      <c r="I45" s="28" t="s">
        <v>285</v>
      </c>
      <c r="J45" s="28">
        <v>1.0</v>
      </c>
      <c r="K45" s="28" t="s">
        <v>285</v>
      </c>
      <c r="L45" s="28">
        <v>2.0</v>
      </c>
      <c r="M45" s="37" t="s">
        <v>285</v>
      </c>
      <c r="N45" s="37">
        <v>1.0</v>
      </c>
      <c r="O45" s="28" t="s">
        <v>283</v>
      </c>
      <c r="P45" s="28">
        <v>1.0</v>
      </c>
      <c r="Q45" s="28" t="s">
        <v>304</v>
      </c>
      <c r="R45" s="28">
        <v>1.0</v>
      </c>
      <c r="S45" s="28" t="s">
        <v>261</v>
      </c>
      <c r="T45" s="28">
        <v>3.0</v>
      </c>
      <c r="U45" s="28" t="s">
        <v>263</v>
      </c>
      <c r="V45" s="28">
        <v>1.0</v>
      </c>
      <c r="W45" s="28" t="s">
        <v>319</v>
      </c>
      <c r="X45" s="28">
        <v>2.0</v>
      </c>
      <c r="Y45" s="28" t="s">
        <v>301</v>
      </c>
      <c r="Z45" s="28">
        <v>1.0</v>
      </c>
      <c r="AA45" s="28" t="s">
        <v>294</v>
      </c>
      <c r="AB45" s="28">
        <v>1.0</v>
      </c>
      <c r="AC45" s="28" t="s">
        <v>294</v>
      </c>
      <c r="AD45" s="28">
        <v>2.0</v>
      </c>
      <c r="AE45" s="28" t="s">
        <v>271</v>
      </c>
      <c r="AF45" s="28">
        <v>1.0</v>
      </c>
      <c r="AG45" s="28" t="s">
        <v>302</v>
      </c>
      <c r="AH45" s="28">
        <v>1.0</v>
      </c>
      <c r="AI45" s="28" t="s">
        <v>301</v>
      </c>
      <c r="AJ45" s="28">
        <v>1.0</v>
      </c>
    </row>
    <row r="46">
      <c r="A46" s="28" t="s">
        <v>261</v>
      </c>
      <c r="B46" s="28">
        <v>4.0</v>
      </c>
      <c r="C46" s="28" t="s">
        <v>304</v>
      </c>
      <c r="D46" s="28">
        <v>1.0</v>
      </c>
      <c r="E46" s="28" t="s">
        <v>257</v>
      </c>
      <c r="F46" s="28">
        <v>3.0</v>
      </c>
      <c r="G46" s="28" t="s">
        <v>304</v>
      </c>
      <c r="H46" s="28">
        <v>1.0</v>
      </c>
      <c r="I46" s="28" t="s">
        <v>281</v>
      </c>
      <c r="J46" s="28">
        <v>1.0</v>
      </c>
      <c r="K46" s="28" t="s">
        <v>294</v>
      </c>
      <c r="L46" s="28">
        <v>2.0</v>
      </c>
      <c r="M46" s="37" t="s">
        <v>281</v>
      </c>
      <c r="N46" s="37">
        <v>3.0</v>
      </c>
      <c r="O46" s="28" t="s">
        <v>261</v>
      </c>
      <c r="P46" s="28">
        <v>2.0</v>
      </c>
      <c r="Q46" s="28" t="s">
        <v>299</v>
      </c>
      <c r="R46" s="28">
        <v>1.0</v>
      </c>
      <c r="S46" s="28" t="s">
        <v>281</v>
      </c>
      <c r="T46" s="28">
        <v>1.0</v>
      </c>
      <c r="U46" s="28" t="s">
        <v>304</v>
      </c>
      <c r="V46" s="28">
        <v>1.0</v>
      </c>
      <c r="W46" s="28" t="s">
        <v>301</v>
      </c>
      <c r="X46" s="28">
        <v>1.0</v>
      </c>
      <c r="Y46" s="28" t="s">
        <v>297</v>
      </c>
      <c r="Z46" s="28">
        <v>1.0</v>
      </c>
      <c r="AA46" s="28" t="s">
        <v>306</v>
      </c>
      <c r="AB46" s="28">
        <v>1.0</v>
      </c>
      <c r="AC46" s="28" t="s">
        <v>317</v>
      </c>
      <c r="AD46" s="28">
        <v>1.0</v>
      </c>
      <c r="AE46" s="28" t="s">
        <v>281</v>
      </c>
      <c r="AF46" s="28">
        <v>1.0</v>
      </c>
      <c r="AG46" s="28" t="s">
        <v>261</v>
      </c>
      <c r="AH46" s="28">
        <v>2.0</v>
      </c>
      <c r="AI46" s="28" t="s">
        <v>297</v>
      </c>
      <c r="AJ46" s="28">
        <v>2.0</v>
      </c>
    </row>
    <row r="47">
      <c r="A47" s="28" t="s">
        <v>271</v>
      </c>
      <c r="B47" s="28">
        <v>1.0</v>
      </c>
      <c r="C47" s="28" t="s">
        <v>261</v>
      </c>
      <c r="D47" s="28">
        <v>3.0</v>
      </c>
      <c r="E47" s="28" t="s">
        <v>258</v>
      </c>
      <c r="F47" s="28">
        <v>1.0</v>
      </c>
      <c r="G47" s="28" t="s">
        <v>261</v>
      </c>
      <c r="H47" s="28">
        <v>1.0</v>
      </c>
      <c r="I47" s="28" t="s">
        <v>294</v>
      </c>
      <c r="J47" s="28">
        <v>1.0</v>
      </c>
      <c r="K47" s="28" t="s">
        <v>317</v>
      </c>
      <c r="L47" s="28">
        <v>3.0</v>
      </c>
      <c r="M47" s="37" t="s">
        <v>294</v>
      </c>
      <c r="N47" s="37">
        <v>1.0</v>
      </c>
      <c r="O47" s="28" t="s">
        <v>271</v>
      </c>
      <c r="P47" s="28">
        <v>1.0</v>
      </c>
      <c r="Q47" s="28" t="s">
        <v>285</v>
      </c>
      <c r="R47" s="28">
        <v>2.0</v>
      </c>
      <c r="S47" s="28" t="s">
        <v>294</v>
      </c>
      <c r="T47" s="28">
        <v>3.0</v>
      </c>
      <c r="U47" s="28" t="s">
        <v>302</v>
      </c>
      <c r="V47" s="28">
        <v>2.0</v>
      </c>
      <c r="W47" s="28" t="s">
        <v>297</v>
      </c>
      <c r="X47" s="28">
        <v>2.0</v>
      </c>
      <c r="Y47" s="28" t="s">
        <v>336</v>
      </c>
      <c r="Z47" s="28">
        <v>1.0</v>
      </c>
      <c r="AA47" s="28" t="s">
        <v>301</v>
      </c>
      <c r="AB47" s="28">
        <v>1.0</v>
      </c>
      <c r="AC47" s="28" t="s">
        <v>297</v>
      </c>
      <c r="AD47" s="28">
        <v>3.0</v>
      </c>
      <c r="AE47" s="28" t="s">
        <v>294</v>
      </c>
      <c r="AF47" s="28">
        <v>2.0</v>
      </c>
      <c r="AG47" s="28" t="s">
        <v>294</v>
      </c>
      <c r="AH47" s="28">
        <v>1.0</v>
      </c>
      <c r="AI47" s="28" t="s">
        <v>300</v>
      </c>
      <c r="AJ47" s="28">
        <v>1.0</v>
      </c>
    </row>
    <row r="48">
      <c r="A48" s="28" t="s">
        <v>285</v>
      </c>
      <c r="B48" s="28">
        <v>2.0</v>
      </c>
      <c r="C48" s="28" t="s">
        <v>271</v>
      </c>
      <c r="D48" s="28">
        <v>1.0</v>
      </c>
      <c r="E48" s="28" t="s">
        <v>261</v>
      </c>
      <c r="F48" s="28">
        <v>1.0</v>
      </c>
      <c r="G48" s="28" t="s">
        <v>271</v>
      </c>
      <c r="H48" s="28">
        <v>1.0</v>
      </c>
      <c r="I48" s="28" t="s">
        <v>317</v>
      </c>
      <c r="J48" s="28">
        <v>1.0</v>
      </c>
      <c r="K48" s="28" t="s">
        <v>319</v>
      </c>
      <c r="L48" s="28">
        <v>1.0</v>
      </c>
      <c r="M48" s="37" t="s">
        <v>297</v>
      </c>
      <c r="N48" s="37">
        <v>2.0</v>
      </c>
      <c r="O48" s="28" t="s">
        <v>285</v>
      </c>
      <c r="P48" s="28">
        <v>1.0</v>
      </c>
      <c r="Q48" s="28" t="s">
        <v>281</v>
      </c>
      <c r="R48" s="28">
        <v>2.0</v>
      </c>
      <c r="S48" s="28" t="s">
        <v>301</v>
      </c>
      <c r="T48" s="28">
        <v>1.0</v>
      </c>
      <c r="U48" s="28" t="s">
        <v>261</v>
      </c>
      <c r="V48" s="28">
        <v>10.0</v>
      </c>
      <c r="W48" s="28" t="s">
        <v>307</v>
      </c>
      <c r="X48" s="28">
        <v>1.0</v>
      </c>
      <c r="Y48" s="28" t="s">
        <v>343</v>
      </c>
      <c r="Z48" s="28">
        <v>1.0</v>
      </c>
      <c r="AA48" s="28" t="s">
        <v>315</v>
      </c>
      <c r="AB48" s="28">
        <v>1.0</v>
      </c>
      <c r="AC48" s="28" t="s">
        <v>323</v>
      </c>
      <c r="AD48" s="28">
        <v>2.0</v>
      </c>
      <c r="AE48" s="28" t="s">
        <v>317</v>
      </c>
      <c r="AF48" s="28">
        <v>1.0</v>
      </c>
      <c r="AG48" s="28" t="s">
        <v>317</v>
      </c>
      <c r="AH48" s="28">
        <v>2.0</v>
      </c>
      <c r="AI48" s="28" t="s">
        <v>307</v>
      </c>
      <c r="AJ48" s="28">
        <v>1.0</v>
      </c>
    </row>
    <row r="49">
      <c r="A49" s="28" t="s">
        <v>281</v>
      </c>
      <c r="B49" s="28">
        <v>2.0</v>
      </c>
      <c r="C49" s="28" t="s">
        <v>285</v>
      </c>
      <c r="D49" s="28">
        <v>2.0</v>
      </c>
      <c r="E49" s="28" t="s">
        <v>285</v>
      </c>
      <c r="F49" s="28">
        <v>2.0</v>
      </c>
      <c r="G49" s="28" t="s">
        <v>306</v>
      </c>
      <c r="H49" s="28">
        <v>2.0</v>
      </c>
      <c r="I49" s="28" t="s">
        <v>301</v>
      </c>
      <c r="J49" s="28">
        <v>1.0</v>
      </c>
      <c r="K49" s="28" t="s">
        <v>301</v>
      </c>
      <c r="L49" s="28">
        <v>3.0</v>
      </c>
      <c r="M49" s="37" t="s">
        <v>300</v>
      </c>
      <c r="N49" s="37">
        <v>1.0</v>
      </c>
      <c r="O49" s="28" t="s">
        <v>317</v>
      </c>
      <c r="P49" s="28">
        <v>1.0</v>
      </c>
      <c r="Q49" s="28" t="s">
        <v>317</v>
      </c>
      <c r="R49" s="28">
        <v>1.0</v>
      </c>
      <c r="S49" s="28" t="s">
        <v>297</v>
      </c>
      <c r="T49" s="28">
        <v>1.0</v>
      </c>
      <c r="U49" s="28" t="s">
        <v>285</v>
      </c>
      <c r="V49" s="28">
        <v>1.0</v>
      </c>
      <c r="W49" s="28" t="s">
        <v>331</v>
      </c>
      <c r="X49" s="28">
        <v>1.0</v>
      </c>
      <c r="Y49" s="28" t="s">
        <v>305</v>
      </c>
      <c r="Z49" s="28">
        <v>2.0</v>
      </c>
      <c r="AA49" s="28" t="s">
        <v>300</v>
      </c>
      <c r="AB49" s="28">
        <v>1.0</v>
      </c>
      <c r="AC49" s="28" t="s">
        <v>300</v>
      </c>
      <c r="AD49" s="28">
        <v>1.0</v>
      </c>
      <c r="AE49" s="28" t="s">
        <v>319</v>
      </c>
      <c r="AF49" s="28">
        <v>1.0</v>
      </c>
      <c r="AG49" s="28" t="s">
        <v>319</v>
      </c>
      <c r="AH49" s="28">
        <v>1.0</v>
      </c>
      <c r="AI49" s="28" t="s">
        <v>341</v>
      </c>
      <c r="AJ49" s="28">
        <v>1.0</v>
      </c>
    </row>
    <row r="50">
      <c r="A50" s="28" t="s">
        <v>319</v>
      </c>
      <c r="B50" s="28">
        <v>1.0</v>
      </c>
      <c r="C50" s="28" t="s">
        <v>281</v>
      </c>
      <c r="D50" s="28">
        <v>2.0</v>
      </c>
      <c r="E50" s="28" t="s">
        <v>281</v>
      </c>
      <c r="F50" s="28">
        <v>2.0</v>
      </c>
      <c r="G50" s="28" t="s">
        <v>301</v>
      </c>
      <c r="H50" s="28">
        <v>1.0</v>
      </c>
      <c r="I50" s="28" t="s">
        <v>336</v>
      </c>
      <c r="J50" s="28">
        <v>1.0</v>
      </c>
      <c r="K50" s="28" t="s">
        <v>297</v>
      </c>
      <c r="L50" s="28">
        <v>1.0</v>
      </c>
      <c r="M50" s="37" t="s">
        <v>307</v>
      </c>
      <c r="N50" s="37">
        <v>1.0</v>
      </c>
      <c r="O50" s="28" t="s">
        <v>319</v>
      </c>
      <c r="P50" s="28">
        <v>1.0</v>
      </c>
      <c r="Q50" s="28" t="s">
        <v>306</v>
      </c>
      <c r="R50" s="28">
        <v>1.0</v>
      </c>
      <c r="S50" s="28" t="s">
        <v>315</v>
      </c>
      <c r="T50" s="28">
        <v>1.0</v>
      </c>
      <c r="U50" s="28" t="s">
        <v>317</v>
      </c>
      <c r="V50" s="28">
        <v>1.0</v>
      </c>
      <c r="W50" s="28" t="s">
        <v>310</v>
      </c>
      <c r="X50" s="28">
        <v>2.0</v>
      </c>
      <c r="Y50" s="28" t="s">
        <v>320</v>
      </c>
      <c r="Z50" s="28">
        <v>1.0</v>
      </c>
      <c r="AA50" s="28" t="s">
        <v>307</v>
      </c>
      <c r="AB50" s="28">
        <v>1.0</v>
      </c>
      <c r="AC50" s="28" t="s">
        <v>310</v>
      </c>
      <c r="AD50" s="28">
        <v>1.0</v>
      </c>
      <c r="AE50" s="28" t="s">
        <v>306</v>
      </c>
      <c r="AF50" s="28">
        <v>1.0</v>
      </c>
      <c r="AG50" s="28" t="s">
        <v>297</v>
      </c>
      <c r="AH50" s="28">
        <v>3.0</v>
      </c>
      <c r="AI50" s="28" t="s">
        <v>375</v>
      </c>
      <c r="AJ50" s="28">
        <v>1.0</v>
      </c>
    </row>
    <row r="51">
      <c r="A51" s="28" t="s">
        <v>323</v>
      </c>
      <c r="B51" s="28">
        <v>1.0</v>
      </c>
      <c r="C51" s="28" t="s">
        <v>319</v>
      </c>
      <c r="D51" s="28">
        <v>1.0</v>
      </c>
      <c r="E51" s="28" t="s">
        <v>323</v>
      </c>
      <c r="F51" s="28">
        <v>1.0</v>
      </c>
      <c r="G51" s="28" t="s">
        <v>315</v>
      </c>
      <c r="H51" s="28">
        <v>2.0</v>
      </c>
      <c r="I51" s="28" t="s">
        <v>310</v>
      </c>
      <c r="J51" s="28">
        <v>1.0</v>
      </c>
      <c r="K51" s="28" t="s">
        <v>315</v>
      </c>
      <c r="L51" s="28">
        <v>2.0</v>
      </c>
      <c r="M51" s="37" t="s">
        <v>348</v>
      </c>
      <c r="N51" s="37">
        <v>1.0</v>
      </c>
      <c r="O51" s="28" t="s">
        <v>306</v>
      </c>
      <c r="P51" s="28">
        <v>1.0</v>
      </c>
      <c r="Q51" s="28" t="s">
        <v>315</v>
      </c>
      <c r="R51" s="28">
        <v>1.0</v>
      </c>
      <c r="S51" s="28" t="s">
        <v>310</v>
      </c>
      <c r="T51" s="28">
        <v>1.0</v>
      </c>
      <c r="U51" s="28" t="s">
        <v>301</v>
      </c>
      <c r="V51" s="28">
        <v>3.0</v>
      </c>
      <c r="W51" s="28" t="s">
        <v>305</v>
      </c>
      <c r="X51" s="28">
        <v>1.0</v>
      </c>
      <c r="Y51" s="28" t="s">
        <v>366</v>
      </c>
      <c r="Z51" s="28">
        <v>1.0</v>
      </c>
      <c r="AA51" s="28" t="s">
        <v>331</v>
      </c>
      <c r="AB51" s="28">
        <v>1.0</v>
      </c>
      <c r="AC51" s="28" t="s">
        <v>359</v>
      </c>
      <c r="AD51" s="28">
        <v>1.0</v>
      </c>
      <c r="AE51" s="28" t="s">
        <v>301</v>
      </c>
      <c r="AF51" s="28">
        <v>6.0</v>
      </c>
      <c r="AG51" s="28" t="s">
        <v>300</v>
      </c>
      <c r="AH51" s="28">
        <v>2.0</v>
      </c>
      <c r="AI51" s="28" t="s">
        <v>362</v>
      </c>
      <c r="AJ51" s="28">
        <v>1.0</v>
      </c>
    </row>
    <row r="52">
      <c r="A52" s="28" t="s">
        <v>300</v>
      </c>
      <c r="B52" s="28">
        <v>1.0</v>
      </c>
      <c r="C52" s="28" t="s">
        <v>323</v>
      </c>
      <c r="D52" s="28">
        <v>1.0</v>
      </c>
      <c r="E52" s="28" t="s">
        <v>336</v>
      </c>
      <c r="F52" s="28">
        <v>1.0</v>
      </c>
      <c r="G52" s="28" t="s">
        <v>323</v>
      </c>
      <c r="H52" s="28">
        <v>3.0</v>
      </c>
      <c r="I52" s="28" t="s">
        <v>348</v>
      </c>
      <c r="J52" s="28">
        <v>1.0</v>
      </c>
      <c r="K52" s="28" t="s">
        <v>307</v>
      </c>
      <c r="L52" s="28">
        <v>1.0</v>
      </c>
      <c r="M52" s="37" t="s">
        <v>352</v>
      </c>
      <c r="N52" s="37">
        <v>1.0</v>
      </c>
      <c r="O52" s="28" t="s">
        <v>301</v>
      </c>
      <c r="P52" s="28">
        <v>1.0</v>
      </c>
      <c r="Q52" s="28" t="s">
        <v>300</v>
      </c>
      <c r="R52" s="28">
        <v>2.0</v>
      </c>
      <c r="S52" s="28" t="s">
        <v>348</v>
      </c>
      <c r="T52" s="28">
        <v>1.0</v>
      </c>
      <c r="U52" s="28" t="s">
        <v>297</v>
      </c>
      <c r="V52" s="28">
        <v>3.0</v>
      </c>
      <c r="W52" s="28" t="s">
        <v>320</v>
      </c>
      <c r="X52" s="28">
        <v>1.0</v>
      </c>
      <c r="Y52" s="28" t="s">
        <v>314</v>
      </c>
      <c r="Z52" s="28">
        <v>1.0</v>
      </c>
      <c r="AA52" s="28" t="s">
        <v>348</v>
      </c>
      <c r="AB52" s="28">
        <v>1.0</v>
      </c>
      <c r="AC52" s="28" t="s">
        <v>320</v>
      </c>
      <c r="AD52" s="28">
        <v>1.0</v>
      </c>
      <c r="AE52" s="28" t="s">
        <v>297</v>
      </c>
      <c r="AF52" s="28">
        <v>1.0</v>
      </c>
      <c r="AG52" s="28" t="s">
        <v>307</v>
      </c>
      <c r="AH52" s="28">
        <v>1.0</v>
      </c>
      <c r="AI52" s="28" t="s">
        <v>305</v>
      </c>
      <c r="AJ52" s="28">
        <v>1.0</v>
      </c>
    </row>
    <row r="53">
      <c r="A53" s="28" t="s">
        <v>352</v>
      </c>
      <c r="B53" s="28">
        <v>1.0</v>
      </c>
      <c r="C53" s="28" t="s">
        <v>300</v>
      </c>
      <c r="D53" s="28">
        <v>1.0</v>
      </c>
      <c r="E53" s="28" t="s">
        <v>359</v>
      </c>
      <c r="F53" s="28">
        <v>1.0</v>
      </c>
      <c r="G53" s="28" t="s">
        <v>300</v>
      </c>
      <c r="H53" s="28">
        <v>2.0</v>
      </c>
      <c r="I53" s="28" t="s">
        <v>343</v>
      </c>
      <c r="J53" s="28">
        <v>1.0</v>
      </c>
      <c r="K53" s="28" t="s">
        <v>316</v>
      </c>
      <c r="L53" s="28">
        <v>1.0</v>
      </c>
      <c r="M53" s="37" t="s">
        <v>309</v>
      </c>
      <c r="N53" s="37">
        <v>1.0</v>
      </c>
      <c r="O53" s="28" t="s">
        <v>315</v>
      </c>
      <c r="P53" s="28">
        <v>1.0</v>
      </c>
      <c r="Q53" s="28" t="s">
        <v>336</v>
      </c>
      <c r="R53" s="28">
        <v>1.0</v>
      </c>
      <c r="S53" s="28" t="s">
        <v>341</v>
      </c>
      <c r="T53" s="28">
        <v>2.0</v>
      </c>
      <c r="U53" s="28" t="s">
        <v>316</v>
      </c>
      <c r="V53" s="28">
        <v>1.0</v>
      </c>
      <c r="W53" s="28" t="s">
        <v>309</v>
      </c>
      <c r="X53" s="28">
        <v>2.0</v>
      </c>
      <c r="Y53" s="28" t="s">
        <v>356</v>
      </c>
      <c r="Z53" s="28">
        <v>1.0</v>
      </c>
      <c r="AA53" s="28" t="s">
        <v>352</v>
      </c>
      <c r="AB53" s="28">
        <v>1.0</v>
      </c>
      <c r="AC53" s="28" t="s">
        <v>309</v>
      </c>
      <c r="AD53" s="28">
        <v>1.0</v>
      </c>
      <c r="AE53" s="28" t="s">
        <v>315</v>
      </c>
      <c r="AF53" s="28">
        <v>2.0</v>
      </c>
      <c r="AG53" s="28" t="s">
        <v>331</v>
      </c>
      <c r="AH53" s="28">
        <v>1.0</v>
      </c>
      <c r="AI53" s="28" t="s">
        <v>357</v>
      </c>
      <c r="AJ53" s="28">
        <v>2.0</v>
      </c>
    </row>
    <row r="54">
      <c r="A54" s="28" t="s">
        <v>366</v>
      </c>
      <c r="B54" s="28">
        <v>1.0</v>
      </c>
      <c r="C54" s="28" t="s">
        <v>352</v>
      </c>
      <c r="D54" s="28">
        <v>1.0</v>
      </c>
      <c r="E54" s="28" t="s">
        <v>314</v>
      </c>
      <c r="F54" s="28">
        <v>1.0</v>
      </c>
      <c r="G54" s="28" t="s">
        <v>307</v>
      </c>
      <c r="H54" s="28">
        <v>1.0</v>
      </c>
      <c r="I54" s="28" t="s">
        <v>305</v>
      </c>
      <c r="J54" s="28">
        <v>2.0</v>
      </c>
      <c r="K54" s="28" t="s">
        <v>341</v>
      </c>
      <c r="L54" s="28">
        <v>1.0</v>
      </c>
      <c r="M54" s="37" t="s">
        <v>354</v>
      </c>
      <c r="N54" s="37">
        <v>1.0</v>
      </c>
      <c r="O54" s="28" t="s">
        <v>336</v>
      </c>
      <c r="P54" s="28">
        <v>1.0</v>
      </c>
      <c r="Q54" s="28" t="s">
        <v>340</v>
      </c>
      <c r="R54" s="28">
        <v>1.0</v>
      </c>
      <c r="S54" s="28" t="s">
        <v>372</v>
      </c>
      <c r="T54" s="28">
        <v>2.0</v>
      </c>
      <c r="U54" s="28" t="s">
        <v>341</v>
      </c>
      <c r="V54" s="28">
        <v>1.0</v>
      </c>
      <c r="W54" s="28" t="s">
        <v>366</v>
      </c>
      <c r="X54" s="28">
        <v>1.0</v>
      </c>
      <c r="Y54" s="28" t="s">
        <v>349</v>
      </c>
      <c r="Z54" s="28">
        <v>2.0</v>
      </c>
      <c r="AA54" s="28" t="s">
        <v>355</v>
      </c>
      <c r="AB54" s="28">
        <v>1.0</v>
      </c>
      <c r="AC54" s="28" t="s">
        <v>322</v>
      </c>
      <c r="AD54" s="28">
        <v>1.0</v>
      </c>
      <c r="AE54" s="28" t="s">
        <v>340</v>
      </c>
      <c r="AF54" s="28">
        <v>2.0</v>
      </c>
      <c r="AG54" s="28" t="s">
        <v>305</v>
      </c>
      <c r="AH54" s="28">
        <v>1.0</v>
      </c>
      <c r="AI54" s="28" t="s">
        <v>354</v>
      </c>
      <c r="AJ54" s="28">
        <v>2.0</v>
      </c>
    </row>
    <row r="55">
      <c r="A55" s="28" t="s">
        <v>356</v>
      </c>
      <c r="B55" s="28">
        <v>2.0</v>
      </c>
      <c r="C55" s="28" t="s">
        <v>366</v>
      </c>
      <c r="D55" s="28">
        <v>1.0</v>
      </c>
      <c r="E55" s="28" t="s">
        <v>334</v>
      </c>
      <c r="F55" s="28">
        <v>1.0</v>
      </c>
      <c r="G55" s="28" t="s">
        <v>331</v>
      </c>
      <c r="H55" s="28">
        <v>1.0</v>
      </c>
      <c r="I55" s="28" t="s">
        <v>357</v>
      </c>
      <c r="J55" s="28">
        <v>1.0</v>
      </c>
      <c r="K55" s="28" t="s">
        <v>343</v>
      </c>
      <c r="L55" s="28">
        <v>1.0</v>
      </c>
      <c r="M55" s="37" t="s">
        <v>366</v>
      </c>
      <c r="N55" s="37">
        <v>1.0</v>
      </c>
      <c r="O55" s="28" t="s">
        <v>363</v>
      </c>
      <c r="P55" s="28">
        <v>1.0</v>
      </c>
      <c r="Q55" s="28" t="s">
        <v>348</v>
      </c>
      <c r="R55" s="28">
        <v>1.0</v>
      </c>
      <c r="S55" s="28" t="s">
        <v>305</v>
      </c>
      <c r="T55" s="28">
        <v>1.0</v>
      </c>
      <c r="U55" s="28" t="s">
        <v>352</v>
      </c>
      <c r="V55" s="28">
        <v>1.0</v>
      </c>
      <c r="W55" s="28" t="s">
        <v>361</v>
      </c>
      <c r="X55" s="28">
        <v>2.0</v>
      </c>
      <c r="Y55" s="28" t="s">
        <v>368</v>
      </c>
      <c r="Z55" s="28">
        <v>1.0</v>
      </c>
      <c r="AA55" s="28" t="s">
        <v>362</v>
      </c>
      <c r="AB55" s="28">
        <v>1.0</v>
      </c>
      <c r="AC55" s="28" t="s">
        <v>378</v>
      </c>
      <c r="AD55" s="28">
        <v>1.0</v>
      </c>
      <c r="AE55" s="28" t="s">
        <v>343</v>
      </c>
      <c r="AF55" s="28">
        <v>1.0</v>
      </c>
      <c r="AG55" s="28" t="s">
        <v>312</v>
      </c>
      <c r="AH55" s="28">
        <v>1.0</v>
      </c>
      <c r="AI55" s="28" t="s">
        <v>356</v>
      </c>
      <c r="AJ55" s="28">
        <v>1.0</v>
      </c>
    </row>
    <row r="56">
      <c r="A56" s="28" t="s">
        <v>361</v>
      </c>
      <c r="B56" s="28">
        <v>2.0</v>
      </c>
      <c r="C56" s="28" t="s">
        <v>356</v>
      </c>
      <c r="D56" s="28">
        <v>2.0</v>
      </c>
      <c r="E56" s="28" t="s">
        <v>353</v>
      </c>
      <c r="F56" s="28">
        <v>2.0</v>
      </c>
      <c r="G56" s="28" t="s">
        <v>336</v>
      </c>
      <c r="H56" s="28">
        <v>1.0</v>
      </c>
      <c r="I56" s="28" t="s">
        <v>320</v>
      </c>
      <c r="J56" s="28">
        <v>1.0</v>
      </c>
      <c r="K56" s="28" t="s">
        <v>352</v>
      </c>
      <c r="L56" s="28">
        <v>2.0</v>
      </c>
      <c r="M56" s="37" t="s">
        <v>361</v>
      </c>
      <c r="N56" s="37">
        <v>3.0</v>
      </c>
      <c r="O56" s="28" t="s">
        <v>305</v>
      </c>
      <c r="P56" s="28">
        <v>1.0</v>
      </c>
      <c r="Q56" s="28" t="s">
        <v>343</v>
      </c>
      <c r="R56" s="28">
        <v>1.0</v>
      </c>
      <c r="S56" s="28" t="s">
        <v>366</v>
      </c>
      <c r="T56" s="28">
        <v>2.0</v>
      </c>
      <c r="U56" s="28" t="s">
        <v>355</v>
      </c>
      <c r="V56" s="28">
        <v>1.0</v>
      </c>
      <c r="W56" s="28" t="s">
        <v>383</v>
      </c>
      <c r="X56" s="28">
        <v>1.0</v>
      </c>
      <c r="Y56" s="28" t="s">
        <v>346</v>
      </c>
      <c r="Z56" s="28">
        <v>1.0</v>
      </c>
      <c r="AA56" s="28" t="s">
        <v>305</v>
      </c>
      <c r="AB56" s="28">
        <v>2.0</v>
      </c>
      <c r="AC56" s="28" t="s">
        <v>361</v>
      </c>
      <c r="AD56" s="28">
        <v>1.0</v>
      </c>
      <c r="AE56" s="28" t="s">
        <v>355</v>
      </c>
      <c r="AF56" s="28">
        <v>1.0</v>
      </c>
      <c r="AG56" s="28" t="s">
        <v>354</v>
      </c>
      <c r="AH56" s="28">
        <v>1.0</v>
      </c>
      <c r="AI56" s="28" t="s">
        <v>322</v>
      </c>
      <c r="AJ56" s="28">
        <v>1.0</v>
      </c>
    </row>
    <row r="57">
      <c r="A57" s="28" t="s">
        <v>370</v>
      </c>
      <c r="B57" s="28">
        <v>1.0</v>
      </c>
      <c r="C57" s="28" t="s">
        <v>327</v>
      </c>
      <c r="D57" s="28">
        <v>1.0</v>
      </c>
      <c r="E57" s="28" t="s">
        <v>346</v>
      </c>
      <c r="F57" s="28">
        <v>1.0</v>
      </c>
      <c r="G57" s="28" t="s">
        <v>348</v>
      </c>
      <c r="H57" s="28">
        <v>1.0</v>
      </c>
      <c r="I57" s="28" t="s">
        <v>309</v>
      </c>
      <c r="J57" s="28">
        <v>1.0</v>
      </c>
      <c r="K57" s="28" t="s">
        <v>375</v>
      </c>
      <c r="L57" s="28">
        <v>1.0</v>
      </c>
      <c r="M57" s="37" t="s">
        <v>486</v>
      </c>
      <c r="N57" s="37">
        <v>1.0</v>
      </c>
      <c r="O57" s="28" t="s">
        <v>354</v>
      </c>
      <c r="P57" s="28">
        <v>1.0</v>
      </c>
      <c r="Q57" s="28" t="s">
        <v>355</v>
      </c>
      <c r="R57" s="28">
        <v>1.0</v>
      </c>
      <c r="S57" s="28" t="s">
        <v>314</v>
      </c>
      <c r="T57" s="28">
        <v>1.0</v>
      </c>
      <c r="U57" s="28" t="s">
        <v>359</v>
      </c>
      <c r="V57" s="28">
        <v>1.0</v>
      </c>
      <c r="W57" s="28" t="s">
        <v>486</v>
      </c>
      <c r="X57" s="28">
        <v>1.0</v>
      </c>
      <c r="Y57" s="76"/>
      <c r="Z57" s="76"/>
      <c r="AA57" s="28" t="s">
        <v>320</v>
      </c>
      <c r="AB57" s="28">
        <v>1.0</v>
      </c>
      <c r="AC57" s="28" t="s">
        <v>370</v>
      </c>
      <c r="AD57" s="28">
        <v>2.0</v>
      </c>
      <c r="AE57" s="28" t="s">
        <v>305</v>
      </c>
      <c r="AF57" s="28">
        <v>3.0</v>
      </c>
      <c r="AG57" s="28" t="s">
        <v>379</v>
      </c>
      <c r="AH57" s="28">
        <v>1.0</v>
      </c>
      <c r="AI57" s="28" t="s">
        <v>329</v>
      </c>
      <c r="AJ57" s="28">
        <v>1.0</v>
      </c>
    </row>
    <row r="58">
      <c r="A58" s="28" t="s">
        <v>329</v>
      </c>
      <c r="B58" s="28">
        <v>1.0</v>
      </c>
      <c r="C58" s="28" t="s">
        <v>361</v>
      </c>
      <c r="D58" s="28">
        <v>2.0</v>
      </c>
      <c r="E58" s="76"/>
      <c r="F58" s="76"/>
      <c r="G58" s="28" t="s">
        <v>343</v>
      </c>
      <c r="H58" s="28">
        <v>1.0</v>
      </c>
      <c r="I58" s="28" t="s">
        <v>312</v>
      </c>
      <c r="J58" s="28">
        <v>1.0</v>
      </c>
      <c r="K58" s="28" t="s">
        <v>362</v>
      </c>
      <c r="L58" s="28">
        <v>1.0</v>
      </c>
      <c r="M58" s="37" t="s">
        <v>370</v>
      </c>
      <c r="N58" s="37">
        <v>1.0</v>
      </c>
      <c r="O58" s="28" t="s">
        <v>367</v>
      </c>
      <c r="P58" s="28">
        <v>1.0</v>
      </c>
      <c r="Q58" s="28" t="s">
        <v>372</v>
      </c>
      <c r="R58" s="28">
        <v>1.0</v>
      </c>
      <c r="S58" s="28" t="s">
        <v>379</v>
      </c>
      <c r="T58" s="28">
        <v>1.0</v>
      </c>
      <c r="U58" s="28" t="s">
        <v>305</v>
      </c>
      <c r="V58" s="28">
        <v>2.0</v>
      </c>
      <c r="W58" s="76"/>
      <c r="X58" s="76"/>
      <c r="Y58" s="76"/>
      <c r="Z58" s="79">
        <v>58.0</v>
      </c>
      <c r="AA58" s="28" t="s">
        <v>309</v>
      </c>
      <c r="AB58" s="28">
        <v>3.0</v>
      </c>
      <c r="AC58" s="28" t="s">
        <v>329</v>
      </c>
      <c r="AD58" s="28">
        <v>1.0</v>
      </c>
      <c r="AE58" s="28" t="s">
        <v>320</v>
      </c>
      <c r="AF58" s="28">
        <v>1.0</v>
      </c>
      <c r="AG58" s="28" t="s">
        <v>378</v>
      </c>
      <c r="AH58" s="28">
        <v>1.0</v>
      </c>
      <c r="AI58" s="28" t="s">
        <v>368</v>
      </c>
      <c r="AJ58" s="28">
        <v>1.0</v>
      </c>
    </row>
    <row r="59">
      <c r="A59" s="76"/>
      <c r="B59" s="76"/>
      <c r="C59" s="28" t="s">
        <v>370</v>
      </c>
      <c r="D59" s="28">
        <v>1.0</v>
      </c>
      <c r="E59" s="76"/>
      <c r="F59" s="79">
        <v>58.0</v>
      </c>
      <c r="G59" s="28" t="s">
        <v>352</v>
      </c>
      <c r="H59" s="28">
        <v>1.0</v>
      </c>
      <c r="I59" s="28" t="s">
        <v>366</v>
      </c>
      <c r="J59" s="28">
        <v>1.0</v>
      </c>
      <c r="K59" s="28" t="s">
        <v>305</v>
      </c>
      <c r="L59" s="28">
        <v>1.0</v>
      </c>
      <c r="M59" s="37" t="s">
        <v>346</v>
      </c>
      <c r="N59" s="37">
        <v>2.0</v>
      </c>
      <c r="O59" s="28" t="s">
        <v>314</v>
      </c>
      <c r="P59" s="28">
        <v>1.0</v>
      </c>
      <c r="Q59" s="28" t="s">
        <v>305</v>
      </c>
      <c r="R59" s="28">
        <v>4.0</v>
      </c>
      <c r="S59" s="28" t="s">
        <v>356</v>
      </c>
      <c r="T59" s="28">
        <v>1.0</v>
      </c>
      <c r="U59" s="28" t="s">
        <v>309</v>
      </c>
      <c r="V59" s="28">
        <v>2.0</v>
      </c>
      <c r="W59" s="76"/>
      <c r="X59" s="79">
        <v>71.0</v>
      </c>
      <c r="AA59" s="28" t="s">
        <v>312</v>
      </c>
      <c r="AB59" s="28">
        <v>1.0</v>
      </c>
      <c r="AC59" s="28" t="s">
        <v>334</v>
      </c>
      <c r="AD59" s="28">
        <v>1.0</v>
      </c>
      <c r="AE59" s="28" t="s">
        <v>312</v>
      </c>
      <c r="AF59" s="28">
        <v>1.0</v>
      </c>
      <c r="AG59" s="28" t="s">
        <v>349</v>
      </c>
      <c r="AH59" s="28">
        <v>1.0</v>
      </c>
      <c r="AI59" s="28" t="s">
        <v>353</v>
      </c>
      <c r="AJ59" s="28">
        <v>1.0</v>
      </c>
    </row>
    <row r="60">
      <c r="A60" s="76"/>
      <c r="B60" s="79">
        <v>66.0</v>
      </c>
      <c r="C60" s="28" t="s">
        <v>329</v>
      </c>
      <c r="D60" s="28">
        <v>1.0</v>
      </c>
      <c r="G60" s="28" t="s">
        <v>360</v>
      </c>
      <c r="H60" s="28">
        <v>1.0</v>
      </c>
      <c r="I60" s="28" t="s">
        <v>314</v>
      </c>
      <c r="J60" s="28">
        <v>1.0</v>
      </c>
      <c r="K60" s="28" t="s">
        <v>309</v>
      </c>
      <c r="L60" s="28">
        <v>2.0</v>
      </c>
      <c r="O60" s="28" t="s">
        <v>379</v>
      </c>
      <c r="P60" s="28">
        <v>1.0</v>
      </c>
      <c r="Q60" s="28" t="s">
        <v>320</v>
      </c>
      <c r="R60" s="28">
        <v>4.0</v>
      </c>
      <c r="S60" s="28" t="s">
        <v>361</v>
      </c>
      <c r="T60" s="28">
        <v>1.0</v>
      </c>
      <c r="U60" s="28" t="s">
        <v>335</v>
      </c>
      <c r="V60" s="28">
        <v>1.0</v>
      </c>
      <c r="AA60" s="28" t="s">
        <v>354</v>
      </c>
      <c r="AB60" s="28">
        <v>1.0</v>
      </c>
      <c r="AC60" s="28" t="s">
        <v>353</v>
      </c>
      <c r="AD60" s="28">
        <v>3.0</v>
      </c>
      <c r="AE60" s="28" t="s">
        <v>335</v>
      </c>
      <c r="AF60" s="28">
        <v>1.0</v>
      </c>
      <c r="AG60" s="28" t="s">
        <v>361</v>
      </c>
      <c r="AH60" s="28">
        <v>1.0</v>
      </c>
      <c r="AI60" s="28"/>
      <c r="AJ60" s="28"/>
    </row>
    <row r="61">
      <c r="C61" s="76"/>
      <c r="D61" s="76"/>
      <c r="G61" s="28" t="s">
        <v>305</v>
      </c>
      <c r="H61" s="28">
        <v>4.0</v>
      </c>
      <c r="I61" s="28" t="s">
        <v>327</v>
      </c>
      <c r="J61" s="28">
        <v>2.0</v>
      </c>
      <c r="K61" s="28" t="s">
        <v>312</v>
      </c>
      <c r="L61" s="28">
        <v>1.0</v>
      </c>
      <c r="N61" s="153">
        <v>71.0</v>
      </c>
      <c r="O61" s="28" t="s">
        <v>346</v>
      </c>
      <c r="P61" s="28">
        <v>1.0</v>
      </c>
      <c r="Q61" s="28" t="s">
        <v>309</v>
      </c>
      <c r="R61" s="28">
        <v>2.0</v>
      </c>
      <c r="S61" s="28" t="s">
        <v>370</v>
      </c>
      <c r="T61" s="28">
        <v>1.0</v>
      </c>
      <c r="U61" s="28" t="s">
        <v>354</v>
      </c>
      <c r="V61" s="28">
        <v>2.0</v>
      </c>
      <c r="AA61" s="28" t="s">
        <v>314</v>
      </c>
      <c r="AB61" s="28">
        <v>3.0</v>
      </c>
      <c r="AC61" s="28" t="s">
        <v>339</v>
      </c>
      <c r="AD61" s="28">
        <v>1.0</v>
      </c>
      <c r="AE61" s="28" t="s">
        <v>354</v>
      </c>
      <c r="AF61" s="28">
        <v>1.0</v>
      </c>
      <c r="AG61" s="28" t="s">
        <v>486</v>
      </c>
      <c r="AH61" s="28">
        <v>1.0</v>
      </c>
      <c r="AI61" s="28"/>
      <c r="AJ61" s="126">
        <v>59.0</v>
      </c>
    </row>
    <row r="62">
      <c r="C62" s="76"/>
      <c r="D62" s="79">
        <v>70.0</v>
      </c>
      <c r="G62" s="28" t="s">
        <v>320</v>
      </c>
      <c r="H62" s="28">
        <v>1.0</v>
      </c>
      <c r="I62" s="28" t="s">
        <v>361</v>
      </c>
      <c r="J62" s="28">
        <v>1.0</v>
      </c>
      <c r="K62" s="28" t="s">
        <v>354</v>
      </c>
      <c r="L62" s="28">
        <v>3.0</v>
      </c>
      <c r="O62" s="76"/>
      <c r="P62" s="76"/>
      <c r="Q62" s="28" t="s">
        <v>312</v>
      </c>
      <c r="R62" s="28">
        <v>2.0</v>
      </c>
      <c r="S62" s="28" t="s">
        <v>329</v>
      </c>
      <c r="T62" s="28">
        <v>2.0</v>
      </c>
      <c r="U62" s="28" t="s">
        <v>367</v>
      </c>
      <c r="V62" s="28">
        <v>1.0</v>
      </c>
      <c r="AA62" s="28" t="s">
        <v>327</v>
      </c>
      <c r="AB62" s="28">
        <v>2.0</v>
      </c>
      <c r="AC62" s="28"/>
      <c r="AD62" s="28"/>
      <c r="AE62" s="28" t="s">
        <v>367</v>
      </c>
      <c r="AF62" s="28">
        <v>1.0</v>
      </c>
      <c r="AG62" s="28" t="s">
        <v>370</v>
      </c>
      <c r="AH62" s="28">
        <v>1.0</v>
      </c>
      <c r="AI62" s="127"/>
      <c r="AJ62" s="127"/>
    </row>
    <row r="63">
      <c r="G63" s="28" t="s">
        <v>309</v>
      </c>
      <c r="H63" s="28">
        <v>2.0</v>
      </c>
      <c r="I63" s="28" t="s">
        <v>392</v>
      </c>
      <c r="J63" s="28">
        <v>1.0</v>
      </c>
      <c r="K63" s="28" t="s">
        <v>367</v>
      </c>
      <c r="L63" s="28">
        <v>3.0</v>
      </c>
      <c r="O63" s="76"/>
      <c r="P63" s="79">
        <v>58.0</v>
      </c>
      <c r="Q63" s="28" t="s">
        <v>366</v>
      </c>
      <c r="R63" s="28">
        <v>1.0</v>
      </c>
      <c r="S63" s="28" t="s">
        <v>334</v>
      </c>
      <c r="T63" s="28">
        <v>1.0</v>
      </c>
      <c r="U63" s="28" t="s">
        <v>366</v>
      </c>
      <c r="V63" s="28">
        <v>1.0</v>
      </c>
      <c r="AA63" s="28" t="s">
        <v>349</v>
      </c>
      <c r="AB63" s="28">
        <v>2.0</v>
      </c>
      <c r="AC63" s="28"/>
      <c r="AD63" s="126">
        <v>70.0</v>
      </c>
      <c r="AE63" s="28" t="s">
        <v>366</v>
      </c>
      <c r="AF63" s="28">
        <v>6.0</v>
      </c>
      <c r="AG63" s="28" t="s">
        <v>368</v>
      </c>
      <c r="AH63" s="28">
        <v>1.0</v>
      </c>
      <c r="AI63" s="127"/>
      <c r="AJ63" s="127"/>
    </row>
    <row r="64">
      <c r="G64" s="28" t="s">
        <v>312</v>
      </c>
      <c r="H64" s="28">
        <v>1.0</v>
      </c>
      <c r="I64" s="28" t="s">
        <v>370</v>
      </c>
      <c r="J64" s="28">
        <v>1.0</v>
      </c>
      <c r="K64" s="28" t="s">
        <v>366</v>
      </c>
      <c r="L64" s="28">
        <v>3.0</v>
      </c>
      <c r="Q64" s="28" t="s">
        <v>379</v>
      </c>
      <c r="R64" s="28">
        <v>2.0</v>
      </c>
      <c r="S64" s="28" t="s">
        <v>368</v>
      </c>
      <c r="T64" s="28">
        <v>1.0</v>
      </c>
      <c r="U64" s="28" t="s">
        <v>314</v>
      </c>
      <c r="V64" s="28">
        <v>3.0</v>
      </c>
      <c r="AA64" s="28" t="s">
        <v>361</v>
      </c>
      <c r="AB64" s="28">
        <v>1.0</v>
      </c>
      <c r="AC64" s="127"/>
      <c r="AD64" s="127"/>
      <c r="AE64" s="28" t="s">
        <v>314</v>
      </c>
      <c r="AF64" s="28">
        <v>1.0</v>
      </c>
      <c r="AG64" s="28" t="s">
        <v>353</v>
      </c>
      <c r="AH64" s="28">
        <v>1.0</v>
      </c>
      <c r="AI64" s="127"/>
      <c r="AJ64" s="127"/>
    </row>
    <row r="65">
      <c r="G65" s="28" t="s">
        <v>366</v>
      </c>
      <c r="H65" s="28">
        <v>1.0</v>
      </c>
      <c r="I65" s="28" t="s">
        <v>329</v>
      </c>
      <c r="J65" s="28">
        <v>1.0</v>
      </c>
      <c r="K65" s="28" t="s">
        <v>314</v>
      </c>
      <c r="L65" s="28">
        <v>2.0</v>
      </c>
      <c r="Q65" s="28" t="s">
        <v>356</v>
      </c>
      <c r="R65" s="28">
        <v>1.0</v>
      </c>
      <c r="S65" s="28" t="s">
        <v>353</v>
      </c>
      <c r="T65" s="28">
        <v>1.0</v>
      </c>
      <c r="U65" s="28" t="s">
        <v>385</v>
      </c>
      <c r="V65" s="28">
        <v>1.0</v>
      </c>
      <c r="AA65" s="28" t="s">
        <v>370</v>
      </c>
      <c r="AB65" s="28">
        <v>2.0</v>
      </c>
      <c r="AC65" s="127"/>
      <c r="AD65" s="127"/>
      <c r="AE65" s="28" t="s">
        <v>385</v>
      </c>
      <c r="AF65" s="28">
        <v>1.0</v>
      </c>
      <c r="AG65" s="28" t="s">
        <v>346</v>
      </c>
      <c r="AH65" s="28">
        <v>1.0</v>
      </c>
      <c r="AI65" s="127"/>
      <c r="AJ65" s="127"/>
    </row>
    <row r="66">
      <c r="G66" s="28" t="s">
        <v>314</v>
      </c>
      <c r="H66" s="28">
        <v>1.0</v>
      </c>
      <c r="I66" s="28" t="s">
        <v>374</v>
      </c>
      <c r="J66" s="28">
        <v>1.0</v>
      </c>
      <c r="K66" s="28" t="s">
        <v>379</v>
      </c>
      <c r="L66" s="28">
        <v>1.0</v>
      </c>
      <c r="Q66" s="28" t="s">
        <v>322</v>
      </c>
      <c r="R66" s="28">
        <v>1.0</v>
      </c>
      <c r="S66" s="28" t="s">
        <v>339</v>
      </c>
      <c r="T66" s="28">
        <v>1.0</v>
      </c>
      <c r="U66" s="28" t="s">
        <v>379</v>
      </c>
      <c r="V66" s="28">
        <v>3.0</v>
      </c>
      <c r="AA66" s="28" t="s">
        <v>374</v>
      </c>
      <c r="AB66" s="28">
        <v>2.0</v>
      </c>
      <c r="AC66" s="127"/>
      <c r="AD66" s="127"/>
      <c r="AE66" s="28" t="s">
        <v>379</v>
      </c>
      <c r="AF66" s="28">
        <v>2.0</v>
      </c>
      <c r="AG66" s="28"/>
      <c r="AH66" s="28"/>
      <c r="AI66" s="127"/>
      <c r="AJ66" s="127"/>
    </row>
    <row r="67">
      <c r="G67" s="28" t="s">
        <v>379</v>
      </c>
      <c r="H67" s="28">
        <v>1.0</v>
      </c>
      <c r="I67" s="28" t="s">
        <v>334</v>
      </c>
      <c r="J67" s="28">
        <v>2.0</v>
      </c>
      <c r="K67" s="28" t="s">
        <v>364</v>
      </c>
      <c r="L67" s="28">
        <v>1.0</v>
      </c>
      <c r="Q67" s="28" t="s">
        <v>378</v>
      </c>
      <c r="R67" s="28">
        <v>1.0</v>
      </c>
      <c r="S67" s="28" t="s">
        <v>487</v>
      </c>
      <c r="T67" s="28">
        <v>1.0</v>
      </c>
      <c r="U67" s="28" t="s">
        <v>356</v>
      </c>
      <c r="V67" s="28">
        <v>1.0</v>
      </c>
      <c r="AA67" s="28" t="s">
        <v>353</v>
      </c>
      <c r="AB67" s="28">
        <v>1.0</v>
      </c>
      <c r="AC67" s="127"/>
      <c r="AD67" s="127"/>
      <c r="AE67" s="28" t="s">
        <v>378</v>
      </c>
      <c r="AF67" s="28">
        <v>1.0</v>
      </c>
      <c r="AG67" s="28"/>
      <c r="AH67" s="126">
        <v>70.0</v>
      </c>
      <c r="AI67" s="133"/>
      <c r="AJ67" s="133"/>
    </row>
    <row r="68">
      <c r="G68" s="28" t="s">
        <v>356</v>
      </c>
      <c r="H68" s="28">
        <v>1.0</v>
      </c>
      <c r="I68" s="28" t="s">
        <v>368</v>
      </c>
      <c r="J68" s="28">
        <v>2.0</v>
      </c>
      <c r="K68" s="28" t="s">
        <v>383</v>
      </c>
      <c r="L68" s="28">
        <v>1.0</v>
      </c>
      <c r="Q68" s="28" t="s">
        <v>370</v>
      </c>
      <c r="R68" s="28">
        <v>1.0</v>
      </c>
      <c r="S68" s="76"/>
      <c r="T68" s="76"/>
      <c r="U68" s="28" t="s">
        <v>378</v>
      </c>
      <c r="V68" s="28">
        <v>1.0</v>
      </c>
      <c r="AA68" s="76"/>
      <c r="AB68" s="76"/>
      <c r="AC68" s="134"/>
      <c r="AD68" s="134"/>
      <c r="AE68" s="28" t="s">
        <v>327</v>
      </c>
      <c r="AF68" s="28">
        <v>1.0</v>
      </c>
      <c r="AG68" s="127"/>
      <c r="AH68" s="127"/>
      <c r="AI68" s="127"/>
      <c r="AJ68" s="127"/>
    </row>
    <row r="69">
      <c r="G69" s="28" t="s">
        <v>322</v>
      </c>
      <c r="H69" s="28">
        <v>2.0</v>
      </c>
      <c r="I69" s="28" t="s">
        <v>353</v>
      </c>
      <c r="J69" s="28">
        <v>1.0</v>
      </c>
      <c r="K69" s="28" t="s">
        <v>329</v>
      </c>
      <c r="L69" s="28">
        <v>2.0</v>
      </c>
      <c r="Q69" s="28" t="s">
        <v>334</v>
      </c>
      <c r="R69" s="28">
        <v>1.0</v>
      </c>
      <c r="S69" s="76"/>
      <c r="T69" s="79">
        <v>69.0</v>
      </c>
      <c r="U69" s="28" t="s">
        <v>327</v>
      </c>
      <c r="V69" s="28">
        <v>1.0</v>
      </c>
      <c r="AA69" s="76"/>
      <c r="AB69" s="79">
        <v>90.0</v>
      </c>
      <c r="AC69" s="135"/>
      <c r="AD69" s="135"/>
      <c r="AE69" s="28" t="s">
        <v>349</v>
      </c>
      <c r="AF69" s="28">
        <v>1.0</v>
      </c>
      <c r="AG69" s="127"/>
      <c r="AH69" s="127"/>
      <c r="AI69" s="127"/>
      <c r="AJ69" s="127"/>
    </row>
    <row r="70">
      <c r="G70" s="28" t="s">
        <v>327</v>
      </c>
      <c r="H70" s="28">
        <v>1.0</v>
      </c>
      <c r="I70" s="76"/>
      <c r="J70" s="76"/>
      <c r="K70" s="28" t="s">
        <v>374</v>
      </c>
      <c r="L70" s="28">
        <v>1.0</v>
      </c>
      <c r="Q70" s="28" t="s">
        <v>339</v>
      </c>
      <c r="R70" s="28">
        <v>1.0</v>
      </c>
      <c r="U70" s="28" t="s">
        <v>349</v>
      </c>
      <c r="V70" s="28">
        <v>1.0</v>
      </c>
      <c r="AE70" s="28" t="s">
        <v>361</v>
      </c>
      <c r="AF70" s="28">
        <v>1.0</v>
      </c>
      <c r="AG70" s="127"/>
      <c r="AH70" s="127"/>
      <c r="AI70" s="127"/>
      <c r="AJ70" s="127"/>
    </row>
    <row r="71">
      <c r="G71" s="28" t="s">
        <v>364</v>
      </c>
      <c r="H71" s="28">
        <v>1.0</v>
      </c>
      <c r="I71" s="76"/>
      <c r="J71" s="79">
        <v>70.0</v>
      </c>
      <c r="K71" s="28" t="s">
        <v>334</v>
      </c>
      <c r="L71" s="28">
        <v>1.0</v>
      </c>
      <c r="Q71" s="28" t="s">
        <v>346</v>
      </c>
      <c r="R71" s="28">
        <v>1.0</v>
      </c>
      <c r="U71" s="28" t="s">
        <v>368</v>
      </c>
      <c r="V71" s="28">
        <v>1.0</v>
      </c>
      <c r="AE71" s="28" t="s">
        <v>392</v>
      </c>
      <c r="AF71" s="28">
        <v>1.0</v>
      </c>
      <c r="AG71" s="127"/>
      <c r="AH71" s="127"/>
      <c r="AI71" s="127"/>
      <c r="AJ71" s="127"/>
    </row>
    <row r="72">
      <c r="G72" s="28" t="s">
        <v>392</v>
      </c>
      <c r="H72" s="28">
        <v>1.0</v>
      </c>
      <c r="K72" s="28" t="s">
        <v>368</v>
      </c>
      <c r="L72" s="28">
        <v>3.0</v>
      </c>
      <c r="Q72" s="76"/>
      <c r="R72" s="76"/>
      <c r="U72" s="28" t="s">
        <v>353</v>
      </c>
      <c r="V72" s="28">
        <v>5.0</v>
      </c>
      <c r="AE72" s="28" t="s">
        <v>370</v>
      </c>
      <c r="AF72" s="28">
        <v>1.0</v>
      </c>
      <c r="AG72" s="127"/>
      <c r="AH72" s="127"/>
      <c r="AI72" s="127"/>
      <c r="AJ72" s="127"/>
    </row>
    <row r="73">
      <c r="G73" s="28" t="s">
        <v>374</v>
      </c>
      <c r="H73" s="28">
        <v>2.0</v>
      </c>
      <c r="K73" s="28" t="s">
        <v>353</v>
      </c>
      <c r="L73" s="28">
        <v>3.0</v>
      </c>
      <c r="Q73" s="76"/>
      <c r="R73" s="79">
        <v>90.0</v>
      </c>
      <c r="U73" s="28" t="s">
        <v>339</v>
      </c>
      <c r="V73" s="28">
        <v>1.0</v>
      </c>
      <c r="AE73" s="28" t="s">
        <v>489</v>
      </c>
      <c r="AF73" s="28">
        <v>1.0</v>
      </c>
      <c r="AG73" s="127"/>
      <c r="AH73" s="127"/>
      <c r="AI73" s="127"/>
      <c r="AJ73" s="127"/>
    </row>
    <row r="74">
      <c r="G74" s="76"/>
      <c r="H74" s="76"/>
      <c r="K74" s="28" t="s">
        <v>339</v>
      </c>
      <c r="L74" s="28">
        <v>1.0</v>
      </c>
      <c r="U74" s="76"/>
      <c r="V74" s="76"/>
      <c r="AE74" s="28" t="s">
        <v>329</v>
      </c>
      <c r="AF74" s="28">
        <v>1.0</v>
      </c>
      <c r="AG74" s="127"/>
      <c r="AH74" s="127"/>
      <c r="AI74" s="127"/>
      <c r="AJ74" s="127"/>
    </row>
    <row r="75">
      <c r="G75" s="76"/>
      <c r="H75" s="79">
        <v>92.0</v>
      </c>
      <c r="K75" s="28" t="s">
        <v>346</v>
      </c>
      <c r="L75" s="28">
        <v>1.0</v>
      </c>
      <c r="U75" s="76"/>
      <c r="V75" s="79">
        <v>105.0</v>
      </c>
      <c r="AE75" s="28" t="s">
        <v>334</v>
      </c>
      <c r="AF75" s="28">
        <v>2.0</v>
      </c>
      <c r="AG75" s="127"/>
      <c r="AH75" s="127"/>
      <c r="AI75" s="127"/>
      <c r="AJ75" s="127"/>
    </row>
    <row r="76">
      <c r="K76" s="76"/>
      <c r="L76" s="76"/>
      <c r="AE76" s="28" t="s">
        <v>353</v>
      </c>
      <c r="AF76" s="28">
        <v>4.0</v>
      </c>
      <c r="AG76" s="127"/>
      <c r="AH76" s="127"/>
      <c r="AI76" s="127"/>
      <c r="AJ76" s="127"/>
    </row>
    <row r="77">
      <c r="K77" s="76"/>
      <c r="L77" s="79">
        <v>106.0</v>
      </c>
      <c r="AE77" s="28" t="s">
        <v>339</v>
      </c>
      <c r="AF77" s="28">
        <v>1.0</v>
      </c>
      <c r="AG77" s="127"/>
      <c r="AH77" s="127"/>
      <c r="AI77" s="127"/>
      <c r="AJ77" s="127"/>
    </row>
    <row r="78">
      <c r="AE78" s="28" t="s">
        <v>346</v>
      </c>
      <c r="AF78" s="28">
        <v>1.0</v>
      </c>
      <c r="AG78" s="127"/>
      <c r="AH78" s="127"/>
      <c r="AI78" s="127"/>
      <c r="AJ78" s="127"/>
    </row>
    <row r="79">
      <c r="AE79" s="28" t="s">
        <v>487</v>
      </c>
      <c r="AF79" s="28">
        <v>1.0</v>
      </c>
      <c r="AG79" s="127"/>
      <c r="AH79" s="127"/>
      <c r="AI79" s="127"/>
      <c r="AJ79" s="127"/>
    </row>
    <row r="80">
      <c r="AE80" s="76"/>
      <c r="AF80" s="76"/>
      <c r="AG80" s="134"/>
      <c r="AH80" s="134"/>
      <c r="AI80" s="134"/>
      <c r="AJ80" s="134"/>
    </row>
    <row r="81">
      <c r="AE81" s="76"/>
      <c r="AF81" s="79">
        <v>109.0</v>
      </c>
      <c r="AG81" s="135"/>
      <c r="AH81" s="135"/>
      <c r="AI81" s="135"/>
      <c r="AJ81" s="13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8.63"/>
    <col hidden="1" min="2" max="2" width="12.63"/>
    <col customWidth="1" hidden="1" min="3" max="3" width="38.63"/>
    <col hidden="1" min="4" max="4" width="12.63"/>
    <col customWidth="1" hidden="1" min="5" max="5" width="38.63"/>
    <col hidden="1" min="6" max="6" width="12.63"/>
    <col customWidth="1" hidden="1" min="7" max="7" width="38.63"/>
    <col hidden="1" min="8" max="8" width="12.63"/>
    <col customWidth="1" hidden="1" min="9" max="9" width="38.63"/>
    <col hidden="1" min="10" max="10" width="12.63"/>
    <col customWidth="1" hidden="1" min="11" max="11" width="38.63"/>
    <col hidden="1" min="12" max="12" width="12.63"/>
    <col customWidth="1" hidden="1" min="13" max="13" width="38.63"/>
    <col hidden="1" min="14" max="14" width="12.63"/>
    <col customWidth="1" hidden="1" min="15" max="15" width="38.63"/>
    <col hidden="1" min="16" max="16" width="12.63"/>
    <col customWidth="1" hidden="1" min="17" max="17" width="38.63"/>
    <col hidden="1" min="18" max="18" width="12.63"/>
    <col customWidth="1" hidden="1" min="19" max="19" width="38.63"/>
    <col hidden="1" min="20" max="20" width="12.63"/>
    <col customWidth="1" hidden="1" min="21" max="21" width="38.63"/>
    <col hidden="1" min="22" max="22" width="12.63"/>
    <col customWidth="1" hidden="1" min="23" max="23" width="38.63"/>
    <col hidden="1" min="24" max="24" width="12.63"/>
    <col customWidth="1" hidden="1" min="25" max="25" width="38.63"/>
    <col hidden="1" min="26" max="26" width="12.63"/>
    <col customWidth="1" hidden="1" min="27" max="27" width="38.63"/>
    <col hidden="1" min="28" max="28" width="12.63"/>
    <col customWidth="1" min="29" max="29" width="38.63"/>
    <col customWidth="1" min="31" max="31" width="38.63"/>
    <col customWidth="1" min="33" max="33" width="38.63"/>
  </cols>
  <sheetData>
    <row r="1">
      <c r="A1" s="25" t="s">
        <v>508</v>
      </c>
      <c r="B1" s="9"/>
      <c r="C1" s="25" t="s">
        <v>509</v>
      </c>
      <c r="D1" s="9"/>
      <c r="E1" s="25" t="s">
        <v>510</v>
      </c>
      <c r="F1" s="9"/>
      <c r="G1" s="25" t="s">
        <v>511</v>
      </c>
      <c r="H1" s="9"/>
      <c r="I1" s="25" t="s">
        <v>512</v>
      </c>
      <c r="J1" s="9"/>
      <c r="K1" s="147" t="s">
        <v>513</v>
      </c>
      <c r="L1" s="9"/>
      <c r="M1" s="7" t="s">
        <v>514</v>
      </c>
      <c r="N1" s="9"/>
      <c r="O1" s="7" t="s">
        <v>515</v>
      </c>
      <c r="P1" s="9"/>
      <c r="Q1" s="7" t="s">
        <v>516</v>
      </c>
      <c r="R1" s="9"/>
      <c r="S1" s="7" t="s">
        <v>517</v>
      </c>
      <c r="T1" s="9"/>
      <c r="U1" s="7" t="s">
        <v>518</v>
      </c>
      <c r="V1" s="9"/>
      <c r="W1" s="7" t="s">
        <v>519</v>
      </c>
      <c r="X1" s="9"/>
      <c r="Y1" s="7" t="s">
        <v>520</v>
      </c>
      <c r="Z1" s="9"/>
      <c r="AA1" s="7" t="s">
        <v>521</v>
      </c>
      <c r="AB1" s="9"/>
      <c r="AC1" s="7" t="s">
        <v>522</v>
      </c>
      <c r="AD1" s="9"/>
      <c r="AE1" s="7" t="s">
        <v>523</v>
      </c>
      <c r="AF1" s="9"/>
      <c r="AG1" s="7" t="s">
        <v>524</v>
      </c>
      <c r="AH1" s="9"/>
    </row>
    <row r="2">
      <c r="A2" s="28" t="s">
        <v>20</v>
      </c>
      <c r="B2" s="28">
        <v>6.0</v>
      </c>
      <c r="C2" s="28" t="s">
        <v>20</v>
      </c>
      <c r="D2" s="28">
        <v>10.0</v>
      </c>
      <c r="E2" s="28" t="s">
        <v>20</v>
      </c>
      <c r="F2" s="28">
        <v>9.0</v>
      </c>
      <c r="G2" s="28" t="s">
        <v>20</v>
      </c>
      <c r="H2" s="28">
        <v>5.0</v>
      </c>
      <c r="I2" s="31" t="s">
        <v>20</v>
      </c>
      <c r="J2" s="28">
        <v>5.0</v>
      </c>
      <c r="K2" s="28" t="s">
        <v>20</v>
      </c>
      <c r="L2" s="28">
        <v>5.0</v>
      </c>
      <c r="M2" s="28" t="s">
        <v>20</v>
      </c>
      <c r="N2" s="28">
        <v>10.0</v>
      </c>
      <c r="O2" s="28" t="s">
        <v>20</v>
      </c>
      <c r="P2" s="28">
        <v>13.0</v>
      </c>
      <c r="Q2" s="28" t="s">
        <v>20</v>
      </c>
      <c r="R2" s="28">
        <v>4.0</v>
      </c>
      <c r="S2" s="28" t="s">
        <v>20</v>
      </c>
      <c r="T2" s="28">
        <v>4.0</v>
      </c>
      <c r="U2" s="28" t="s">
        <v>20</v>
      </c>
      <c r="V2" s="28">
        <v>7.0</v>
      </c>
      <c r="W2" s="28" t="s">
        <v>20</v>
      </c>
      <c r="X2" s="28">
        <v>8.0</v>
      </c>
      <c r="Y2" s="28" t="s">
        <v>20</v>
      </c>
      <c r="Z2" s="28">
        <v>10.0</v>
      </c>
      <c r="AA2" s="28" t="s">
        <v>20</v>
      </c>
      <c r="AB2" s="28">
        <v>7.0</v>
      </c>
      <c r="AC2" s="41" t="s">
        <v>20</v>
      </c>
      <c r="AD2" s="37">
        <v>1.0</v>
      </c>
      <c r="AE2" s="28" t="s">
        <v>20</v>
      </c>
      <c r="AF2" s="28">
        <v>9.0</v>
      </c>
      <c r="AG2" s="28" t="s">
        <v>20</v>
      </c>
      <c r="AH2" s="28">
        <v>4.0</v>
      </c>
    </row>
    <row r="3">
      <c r="A3" s="28" t="s">
        <v>25</v>
      </c>
      <c r="B3" s="28">
        <v>24.0</v>
      </c>
      <c r="C3" s="28" t="s">
        <v>25</v>
      </c>
      <c r="D3" s="28">
        <v>10.0</v>
      </c>
      <c r="E3" s="28" t="s">
        <v>25</v>
      </c>
      <c r="F3" s="28">
        <v>19.0</v>
      </c>
      <c r="G3" s="28" t="s">
        <v>25</v>
      </c>
      <c r="H3" s="126">
        <v>18.0</v>
      </c>
      <c r="I3" s="31" t="s">
        <v>25</v>
      </c>
      <c r="J3" s="28">
        <v>16.0</v>
      </c>
      <c r="K3" s="28" t="s">
        <v>25</v>
      </c>
      <c r="L3" s="28">
        <v>19.0</v>
      </c>
      <c r="M3" s="28" t="s">
        <v>25</v>
      </c>
      <c r="N3" s="28">
        <v>11.0</v>
      </c>
      <c r="O3" s="28" t="s">
        <v>25</v>
      </c>
      <c r="P3" s="28">
        <v>24.0</v>
      </c>
      <c r="Q3" s="28" t="s">
        <v>25</v>
      </c>
      <c r="R3" s="28">
        <v>19.0</v>
      </c>
      <c r="S3" s="31" t="s">
        <v>25</v>
      </c>
      <c r="T3" s="28">
        <v>16.0</v>
      </c>
      <c r="U3" s="28" t="s">
        <v>25</v>
      </c>
      <c r="V3" s="28">
        <v>18.0</v>
      </c>
      <c r="W3" s="28" t="s">
        <v>25</v>
      </c>
      <c r="X3" s="28">
        <v>18.0</v>
      </c>
      <c r="Y3" s="28" t="s">
        <v>25</v>
      </c>
      <c r="Z3" s="28">
        <v>27.0</v>
      </c>
      <c r="AA3" s="28" t="s">
        <v>25</v>
      </c>
      <c r="AB3" s="28">
        <v>14.0</v>
      </c>
      <c r="AC3" s="41" t="s">
        <v>25</v>
      </c>
      <c r="AD3" s="37">
        <v>19.0</v>
      </c>
      <c r="AE3" s="28" t="s">
        <v>25</v>
      </c>
      <c r="AF3" s="28">
        <v>19.0</v>
      </c>
      <c r="AG3" s="28" t="s">
        <v>25</v>
      </c>
      <c r="AH3" s="28">
        <v>15.0</v>
      </c>
    </row>
    <row r="4">
      <c r="A4" s="28" t="s">
        <v>28</v>
      </c>
      <c r="B4" s="28">
        <v>6.0</v>
      </c>
      <c r="C4" s="28" t="s">
        <v>28</v>
      </c>
      <c r="D4" s="28">
        <v>6.0</v>
      </c>
      <c r="E4" s="28" t="s">
        <v>28</v>
      </c>
      <c r="F4" s="28">
        <v>11.0</v>
      </c>
      <c r="G4" s="28" t="s">
        <v>28</v>
      </c>
      <c r="H4" s="28">
        <v>5.0</v>
      </c>
      <c r="I4" s="31" t="s">
        <v>28</v>
      </c>
      <c r="J4" s="28">
        <v>6.0</v>
      </c>
      <c r="K4" s="28" t="s">
        <v>28</v>
      </c>
      <c r="L4" s="28">
        <v>5.0</v>
      </c>
      <c r="M4" s="28" t="s">
        <v>28</v>
      </c>
      <c r="N4" s="28">
        <v>5.0</v>
      </c>
      <c r="O4" s="28" t="s">
        <v>28</v>
      </c>
      <c r="P4" s="28">
        <v>5.0</v>
      </c>
      <c r="Q4" s="28" t="s">
        <v>28</v>
      </c>
      <c r="R4" s="28">
        <v>5.0</v>
      </c>
      <c r="S4" s="31" t="s">
        <v>28</v>
      </c>
      <c r="T4" s="28">
        <v>7.0</v>
      </c>
      <c r="U4" s="28" t="s">
        <v>28</v>
      </c>
      <c r="V4" s="28">
        <v>9.0</v>
      </c>
      <c r="W4" s="28" t="s">
        <v>28</v>
      </c>
      <c r="X4" s="28">
        <v>3.0</v>
      </c>
      <c r="Y4" s="28" t="s">
        <v>28</v>
      </c>
      <c r="Z4" s="28">
        <v>8.0</v>
      </c>
      <c r="AA4" s="28" t="s">
        <v>28</v>
      </c>
      <c r="AB4" s="28">
        <v>3.0</v>
      </c>
      <c r="AC4" s="41" t="s">
        <v>28</v>
      </c>
      <c r="AD4" s="37">
        <v>5.0</v>
      </c>
      <c r="AE4" s="28" t="s">
        <v>28</v>
      </c>
      <c r="AF4" s="28">
        <v>9.0</v>
      </c>
      <c r="AG4" s="28" t="s">
        <v>28</v>
      </c>
      <c r="AH4" s="28">
        <v>5.0</v>
      </c>
    </row>
    <row r="5">
      <c r="A5" s="28" t="s">
        <v>33</v>
      </c>
      <c r="B5" s="28">
        <v>6.0</v>
      </c>
      <c r="C5" s="28" t="s">
        <v>33</v>
      </c>
      <c r="D5" s="28">
        <v>4.0</v>
      </c>
      <c r="E5" s="28" t="s">
        <v>33</v>
      </c>
      <c r="F5" s="28">
        <v>16.0</v>
      </c>
      <c r="G5" s="28" t="s">
        <v>33</v>
      </c>
      <c r="H5" s="28">
        <v>8.0</v>
      </c>
      <c r="I5" s="31" t="s">
        <v>33</v>
      </c>
      <c r="J5" s="28">
        <v>6.0</v>
      </c>
      <c r="K5" s="28" t="s">
        <v>33</v>
      </c>
      <c r="L5" s="28">
        <v>6.0</v>
      </c>
      <c r="M5" s="28" t="s">
        <v>33</v>
      </c>
      <c r="N5" s="28">
        <v>4.0</v>
      </c>
      <c r="O5" s="28" t="s">
        <v>33</v>
      </c>
      <c r="P5" s="28">
        <v>13.0</v>
      </c>
      <c r="Q5" s="28" t="s">
        <v>33</v>
      </c>
      <c r="R5" s="28">
        <v>7.0</v>
      </c>
      <c r="S5" s="31" t="s">
        <v>33</v>
      </c>
      <c r="T5" s="28">
        <v>6.0</v>
      </c>
      <c r="U5" s="28" t="s">
        <v>33</v>
      </c>
      <c r="V5" s="28">
        <v>7.0</v>
      </c>
      <c r="W5" s="28" t="s">
        <v>33</v>
      </c>
      <c r="X5" s="28">
        <v>4.0</v>
      </c>
      <c r="Y5" s="28" t="s">
        <v>33</v>
      </c>
      <c r="Z5" s="28">
        <v>14.0</v>
      </c>
      <c r="AA5" s="28" t="s">
        <v>33</v>
      </c>
      <c r="AB5" s="28">
        <v>6.0</v>
      </c>
      <c r="AC5" s="37" t="s">
        <v>33</v>
      </c>
      <c r="AD5" s="37">
        <v>5.0</v>
      </c>
      <c r="AE5" s="28" t="s">
        <v>33</v>
      </c>
      <c r="AF5" s="28">
        <v>5.0</v>
      </c>
      <c r="AG5" s="28" t="s">
        <v>33</v>
      </c>
      <c r="AH5" s="28">
        <v>2.0</v>
      </c>
    </row>
    <row r="6">
      <c r="A6" s="28" t="s">
        <v>35</v>
      </c>
      <c r="B6" s="28">
        <v>12.0</v>
      </c>
      <c r="C6" s="28" t="s">
        <v>35</v>
      </c>
      <c r="D6" s="28">
        <v>3.0</v>
      </c>
      <c r="E6" s="28" t="s">
        <v>35</v>
      </c>
      <c r="F6" s="28">
        <v>6.0</v>
      </c>
      <c r="G6" s="28" t="s">
        <v>35</v>
      </c>
      <c r="H6" s="28">
        <v>4.0</v>
      </c>
      <c r="I6" s="28" t="s">
        <v>35</v>
      </c>
      <c r="J6" s="28">
        <v>4.0</v>
      </c>
      <c r="K6" s="28" t="s">
        <v>35</v>
      </c>
      <c r="L6" s="28">
        <v>11.0</v>
      </c>
      <c r="M6" s="28" t="s">
        <v>35</v>
      </c>
      <c r="N6" s="28">
        <v>3.0</v>
      </c>
      <c r="O6" s="28" t="s">
        <v>35</v>
      </c>
      <c r="P6" s="28">
        <v>7.0</v>
      </c>
      <c r="Q6" s="28" t="s">
        <v>35</v>
      </c>
      <c r="R6" s="28">
        <v>10.0</v>
      </c>
      <c r="S6" s="31" t="s">
        <v>35</v>
      </c>
      <c r="T6" s="28">
        <v>7.0</v>
      </c>
      <c r="U6" s="28" t="s">
        <v>35</v>
      </c>
      <c r="V6" s="28">
        <v>11.0</v>
      </c>
      <c r="W6" s="28" t="s">
        <v>35</v>
      </c>
      <c r="X6" s="28">
        <v>2.0</v>
      </c>
      <c r="Y6" s="28" t="s">
        <v>35</v>
      </c>
      <c r="Z6" s="28">
        <v>9.0</v>
      </c>
      <c r="AA6" s="28" t="s">
        <v>35</v>
      </c>
      <c r="AB6" s="28">
        <v>7.0</v>
      </c>
      <c r="AC6" s="37" t="s">
        <v>35</v>
      </c>
      <c r="AD6" s="37">
        <v>8.0</v>
      </c>
      <c r="AE6" s="28" t="s">
        <v>35</v>
      </c>
      <c r="AF6" s="28">
        <v>17.0</v>
      </c>
      <c r="AG6" s="28" t="s">
        <v>35</v>
      </c>
      <c r="AH6" s="28">
        <v>1.0</v>
      </c>
    </row>
    <row r="7">
      <c r="A7" s="28" t="s">
        <v>40</v>
      </c>
      <c r="B7" s="28">
        <v>12.0</v>
      </c>
      <c r="C7" s="28" t="s">
        <v>40</v>
      </c>
      <c r="D7" s="28">
        <v>18.0</v>
      </c>
      <c r="E7" s="28" t="s">
        <v>40</v>
      </c>
      <c r="F7" s="28">
        <v>15.0</v>
      </c>
      <c r="G7" s="28" t="s">
        <v>40</v>
      </c>
      <c r="H7" s="28">
        <v>9.0</v>
      </c>
      <c r="I7" s="28" t="s">
        <v>40</v>
      </c>
      <c r="J7" s="28">
        <v>11.0</v>
      </c>
      <c r="K7" s="28" t="s">
        <v>40</v>
      </c>
      <c r="L7" s="28">
        <v>18.0</v>
      </c>
      <c r="M7" s="28" t="s">
        <v>40</v>
      </c>
      <c r="N7" s="28">
        <v>15.0</v>
      </c>
      <c r="O7" s="28" t="s">
        <v>40</v>
      </c>
      <c r="P7" s="28">
        <v>13.0</v>
      </c>
      <c r="Q7" s="28" t="s">
        <v>40</v>
      </c>
      <c r="R7" s="28">
        <v>14.0</v>
      </c>
      <c r="S7" s="28" t="s">
        <v>40</v>
      </c>
      <c r="T7" s="28">
        <v>5.0</v>
      </c>
      <c r="U7" s="28" t="s">
        <v>40</v>
      </c>
      <c r="V7" s="28">
        <v>14.0</v>
      </c>
      <c r="W7" s="28" t="s">
        <v>40</v>
      </c>
      <c r="X7" s="28">
        <v>10.0</v>
      </c>
      <c r="Y7" s="28" t="s">
        <v>40</v>
      </c>
      <c r="Z7" s="28">
        <v>13.0</v>
      </c>
      <c r="AA7" s="28" t="s">
        <v>40</v>
      </c>
      <c r="AB7" s="28">
        <v>10.0</v>
      </c>
      <c r="AC7" s="41" t="s">
        <v>40</v>
      </c>
      <c r="AD7" s="37">
        <v>10.0</v>
      </c>
      <c r="AE7" s="28" t="s">
        <v>40</v>
      </c>
      <c r="AF7" s="28">
        <v>17.0</v>
      </c>
      <c r="AG7" s="28" t="s">
        <v>40</v>
      </c>
      <c r="AH7" s="28">
        <v>12.0</v>
      </c>
    </row>
    <row r="8">
      <c r="A8" s="28" t="s">
        <v>45</v>
      </c>
      <c r="B8" s="28">
        <v>4.0</v>
      </c>
      <c r="C8" s="28" t="s">
        <v>45</v>
      </c>
      <c r="D8" s="28">
        <v>4.0</v>
      </c>
      <c r="E8" s="28" t="s">
        <v>45</v>
      </c>
      <c r="F8" s="28">
        <v>6.0</v>
      </c>
      <c r="G8" s="28" t="s">
        <v>45</v>
      </c>
      <c r="H8" s="28">
        <v>4.0</v>
      </c>
      <c r="I8" s="28" t="s">
        <v>45</v>
      </c>
      <c r="J8" s="28">
        <v>3.0</v>
      </c>
      <c r="K8" s="28" t="s">
        <v>45</v>
      </c>
      <c r="L8" s="28">
        <v>7.0</v>
      </c>
      <c r="M8" s="28" t="s">
        <v>45</v>
      </c>
      <c r="N8" s="28">
        <v>6.0</v>
      </c>
      <c r="O8" s="28" t="s">
        <v>45</v>
      </c>
      <c r="P8" s="28">
        <v>6.0</v>
      </c>
      <c r="Q8" s="28" t="s">
        <v>45</v>
      </c>
      <c r="R8" s="28">
        <v>2.0</v>
      </c>
      <c r="S8" s="28" t="s">
        <v>45</v>
      </c>
      <c r="T8" s="28">
        <v>3.0</v>
      </c>
      <c r="U8" s="28" t="s">
        <v>45</v>
      </c>
      <c r="V8" s="28">
        <v>6.0</v>
      </c>
      <c r="W8" s="28" t="s">
        <v>45</v>
      </c>
      <c r="X8" s="28">
        <v>6.0</v>
      </c>
      <c r="Y8" s="28" t="s">
        <v>45</v>
      </c>
      <c r="Z8" s="28">
        <v>6.0</v>
      </c>
      <c r="AA8" s="28" t="s">
        <v>45</v>
      </c>
      <c r="AB8" s="28">
        <v>2.0</v>
      </c>
      <c r="AC8" s="41" t="s">
        <v>45</v>
      </c>
      <c r="AD8" s="37">
        <v>3.0</v>
      </c>
      <c r="AE8" s="28" t="s">
        <v>45</v>
      </c>
      <c r="AF8" s="28">
        <v>4.0</v>
      </c>
      <c r="AG8" s="28" t="s">
        <v>45</v>
      </c>
      <c r="AH8" s="28">
        <v>8.0</v>
      </c>
    </row>
    <row r="9">
      <c r="A9" s="31" t="s">
        <v>16</v>
      </c>
      <c r="B9" s="28">
        <v>11.0</v>
      </c>
      <c r="C9" s="28" t="s">
        <v>16</v>
      </c>
      <c r="D9" s="28">
        <v>4.0</v>
      </c>
      <c r="E9" s="28" t="s">
        <v>16</v>
      </c>
      <c r="F9" s="28">
        <v>13.0</v>
      </c>
      <c r="G9" s="28" t="s">
        <v>16</v>
      </c>
      <c r="H9" s="28">
        <v>7.0</v>
      </c>
      <c r="I9" s="31" t="s">
        <v>16</v>
      </c>
      <c r="J9" s="28">
        <v>3.0</v>
      </c>
      <c r="K9" s="28" t="s">
        <v>16</v>
      </c>
      <c r="L9" s="28">
        <v>14.0</v>
      </c>
      <c r="M9" s="28" t="s">
        <v>16</v>
      </c>
      <c r="N9" s="28">
        <v>5.0</v>
      </c>
      <c r="O9" s="28" t="s">
        <v>16</v>
      </c>
      <c r="P9" s="28">
        <v>13.0</v>
      </c>
      <c r="Q9" s="28" t="s">
        <v>16</v>
      </c>
      <c r="R9" s="28">
        <v>5.0</v>
      </c>
      <c r="S9" s="31" t="s">
        <v>16</v>
      </c>
      <c r="T9" s="28">
        <v>8.0</v>
      </c>
      <c r="U9" s="28" t="s">
        <v>16</v>
      </c>
      <c r="V9" s="28">
        <v>5.0</v>
      </c>
      <c r="W9" s="28" t="s">
        <v>16</v>
      </c>
      <c r="X9" s="28">
        <v>8.0</v>
      </c>
      <c r="Y9" s="28" t="s">
        <v>16</v>
      </c>
      <c r="Z9" s="28">
        <v>10.0</v>
      </c>
      <c r="AA9" s="28" t="s">
        <v>16</v>
      </c>
      <c r="AB9" s="28">
        <v>9.0</v>
      </c>
      <c r="AC9" s="41" t="s">
        <v>16</v>
      </c>
      <c r="AD9" s="37">
        <v>6.0</v>
      </c>
      <c r="AE9" s="28" t="s">
        <v>16</v>
      </c>
      <c r="AF9" s="28">
        <v>3.0</v>
      </c>
      <c r="AG9" s="28" t="s">
        <v>16</v>
      </c>
      <c r="AH9" s="28">
        <v>6.0</v>
      </c>
    </row>
    <row r="10">
      <c r="A10" s="31" t="s">
        <v>31</v>
      </c>
      <c r="B10" s="28">
        <v>9.0</v>
      </c>
      <c r="C10" s="28" t="s">
        <v>31</v>
      </c>
      <c r="D10" s="28">
        <v>7.0</v>
      </c>
      <c r="E10" s="28" t="s">
        <v>31</v>
      </c>
      <c r="F10" s="28">
        <v>9.0</v>
      </c>
      <c r="G10" s="28" t="s">
        <v>31</v>
      </c>
      <c r="H10" s="28">
        <v>7.0</v>
      </c>
      <c r="I10" s="31" t="s">
        <v>31</v>
      </c>
      <c r="J10" s="28">
        <v>4.0</v>
      </c>
      <c r="K10" s="31" t="s">
        <v>31</v>
      </c>
      <c r="L10" s="28">
        <v>6.0</v>
      </c>
      <c r="M10" s="28" t="s">
        <v>31</v>
      </c>
      <c r="N10" s="28">
        <v>7.0</v>
      </c>
      <c r="O10" s="28" t="s">
        <v>31</v>
      </c>
      <c r="P10" s="28">
        <v>9.0</v>
      </c>
      <c r="Q10" s="28" t="s">
        <v>31</v>
      </c>
      <c r="R10" s="28">
        <v>8.0</v>
      </c>
      <c r="S10" s="31" t="s">
        <v>31</v>
      </c>
      <c r="T10" s="28">
        <v>6.0</v>
      </c>
      <c r="U10" s="28" t="s">
        <v>31</v>
      </c>
      <c r="V10" s="28">
        <v>10.0</v>
      </c>
      <c r="W10" s="28" t="s">
        <v>31</v>
      </c>
      <c r="X10" s="28">
        <v>9.0</v>
      </c>
      <c r="Y10" s="28" t="s">
        <v>31</v>
      </c>
      <c r="Z10" s="28">
        <v>10.0</v>
      </c>
      <c r="AA10" s="28" t="s">
        <v>31</v>
      </c>
      <c r="AB10" s="28">
        <v>9.0</v>
      </c>
      <c r="AC10" s="37" t="s">
        <v>31</v>
      </c>
      <c r="AD10" s="37">
        <v>9.0</v>
      </c>
      <c r="AE10" s="31" t="s">
        <v>31</v>
      </c>
      <c r="AF10" s="28">
        <v>7.0</v>
      </c>
      <c r="AG10" s="28" t="s">
        <v>31</v>
      </c>
      <c r="AH10" s="28">
        <v>6.0</v>
      </c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</row>
    <row r="12">
      <c r="A12" s="76"/>
      <c r="B12" s="79">
        <v>90.0</v>
      </c>
      <c r="C12" s="76"/>
      <c r="D12" s="79">
        <v>66.0</v>
      </c>
      <c r="E12" s="76"/>
      <c r="F12" s="79">
        <v>104.0</v>
      </c>
      <c r="G12" s="76"/>
      <c r="H12" s="79">
        <v>67.0</v>
      </c>
      <c r="I12" s="76"/>
      <c r="J12" s="79">
        <v>58.0</v>
      </c>
      <c r="K12" s="76"/>
      <c r="L12" s="79">
        <v>91.0</v>
      </c>
      <c r="M12" s="76"/>
      <c r="N12" s="79">
        <v>66.0</v>
      </c>
      <c r="O12" s="76"/>
      <c r="P12" s="79">
        <v>103.0</v>
      </c>
      <c r="Q12" s="76"/>
      <c r="R12" s="79">
        <v>74.0</v>
      </c>
      <c r="S12" s="76"/>
      <c r="T12" s="79">
        <v>62.0</v>
      </c>
      <c r="U12" s="76"/>
      <c r="V12" s="79">
        <v>87.0</v>
      </c>
      <c r="W12" s="76"/>
      <c r="X12" s="79">
        <v>68.0</v>
      </c>
      <c r="Y12" s="76"/>
      <c r="Z12" s="79">
        <v>107.0</v>
      </c>
      <c r="AA12" s="79"/>
      <c r="AB12" s="79">
        <v>67.0</v>
      </c>
      <c r="AC12" s="79"/>
      <c r="AD12" s="79">
        <v>66.0</v>
      </c>
      <c r="AE12" s="79"/>
      <c r="AF12" s="79">
        <v>90.0</v>
      </c>
      <c r="AG12" s="79"/>
      <c r="AH12" s="79">
        <v>59.0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</row>
    <row r="14">
      <c r="A14" s="28" t="s">
        <v>48</v>
      </c>
      <c r="B14" s="28">
        <v>9.0</v>
      </c>
      <c r="C14" s="28" t="s">
        <v>48</v>
      </c>
      <c r="D14" s="28">
        <v>4.0</v>
      </c>
      <c r="E14" s="28" t="s">
        <v>48</v>
      </c>
      <c r="F14" s="28">
        <v>7.0</v>
      </c>
      <c r="G14" s="28" t="s">
        <v>48</v>
      </c>
      <c r="H14" s="28">
        <v>15.0</v>
      </c>
      <c r="I14" s="28" t="s">
        <v>48</v>
      </c>
      <c r="J14" s="28">
        <v>10.0</v>
      </c>
      <c r="K14" s="28" t="s">
        <v>48</v>
      </c>
      <c r="L14" s="28">
        <v>11.0</v>
      </c>
      <c r="M14" s="28" t="s">
        <v>48</v>
      </c>
      <c r="N14" s="28">
        <v>8.0</v>
      </c>
      <c r="O14" s="28" t="s">
        <v>48</v>
      </c>
      <c r="P14" s="28">
        <v>9.0</v>
      </c>
      <c r="Q14" s="28" t="s">
        <v>48</v>
      </c>
      <c r="R14" s="28">
        <v>18.0</v>
      </c>
      <c r="S14" s="28" t="s">
        <v>48</v>
      </c>
      <c r="T14" s="28">
        <v>12.0</v>
      </c>
      <c r="U14" s="28" t="s">
        <v>48</v>
      </c>
      <c r="V14" s="28">
        <v>7.0</v>
      </c>
      <c r="W14" s="28" t="s">
        <v>48</v>
      </c>
      <c r="X14" s="28">
        <v>9.0</v>
      </c>
      <c r="Y14" s="28" t="s">
        <v>48</v>
      </c>
      <c r="Z14" s="28">
        <v>12.0</v>
      </c>
      <c r="AA14" s="28" t="s">
        <v>48</v>
      </c>
      <c r="AB14" s="28">
        <v>15.0</v>
      </c>
      <c r="AC14" s="37" t="s">
        <v>48</v>
      </c>
      <c r="AD14" s="37">
        <v>16.0</v>
      </c>
      <c r="AE14" s="28" t="s">
        <v>48</v>
      </c>
      <c r="AF14" s="28">
        <v>5.0</v>
      </c>
      <c r="AG14" s="28" t="s">
        <v>48</v>
      </c>
      <c r="AH14" s="28">
        <v>4.0</v>
      </c>
    </row>
    <row r="15">
      <c r="A15" s="28" t="s">
        <v>50</v>
      </c>
      <c r="B15" s="28">
        <v>22.0</v>
      </c>
      <c r="C15" s="28" t="s">
        <v>50</v>
      </c>
      <c r="D15" s="28">
        <v>17.0</v>
      </c>
      <c r="E15" s="28" t="s">
        <v>50</v>
      </c>
      <c r="F15" s="28">
        <v>31.0</v>
      </c>
      <c r="G15" s="28" t="s">
        <v>50</v>
      </c>
      <c r="H15" s="126">
        <v>21.0</v>
      </c>
      <c r="I15" s="28" t="s">
        <v>50</v>
      </c>
      <c r="J15" s="28">
        <v>20.0</v>
      </c>
      <c r="K15" s="28" t="s">
        <v>50</v>
      </c>
      <c r="L15" s="28">
        <v>22.0</v>
      </c>
      <c r="M15" s="28" t="s">
        <v>50</v>
      </c>
      <c r="N15" s="28">
        <v>18.0</v>
      </c>
      <c r="O15" s="28" t="s">
        <v>50</v>
      </c>
      <c r="P15" s="28">
        <v>30.0</v>
      </c>
      <c r="Q15" s="28" t="s">
        <v>50</v>
      </c>
      <c r="R15" s="28">
        <v>25.0</v>
      </c>
      <c r="S15" s="28" t="s">
        <v>50</v>
      </c>
      <c r="T15" s="28">
        <v>20.0</v>
      </c>
      <c r="U15" s="28" t="s">
        <v>50</v>
      </c>
      <c r="V15" s="28">
        <v>22.0</v>
      </c>
      <c r="W15" s="28" t="s">
        <v>50</v>
      </c>
      <c r="X15" s="28">
        <v>19.0</v>
      </c>
      <c r="Y15" s="28" t="s">
        <v>50</v>
      </c>
      <c r="Z15" s="28">
        <v>34.0</v>
      </c>
      <c r="AA15" s="28" t="s">
        <v>50</v>
      </c>
      <c r="AB15" s="28">
        <v>18.0</v>
      </c>
      <c r="AC15" s="41" t="s">
        <v>50</v>
      </c>
      <c r="AD15" s="37">
        <v>15.0</v>
      </c>
      <c r="AE15" s="28" t="s">
        <v>50</v>
      </c>
      <c r="AF15" s="28">
        <v>20.0</v>
      </c>
      <c r="AG15" s="28" t="s">
        <v>50</v>
      </c>
      <c r="AH15" s="28">
        <v>16.0</v>
      </c>
    </row>
    <row r="16">
      <c r="A16" s="28" t="s">
        <v>52</v>
      </c>
      <c r="B16" s="28">
        <v>19.0</v>
      </c>
      <c r="C16" s="28" t="s">
        <v>52</v>
      </c>
      <c r="D16" s="28">
        <v>9.0</v>
      </c>
      <c r="E16" s="28" t="s">
        <v>52</v>
      </c>
      <c r="F16" s="28">
        <v>12.0</v>
      </c>
      <c r="G16" s="28" t="s">
        <v>52</v>
      </c>
      <c r="H16" s="28">
        <v>11.0</v>
      </c>
      <c r="I16" s="28" t="s">
        <v>52</v>
      </c>
      <c r="J16" s="28">
        <v>8.0</v>
      </c>
      <c r="K16" s="28" t="s">
        <v>52</v>
      </c>
      <c r="L16" s="28">
        <v>22.0</v>
      </c>
      <c r="M16" s="28" t="s">
        <v>52</v>
      </c>
      <c r="N16" s="28">
        <v>7.0</v>
      </c>
      <c r="O16" s="28" t="s">
        <v>52</v>
      </c>
      <c r="P16" s="28">
        <v>7.0</v>
      </c>
      <c r="Q16" s="28" t="s">
        <v>52</v>
      </c>
      <c r="R16" s="28">
        <v>10.0</v>
      </c>
      <c r="S16" s="28" t="s">
        <v>52</v>
      </c>
      <c r="T16" s="28">
        <v>9.0</v>
      </c>
      <c r="U16" s="28" t="s">
        <v>52</v>
      </c>
      <c r="V16" s="28">
        <v>21.0</v>
      </c>
      <c r="W16" s="28" t="s">
        <v>52</v>
      </c>
      <c r="X16" s="28">
        <v>12.0</v>
      </c>
      <c r="Y16" s="28" t="s">
        <v>52</v>
      </c>
      <c r="Z16" s="28">
        <v>8.0</v>
      </c>
      <c r="AA16" s="28" t="s">
        <v>52</v>
      </c>
      <c r="AB16" s="28">
        <v>12.0</v>
      </c>
      <c r="AC16" s="41" t="s">
        <v>52</v>
      </c>
      <c r="AD16" s="37">
        <v>15.0</v>
      </c>
      <c r="AE16" s="28" t="s">
        <v>52</v>
      </c>
      <c r="AF16" s="28">
        <v>24.0</v>
      </c>
      <c r="AG16" s="28" t="s">
        <v>52</v>
      </c>
      <c r="AH16" s="28">
        <v>6.0</v>
      </c>
    </row>
    <row r="17">
      <c r="A17" s="28" t="s">
        <v>55</v>
      </c>
      <c r="B17" s="28">
        <v>15.0</v>
      </c>
      <c r="C17" s="28" t="s">
        <v>55</v>
      </c>
      <c r="D17" s="28">
        <v>14.0</v>
      </c>
      <c r="E17" s="28" t="s">
        <v>55</v>
      </c>
      <c r="F17" s="28">
        <v>11.0</v>
      </c>
      <c r="G17" s="28" t="s">
        <v>55</v>
      </c>
      <c r="H17" s="28">
        <v>10.0</v>
      </c>
      <c r="I17" s="28" t="s">
        <v>55</v>
      </c>
      <c r="J17" s="28">
        <v>6.0</v>
      </c>
      <c r="K17" s="28" t="s">
        <v>55</v>
      </c>
      <c r="L17" s="28">
        <v>10.0</v>
      </c>
      <c r="M17" s="28" t="s">
        <v>55</v>
      </c>
      <c r="N17" s="28">
        <v>11.0</v>
      </c>
      <c r="O17" s="28" t="s">
        <v>55</v>
      </c>
      <c r="P17" s="28">
        <v>13.0</v>
      </c>
      <c r="Q17" s="28" t="s">
        <v>55</v>
      </c>
      <c r="R17" s="28">
        <v>7.0</v>
      </c>
      <c r="S17" s="28" t="s">
        <v>55</v>
      </c>
      <c r="T17" s="28">
        <v>10.0</v>
      </c>
      <c r="U17" s="28" t="s">
        <v>55</v>
      </c>
      <c r="V17" s="28">
        <v>13.0</v>
      </c>
      <c r="W17" s="28" t="s">
        <v>55</v>
      </c>
      <c r="X17" s="28">
        <v>8.0</v>
      </c>
      <c r="Y17" s="28" t="s">
        <v>55</v>
      </c>
      <c r="Z17" s="28">
        <v>5.0</v>
      </c>
      <c r="AA17" s="28" t="s">
        <v>55</v>
      </c>
      <c r="AB17" s="28">
        <v>7.0</v>
      </c>
      <c r="AC17" s="41" t="s">
        <v>55</v>
      </c>
      <c r="AD17" s="37">
        <v>4.0</v>
      </c>
      <c r="AE17" s="28" t="s">
        <v>55</v>
      </c>
      <c r="AF17" s="28">
        <v>14.0</v>
      </c>
      <c r="AG17" s="28" t="s">
        <v>55</v>
      </c>
      <c r="AH17" s="28">
        <v>6.0</v>
      </c>
    </row>
    <row r="18">
      <c r="A18" s="28" t="s">
        <v>57</v>
      </c>
      <c r="B18" s="28">
        <v>11.0</v>
      </c>
      <c r="C18" s="28" t="s">
        <v>57</v>
      </c>
      <c r="D18" s="28">
        <v>15.0</v>
      </c>
      <c r="E18" s="28" t="s">
        <v>57</v>
      </c>
      <c r="F18" s="28">
        <v>21.0</v>
      </c>
      <c r="G18" s="28" t="s">
        <v>57</v>
      </c>
      <c r="H18" s="28">
        <v>6.0</v>
      </c>
      <c r="I18" s="28" t="s">
        <v>57</v>
      </c>
      <c r="J18" s="28">
        <v>6.0</v>
      </c>
      <c r="K18" s="28" t="s">
        <v>57</v>
      </c>
      <c r="L18" s="28">
        <v>16.0</v>
      </c>
      <c r="M18" s="28" t="s">
        <v>57</v>
      </c>
      <c r="N18" s="28">
        <v>15.0</v>
      </c>
      <c r="O18" s="28" t="s">
        <v>57</v>
      </c>
      <c r="P18" s="28">
        <v>23.0</v>
      </c>
      <c r="Q18" s="28" t="s">
        <v>57</v>
      </c>
      <c r="R18" s="28">
        <v>4.0</v>
      </c>
      <c r="S18" s="28" t="s">
        <v>57</v>
      </c>
      <c r="T18" s="28">
        <v>3.0</v>
      </c>
      <c r="U18" s="28" t="s">
        <v>57</v>
      </c>
      <c r="V18" s="28">
        <v>9.0</v>
      </c>
      <c r="W18" s="28" t="s">
        <v>57</v>
      </c>
      <c r="X18" s="28">
        <v>9.0</v>
      </c>
      <c r="Y18" s="28" t="s">
        <v>57</v>
      </c>
      <c r="Z18" s="28">
        <v>23.0</v>
      </c>
      <c r="AA18" s="28" t="s">
        <v>57</v>
      </c>
      <c r="AB18" s="28">
        <v>6.0</v>
      </c>
      <c r="AC18" s="37" t="s">
        <v>57</v>
      </c>
      <c r="AD18" s="37">
        <v>7.0</v>
      </c>
      <c r="AE18" s="28" t="s">
        <v>57</v>
      </c>
      <c r="AF18" s="28">
        <v>13.0</v>
      </c>
      <c r="AG18" s="28" t="s">
        <v>57</v>
      </c>
      <c r="AH18" s="28">
        <v>9.0</v>
      </c>
    </row>
    <row r="19">
      <c r="A19" s="28" t="s">
        <v>59</v>
      </c>
      <c r="B19" s="28">
        <v>4.0</v>
      </c>
      <c r="C19" s="28" t="s">
        <v>59</v>
      </c>
      <c r="D19" s="28">
        <v>5.0</v>
      </c>
      <c r="E19" s="28" t="s">
        <v>59</v>
      </c>
      <c r="F19" s="28">
        <v>7.0</v>
      </c>
      <c r="G19" s="28" t="s">
        <v>59</v>
      </c>
      <c r="H19" s="28">
        <v>4.0</v>
      </c>
      <c r="I19" s="28" t="s">
        <v>59</v>
      </c>
      <c r="J19" s="28">
        <v>2.0</v>
      </c>
      <c r="K19" s="28" t="s">
        <v>59</v>
      </c>
      <c r="L19" s="28">
        <v>4.0</v>
      </c>
      <c r="M19" s="28" t="s">
        <v>59</v>
      </c>
      <c r="N19" s="28">
        <v>6.0</v>
      </c>
      <c r="O19" s="28" t="s">
        <v>59</v>
      </c>
      <c r="P19" s="28">
        <v>11.0</v>
      </c>
      <c r="Q19" s="28" t="s">
        <v>59</v>
      </c>
      <c r="R19" s="28">
        <v>6.0</v>
      </c>
      <c r="S19" s="28" t="s">
        <v>59</v>
      </c>
      <c r="T19" s="28">
        <v>6.0</v>
      </c>
      <c r="U19" s="28" t="s">
        <v>59</v>
      </c>
      <c r="V19" s="28">
        <v>5.0</v>
      </c>
      <c r="W19" s="28" t="s">
        <v>59</v>
      </c>
      <c r="X19" s="28">
        <v>7.0</v>
      </c>
      <c r="Y19" s="28" t="s">
        <v>59</v>
      </c>
      <c r="Z19" s="28">
        <v>13.0</v>
      </c>
      <c r="AA19" s="28" t="s">
        <v>59</v>
      </c>
      <c r="AB19" s="28">
        <v>6.0</v>
      </c>
      <c r="AC19" s="37" t="s">
        <v>59</v>
      </c>
      <c r="AD19" s="37">
        <v>4.0</v>
      </c>
      <c r="AE19" s="28" t="s">
        <v>59</v>
      </c>
      <c r="AF19" s="28">
        <v>6.0</v>
      </c>
      <c r="AG19" s="28" t="s">
        <v>59</v>
      </c>
      <c r="AH19" s="28">
        <v>14.0</v>
      </c>
    </row>
    <row r="20">
      <c r="A20" s="28" t="s">
        <v>61</v>
      </c>
      <c r="B20" s="28">
        <v>8.0</v>
      </c>
      <c r="C20" s="28" t="s">
        <v>61</v>
      </c>
      <c r="D20" s="28">
        <v>4.0</v>
      </c>
      <c r="E20" s="28" t="s">
        <v>61</v>
      </c>
      <c r="F20" s="28">
        <v>15.0</v>
      </c>
      <c r="G20" s="28" t="s">
        <v>61</v>
      </c>
      <c r="H20" s="28">
        <v>3.0</v>
      </c>
      <c r="I20" s="28" t="s">
        <v>61</v>
      </c>
      <c r="J20" s="28">
        <v>5.0</v>
      </c>
      <c r="K20" s="28" t="s">
        <v>61</v>
      </c>
      <c r="L20" s="28">
        <v>4.0</v>
      </c>
      <c r="M20" s="28" t="s">
        <v>61</v>
      </c>
      <c r="N20" s="28">
        <v>4.0</v>
      </c>
      <c r="O20" s="28" t="s">
        <v>61</v>
      </c>
      <c r="P20" s="28">
        <v>9.0</v>
      </c>
      <c r="Q20" s="28" t="s">
        <v>61</v>
      </c>
      <c r="R20" s="28">
        <v>3.0</v>
      </c>
      <c r="S20" s="28" t="s">
        <v>61</v>
      </c>
      <c r="T20" s="28">
        <v>1.0</v>
      </c>
      <c r="U20" s="28" t="s">
        <v>61</v>
      </c>
      <c r="V20" s="28">
        <v>7.0</v>
      </c>
      <c r="W20" s="28" t="s">
        <v>61</v>
      </c>
      <c r="X20" s="28">
        <v>4.0</v>
      </c>
      <c r="Y20" s="28" t="s">
        <v>61</v>
      </c>
      <c r="Z20" s="28">
        <v>8.0</v>
      </c>
      <c r="AA20" s="28" t="s">
        <v>61</v>
      </c>
      <c r="AB20" s="28">
        <v>2.0</v>
      </c>
      <c r="AC20" s="41" t="s">
        <v>61</v>
      </c>
      <c r="AD20" s="37">
        <v>5.0</v>
      </c>
      <c r="AE20" s="28" t="s">
        <v>61</v>
      </c>
      <c r="AF20" s="28">
        <v>5.0</v>
      </c>
      <c r="AG20" s="28" t="s">
        <v>61</v>
      </c>
      <c r="AH20" s="28">
        <v>4.0</v>
      </c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41"/>
      <c r="AD21" s="37"/>
      <c r="AE21" s="28"/>
      <c r="AF21" s="28"/>
      <c r="AG21" s="28"/>
      <c r="AH21" s="28"/>
    </row>
    <row r="22">
      <c r="A22" s="76"/>
      <c r="B22" s="79">
        <v>88.0</v>
      </c>
      <c r="C22" s="76"/>
      <c r="D22" s="79">
        <v>68.0</v>
      </c>
      <c r="E22" s="76"/>
      <c r="F22" s="79">
        <v>104.0</v>
      </c>
      <c r="G22" s="76"/>
      <c r="H22" s="79">
        <v>70.0</v>
      </c>
      <c r="I22" s="76"/>
      <c r="J22" s="79">
        <v>57.0</v>
      </c>
      <c r="K22" s="76"/>
      <c r="L22" s="79">
        <v>89.0</v>
      </c>
      <c r="M22" s="76"/>
      <c r="N22" s="79">
        <v>69.0</v>
      </c>
      <c r="O22" s="76"/>
      <c r="P22" s="79">
        <v>102.0</v>
      </c>
      <c r="Q22" s="76"/>
      <c r="R22" s="79">
        <v>73.0</v>
      </c>
      <c r="S22" s="76"/>
      <c r="T22" s="79">
        <v>61.0</v>
      </c>
      <c r="U22" s="76"/>
      <c r="V22" s="79">
        <v>84.0</v>
      </c>
      <c r="W22" s="76"/>
      <c r="X22" s="79">
        <v>68.0</v>
      </c>
      <c r="Y22" s="76"/>
      <c r="Z22" s="79">
        <v>103.0</v>
      </c>
      <c r="AA22" s="79"/>
      <c r="AB22" s="79">
        <v>66.0</v>
      </c>
      <c r="AC22" s="37"/>
      <c r="AD22" s="152">
        <v>66.0</v>
      </c>
      <c r="AE22" s="126"/>
      <c r="AF22" s="126">
        <v>87.0</v>
      </c>
      <c r="AG22" s="126"/>
      <c r="AH22" s="126">
        <v>59.0</v>
      </c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</row>
    <row r="24">
      <c r="A24" s="95" t="s">
        <v>183</v>
      </c>
      <c r="B24" s="28">
        <v>3.0</v>
      </c>
      <c r="C24" s="28" t="s">
        <v>174</v>
      </c>
      <c r="D24" s="28">
        <v>1.0</v>
      </c>
      <c r="E24" s="28" t="s">
        <v>176</v>
      </c>
      <c r="F24" s="28">
        <v>2.0</v>
      </c>
      <c r="G24" s="28" t="s">
        <v>176</v>
      </c>
      <c r="H24" s="28">
        <v>1.0</v>
      </c>
      <c r="I24" s="28" t="s">
        <v>183</v>
      </c>
      <c r="J24" s="28">
        <v>1.0</v>
      </c>
      <c r="K24" s="95" t="s">
        <v>183</v>
      </c>
      <c r="L24" s="28">
        <v>5.0</v>
      </c>
      <c r="M24" s="28" t="s">
        <v>174</v>
      </c>
      <c r="N24" s="28">
        <v>2.0</v>
      </c>
      <c r="O24" s="28" t="s">
        <v>176</v>
      </c>
      <c r="P24" s="28">
        <v>2.0</v>
      </c>
      <c r="Q24" s="28" t="s">
        <v>176</v>
      </c>
      <c r="R24" s="28">
        <v>1.0</v>
      </c>
      <c r="S24" s="28" t="s">
        <v>183</v>
      </c>
      <c r="T24" s="28">
        <v>3.0</v>
      </c>
      <c r="U24" s="95" t="s">
        <v>174</v>
      </c>
      <c r="V24" s="28">
        <v>1.0</v>
      </c>
      <c r="W24" s="28" t="s">
        <v>176</v>
      </c>
      <c r="X24" s="28">
        <v>1.0</v>
      </c>
      <c r="Y24" s="28" t="s">
        <v>176</v>
      </c>
      <c r="Z24" s="28">
        <v>4.0</v>
      </c>
      <c r="AA24" s="28" t="s">
        <v>183</v>
      </c>
      <c r="AB24" s="28">
        <v>2.0</v>
      </c>
      <c r="AC24" s="37" t="s">
        <v>174</v>
      </c>
      <c r="AD24" s="37">
        <v>1.0</v>
      </c>
      <c r="AE24" s="95" t="s">
        <v>176</v>
      </c>
      <c r="AF24" s="28">
        <v>2.0</v>
      </c>
      <c r="AG24" s="28" t="s">
        <v>183</v>
      </c>
      <c r="AH24" s="28">
        <v>2.0</v>
      </c>
    </row>
    <row r="25">
      <c r="A25" s="95" t="s">
        <v>180</v>
      </c>
      <c r="B25" s="28">
        <v>1.0</v>
      </c>
      <c r="C25" s="28" t="s">
        <v>183</v>
      </c>
      <c r="D25" s="28">
        <v>4.0</v>
      </c>
      <c r="E25" s="28" t="s">
        <v>174</v>
      </c>
      <c r="F25" s="28">
        <v>1.0</v>
      </c>
      <c r="G25" s="28" t="s">
        <v>183</v>
      </c>
      <c r="H25" s="28">
        <v>1.0</v>
      </c>
      <c r="I25" s="28" t="s">
        <v>195</v>
      </c>
      <c r="J25" s="28">
        <v>1.0</v>
      </c>
      <c r="K25" s="95" t="s">
        <v>180</v>
      </c>
      <c r="L25" s="28">
        <v>2.0</v>
      </c>
      <c r="M25" s="28" t="s">
        <v>180</v>
      </c>
      <c r="N25" s="28">
        <v>3.0</v>
      </c>
      <c r="O25" s="28" t="s">
        <v>183</v>
      </c>
      <c r="P25" s="28">
        <v>2.0</v>
      </c>
      <c r="Q25" s="28" t="s">
        <v>183</v>
      </c>
      <c r="R25" s="28">
        <v>3.0</v>
      </c>
      <c r="S25" s="28" t="s">
        <v>180</v>
      </c>
      <c r="T25" s="28">
        <v>1.0</v>
      </c>
      <c r="U25" s="95" t="s">
        <v>183</v>
      </c>
      <c r="V25" s="28">
        <v>3.0</v>
      </c>
      <c r="W25" s="28" t="s">
        <v>174</v>
      </c>
      <c r="X25" s="28">
        <v>1.0</v>
      </c>
      <c r="Y25" s="28" t="s">
        <v>183</v>
      </c>
      <c r="Z25" s="28">
        <v>2.0</v>
      </c>
      <c r="AA25" s="28" t="s">
        <v>195</v>
      </c>
      <c r="AB25" s="28">
        <v>2.0</v>
      </c>
      <c r="AC25" s="37" t="s">
        <v>183</v>
      </c>
      <c r="AD25" s="37">
        <v>1.0</v>
      </c>
      <c r="AE25" s="95" t="s">
        <v>183</v>
      </c>
      <c r="AF25" s="28">
        <v>4.0</v>
      </c>
      <c r="AG25" s="28" t="s">
        <v>180</v>
      </c>
      <c r="AH25" s="28">
        <v>2.0</v>
      </c>
    </row>
    <row r="26">
      <c r="A26" s="95" t="s">
        <v>195</v>
      </c>
      <c r="B26" s="28">
        <v>6.0</v>
      </c>
      <c r="C26" s="28" t="s">
        <v>180</v>
      </c>
      <c r="D26" s="28">
        <v>3.0</v>
      </c>
      <c r="E26" s="28" t="s">
        <v>183</v>
      </c>
      <c r="F26" s="28">
        <v>2.0</v>
      </c>
      <c r="G26" s="28" t="s">
        <v>180</v>
      </c>
      <c r="H26" s="28">
        <v>2.0</v>
      </c>
      <c r="I26" s="28" t="s">
        <v>192</v>
      </c>
      <c r="J26" s="28">
        <v>3.0</v>
      </c>
      <c r="K26" s="95" t="s">
        <v>195</v>
      </c>
      <c r="L26" s="28">
        <v>5.0</v>
      </c>
      <c r="M26" s="28" t="s">
        <v>195</v>
      </c>
      <c r="N26" s="28">
        <v>3.0</v>
      </c>
      <c r="O26" s="28" t="s">
        <v>180</v>
      </c>
      <c r="P26" s="28">
        <v>3.0</v>
      </c>
      <c r="Q26" s="28" t="s">
        <v>195</v>
      </c>
      <c r="R26" s="28">
        <v>2.0</v>
      </c>
      <c r="S26" s="28" t="s">
        <v>192</v>
      </c>
      <c r="T26" s="28">
        <v>3.0</v>
      </c>
      <c r="U26" s="95" t="s">
        <v>180</v>
      </c>
      <c r="V26" s="28">
        <v>3.0</v>
      </c>
      <c r="W26" s="28" t="s">
        <v>183</v>
      </c>
      <c r="X26" s="28">
        <v>2.0</v>
      </c>
      <c r="Y26" s="28" t="s">
        <v>180</v>
      </c>
      <c r="Z26" s="28">
        <v>1.0</v>
      </c>
      <c r="AA26" s="28" t="s">
        <v>186</v>
      </c>
      <c r="AB26" s="28">
        <v>1.0</v>
      </c>
      <c r="AC26" s="37" t="s">
        <v>180</v>
      </c>
      <c r="AD26" s="37">
        <v>2.0</v>
      </c>
      <c r="AE26" s="95" t="s">
        <v>180</v>
      </c>
      <c r="AF26" s="28">
        <v>2.0</v>
      </c>
      <c r="AG26" s="28" t="s">
        <v>195</v>
      </c>
      <c r="AH26" s="28">
        <v>2.0</v>
      </c>
    </row>
    <row r="27">
      <c r="A27" s="95" t="s">
        <v>192</v>
      </c>
      <c r="B27" s="28">
        <v>4.0</v>
      </c>
      <c r="C27" s="28" t="s">
        <v>192</v>
      </c>
      <c r="D27" s="28">
        <v>1.0</v>
      </c>
      <c r="E27" s="28" t="s">
        <v>180</v>
      </c>
      <c r="F27" s="28">
        <v>3.0</v>
      </c>
      <c r="G27" s="28" t="s">
        <v>195</v>
      </c>
      <c r="H27" s="28">
        <v>2.0</v>
      </c>
      <c r="I27" s="28" t="s">
        <v>197</v>
      </c>
      <c r="J27" s="28">
        <v>1.0</v>
      </c>
      <c r="K27" s="95" t="s">
        <v>186</v>
      </c>
      <c r="L27" s="28">
        <v>1.0</v>
      </c>
      <c r="M27" s="28" t="s">
        <v>192</v>
      </c>
      <c r="N27" s="28">
        <v>2.0</v>
      </c>
      <c r="O27" s="28" t="s">
        <v>192</v>
      </c>
      <c r="P27" s="28">
        <v>4.0</v>
      </c>
      <c r="Q27" s="28" t="s">
        <v>186</v>
      </c>
      <c r="R27" s="28">
        <v>1.0</v>
      </c>
      <c r="S27" s="28" t="s">
        <v>197</v>
      </c>
      <c r="T27" s="28">
        <v>1.0</v>
      </c>
      <c r="U27" s="95" t="s">
        <v>195</v>
      </c>
      <c r="V27" s="28">
        <v>2.0</v>
      </c>
      <c r="W27" s="28" t="s">
        <v>180</v>
      </c>
      <c r="X27" s="28">
        <v>4.0</v>
      </c>
      <c r="Y27" s="28" t="s">
        <v>195</v>
      </c>
      <c r="Z27" s="28">
        <v>4.0</v>
      </c>
      <c r="AA27" s="28" t="s">
        <v>192</v>
      </c>
      <c r="AB27" s="28">
        <v>2.0</v>
      </c>
      <c r="AC27" s="37" t="s">
        <v>186</v>
      </c>
      <c r="AD27" s="37">
        <v>1.0</v>
      </c>
      <c r="AE27" s="95" t="s">
        <v>195</v>
      </c>
      <c r="AF27" s="28">
        <v>3.0</v>
      </c>
      <c r="AG27" s="28" t="s">
        <v>192</v>
      </c>
      <c r="AH27" s="28">
        <v>2.0</v>
      </c>
    </row>
    <row r="28">
      <c r="A28" s="28" t="s">
        <v>202</v>
      </c>
      <c r="B28" s="28">
        <v>1.0</v>
      </c>
      <c r="C28" s="28" t="s">
        <v>202</v>
      </c>
      <c r="D28" s="28">
        <v>1.0</v>
      </c>
      <c r="E28" s="28" t="s">
        <v>195</v>
      </c>
      <c r="F28" s="28">
        <v>2.0</v>
      </c>
      <c r="G28" s="28" t="s">
        <v>186</v>
      </c>
      <c r="H28" s="28">
        <v>1.0</v>
      </c>
      <c r="I28" s="28" t="s">
        <v>202</v>
      </c>
      <c r="J28" s="28">
        <v>1.0</v>
      </c>
      <c r="K28" s="95" t="s">
        <v>192</v>
      </c>
      <c r="L28" s="28">
        <v>2.0</v>
      </c>
      <c r="M28" s="28" t="s">
        <v>197</v>
      </c>
      <c r="N28" s="28">
        <v>2.0</v>
      </c>
      <c r="O28" s="28" t="s">
        <v>197</v>
      </c>
      <c r="P28" s="28">
        <v>1.0</v>
      </c>
      <c r="Q28" s="28" t="s">
        <v>192</v>
      </c>
      <c r="R28" s="28">
        <v>1.0</v>
      </c>
      <c r="S28" s="28" t="s">
        <v>202</v>
      </c>
      <c r="T28" s="28">
        <v>3.0</v>
      </c>
      <c r="U28" s="95" t="s">
        <v>192</v>
      </c>
      <c r="V28" s="28">
        <v>2.0</v>
      </c>
      <c r="W28" s="28" t="s">
        <v>195</v>
      </c>
      <c r="X28" s="28">
        <v>1.0</v>
      </c>
      <c r="Y28" s="28" t="s">
        <v>192</v>
      </c>
      <c r="Z28" s="28">
        <v>2.0</v>
      </c>
      <c r="AA28" s="28" t="s">
        <v>202</v>
      </c>
      <c r="AB28" s="28">
        <v>4.0</v>
      </c>
      <c r="AC28" s="37" t="s">
        <v>192</v>
      </c>
      <c r="AD28" s="37">
        <v>1.0</v>
      </c>
      <c r="AE28" s="95" t="s">
        <v>186</v>
      </c>
      <c r="AF28" s="28">
        <v>2.0</v>
      </c>
      <c r="AG28" s="28" t="s">
        <v>197</v>
      </c>
      <c r="AH28" s="28">
        <v>1.0</v>
      </c>
    </row>
    <row r="29">
      <c r="A29" s="28" t="s">
        <v>207</v>
      </c>
      <c r="B29" s="28">
        <v>1.0</v>
      </c>
      <c r="C29" s="28" t="s">
        <v>203</v>
      </c>
      <c r="D29" s="28">
        <v>1.0</v>
      </c>
      <c r="E29" s="28" t="s">
        <v>192</v>
      </c>
      <c r="F29" s="28">
        <v>7.0</v>
      </c>
      <c r="G29" s="28" t="s">
        <v>197</v>
      </c>
      <c r="H29" s="28">
        <v>1.0</v>
      </c>
      <c r="I29" s="28" t="s">
        <v>210</v>
      </c>
      <c r="J29" s="28">
        <v>5.0</v>
      </c>
      <c r="K29" s="28" t="s">
        <v>207</v>
      </c>
      <c r="L29" s="28">
        <v>3.0</v>
      </c>
      <c r="M29" s="28" t="s">
        <v>207</v>
      </c>
      <c r="N29" s="28">
        <v>1.0</v>
      </c>
      <c r="O29" s="28" t="s">
        <v>203</v>
      </c>
      <c r="P29" s="28">
        <v>1.0</v>
      </c>
      <c r="Q29" s="28" t="s">
        <v>197</v>
      </c>
      <c r="R29" s="28">
        <v>1.0</v>
      </c>
      <c r="S29" s="28" t="s">
        <v>207</v>
      </c>
      <c r="T29" s="28">
        <v>1.0</v>
      </c>
      <c r="U29" s="28" t="s">
        <v>197</v>
      </c>
      <c r="V29" s="28">
        <v>1.0</v>
      </c>
      <c r="W29" s="28" t="s">
        <v>192</v>
      </c>
      <c r="X29" s="28">
        <v>1.0</v>
      </c>
      <c r="Y29" s="28" t="s">
        <v>202</v>
      </c>
      <c r="Z29" s="28">
        <v>1.0</v>
      </c>
      <c r="AA29" s="28" t="s">
        <v>207</v>
      </c>
      <c r="AB29" s="28">
        <v>3.0</v>
      </c>
      <c r="AC29" s="37" t="s">
        <v>202</v>
      </c>
      <c r="AD29" s="37">
        <v>1.0</v>
      </c>
      <c r="AE29" s="28" t="s">
        <v>192</v>
      </c>
      <c r="AF29" s="28">
        <v>2.0</v>
      </c>
      <c r="AG29" s="28" t="s">
        <v>207</v>
      </c>
      <c r="AH29" s="28">
        <v>1.0</v>
      </c>
    </row>
    <row r="30">
      <c r="A30" s="28" t="s">
        <v>212</v>
      </c>
      <c r="B30" s="28">
        <v>1.0</v>
      </c>
      <c r="C30" s="28" t="s">
        <v>207</v>
      </c>
      <c r="D30" s="28">
        <v>2.0</v>
      </c>
      <c r="E30" s="28" t="s">
        <v>197</v>
      </c>
      <c r="F30" s="28">
        <v>1.0</v>
      </c>
      <c r="G30" s="28" t="s">
        <v>202</v>
      </c>
      <c r="H30" s="28">
        <v>1.0</v>
      </c>
      <c r="I30" s="28" t="s">
        <v>223</v>
      </c>
      <c r="J30" s="28">
        <v>3.0</v>
      </c>
      <c r="K30" s="28" t="s">
        <v>212</v>
      </c>
      <c r="L30" s="28">
        <v>1.0</v>
      </c>
      <c r="M30" s="28" t="s">
        <v>223</v>
      </c>
      <c r="N30" s="28">
        <v>1.0</v>
      </c>
      <c r="O30" s="28" t="s">
        <v>207</v>
      </c>
      <c r="P30" s="28">
        <v>1.0</v>
      </c>
      <c r="Q30" s="28" t="s">
        <v>202</v>
      </c>
      <c r="R30" s="28">
        <v>2.0</v>
      </c>
      <c r="S30" s="28" t="s">
        <v>210</v>
      </c>
      <c r="T30" s="28">
        <v>1.0</v>
      </c>
      <c r="U30" s="28" t="s">
        <v>202</v>
      </c>
      <c r="V30" s="28">
        <v>1.0</v>
      </c>
      <c r="W30" s="28" t="s">
        <v>207</v>
      </c>
      <c r="X30" s="28">
        <v>1.0</v>
      </c>
      <c r="Y30" s="28" t="s">
        <v>207</v>
      </c>
      <c r="Z30" s="28">
        <v>2.0</v>
      </c>
      <c r="AA30" s="28" t="s">
        <v>210</v>
      </c>
      <c r="AB30" s="28">
        <v>2.0</v>
      </c>
      <c r="AC30" s="37" t="s">
        <v>207</v>
      </c>
      <c r="AD30" s="37">
        <v>1.0</v>
      </c>
      <c r="AE30" s="28" t="s">
        <v>197</v>
      </c>
      <c r="AF30" s="28">
        <v>2.0</v>
      </c>
      <c r="AG30" s="28" t="s">
        <v>223</v>
      </c>
      <c r="AH30" s="28">
        <v>1.0</v>
      </c>
    </row>
    <row r="31">
      <c r="A31" s="28" t="s">
        <v>216</v>
      </c>
      <c r="B31" s="28">
        <v>8.0</v>
      </c>
      <c r="C31" s="28" t="s">
        <v>223</v>
      </c>
      <c r="D31" s="28">
        <v>1.0</v>
      </c>
      <c r="E31" s="28" t="s">
        <v>207</v>
      </c>
      <c r="F31" s="28">
        <v>1.0</v>
      </c>
      <c r="G31" s="28" t="s">
        <v>210</v>
      </c>
      <c r="H31" s="28">
        <v>1.0</v>
      </c>
      <c r="I31" s="28" t="s">
        <v>212</v>
      </c>
      <c r="J31" s="28">
        <v>4.0</v>
      </c>
      <c r="K31" s="28" t="s">
        <v>216</v>
      </c>
      <c r="L31" s="28">
        <v>6.0</v>
      </c>
      <c r="M31" s="28" t="s">
        <v>212</v>
      </c>
      <c r="N31" s="28">
        <v>1.0</v>
      </c>
      <c r="O31" s="28" t="s">
        <v>210</v>
      </c>
      <c r="P31" s="28">
        <v>1.0</v>
      </c>
      <c r="Q31" s="28" t="s">
        <v>203</v>
      </c>
      <c r="R31" s="28">
        <v>2.0</v>
      </c>
      <c r="S31" s="28" t="s">
        <v>223</v>
      </c>
      <c r="T31" s="28">
        <v>1.0</v>
      </c>
      <c r="U31" s="28" t="s">
        <v>210</v>
      </c>
      <c r="V31" s="28">
        <v>1.0</v>
      </c>
      <c r="W31" s="28" t="s">
        <v>223</v>
      </c>
      <c r="X31" s="28">
        <v>1.0</v>
      </c>
      <c r="Y31" s="28" t="s">
        <v>210</v>
      </c>
      <c r="Z31" s="28">
        <v>2.0</v>
      </c>
      <c r="AA31" s="28" t="s">
        <v>212</v>
      </c>
      <c r="AB31" s="28">
        <v>2.0</v>
      </c>
      <c r="AC31" s="37" t="s">
        <v>210</v>
      </c>
      <c r="AD31" s="37">
        <v>2.0</v>
      </c>
      <c r="AE31" s="28" t="s">
        <v>202</v>
      </c>
      <c r="AF31" s="28">
        <v>1.0</v>
      </c>
      <c r="AG31" s="28" t="s">
        <v>216</v>
      </c>
      <c r="AH31" s="28">
        <v>2.0</v>
      </c>
    </row>
    <row r="32">
      <c r="A32" s="28" t="s">
        <v>225</v>
      </c>
      <c r="B32" s="28">
        <v>14.0</v>
      </c>
      <c r="C32" s="28" t="s">
        <v>212</v>
      </c>
      <c r="D32" s="28">
        <v>1.0</v>
      </c>
      <c r="E32" s="28" t="s">
        <v>210</v>
      </c>
      <c r="F32" s="28">
        <v>1.0</v>
      </c>
      <c r="G32" s="28" t="s">
        <v>223</v>
      </c>
      <c r="H32" s="28">
        <v>3.0</v>
      </c>
      <c r="I32" s="28" t="s">
        <v>216</v>
      </c>
      <c r="J32" s="28">
        <v>3.0</v>
      </c>
      <c r="K32" s="28" t="s">
        <v>225</v>
      </c>
      <c r="L32" s="28">
        <v>7.0</v>
      </c>
      <c r="M32" s="28" t="s">
        <v>216</v>
      </c>
      <c r="N32" s="28">
        <v>5.0</v>
      </c>
      <c r="O32" s="28" t="s">
        <v>223</v>
      </c>
      <c r="P32" s="28">
        <v>2.0</v>
      </c>
      <c r="Q32" s="28" t="s">
        <v>210</v>
      </c>
      <c r="R32" s="28">
        <v>1.0</v>
      </c>
      <c r="S32" s="28" t="s">
        <v>212</v>
      </c>
      <c r="T32" s="28">
        <v>2.0</v>
      </c>
      <c r="U32" s="28" t="s">
        <v>212</v>
      </c>
      <c r="V32" s="28">
        <v>2.0</v>
      </c>
      <c r="W32" s="28" t="s">
        <v>466</v>
      </c>
      <c r="X32" s="28">
        <v>1.0</v>
      </c>
      <c r="Y32" s="28" t="s">
        <v>223</v>
      </c>
      <c r="Z32" s="28">
        <v>2.0</v>
      </c>
      <c r="AA32" s="28" t="s">
        <v>216</v>
      </c>
      <c r="AB32" s="28">
        <v>3.0</v>
      </c>
      <c r="AC32" s="37" t="s">
        <v>223</v>
      </c>
      <c r="AD32" s="37">
        <v>3.0</v>
      </c>
      <c r="AE32" s="28" t="s">
        <v>207</v>
      </c>
      <c r="AF32" s="28">
        <v>2.0</v>
      </c>
      <c r="AG32" s="28" t="s">
        <v>225</v>
      </c>
      <c r="AH32" s="28">
        <v>1.0</v>
      </c>
    </row>
    <row r="33">
      <c r="A33" s="28" t="s">
        <v>230</v>
      </c>
      <c r="B33" s="28">
        <v>4.0</v>
      </c>
      <c r="C33" s="28" t="s">
        <v>216</v>
      </c>
      <c r="D33" s="28">
        <v>2.0</v>
      </c>
      <c r="E33" s="28" t="s">
        <v>223</v>
      </c>
      <c r="F33" s="28">
        <v>1.0</v>
      </c>
      <c r="G33" s="28" t="s">
        <v>212</v>
      </c>
      <c r="H33" s="28">
        <v>4.0</v>
      </c>
      <c r="I33" s="28" t="s">
        <v>225</v>
      </c>
      <c r="J33" s="28">
        <v>7.0</v>
      </c>
      <c r="K33" s="28" t="s">
        <v>230</v>
      </c>
      <c r="L33" s="28">
        <v>6.0</v>
      </c>
      <c r="M33" s="28" t="s">
        <v>225</v>
      </c>
      <c r="N33" s="28">
        <v>5.0</v>
      </c>
      <c r="O33" s="28" t="s">
        <v>212</v>
      </c>
      <c r="P33" s="28">
        <v>4.0</v>
      </c>
      <c r="Q33" s="28" t="s">
        <v>212</v>
      </c>
      <c r="R33" s="28">
        <v>2.0</v>
      </c>
      <c r="S33" s="28" t="s">
        <v>466</v>
      </c>
      <c r="T33" s="28">
        <v>1.0</v>
      </c>
      <c r="U33" s="28" t="s">
        <v>216</v>
      </c>
      <c r="V33" s="28">
        <v>8.0</v>
      </c>
      <c r="W33" s="28" t="s">
        <v>216</v>
      </c>
      <c r="X33" s="28">
        <v>5.0</v>
      </c>
      <c r="Y33" s="28" t="s">
        <v>212</v>
      </c>
      <c r="Z33" s="28">
        <v>3.0</v>
      </c>
      <c r="AA33" s="28" t="s">
        <v>225</v>
      </c>
      <c r="AB33" s="28">
        <v>12.0</v>
      </c>
      <c r="AC33" s="37" t="s">
        <v>212</v>
      </c>
      <c r="AD33" s="37">
        <v>3.0</v>
      </c>
      <c r="AE33" s="28" t="s">
        <v>210</v>
      </c>
      <c r="AF33" s="28">
        <v>1.0</v>
      </c>
      <c r="AG33" s="28" t="s">
        <v>230</v>
      </c>
      <c r="AH33" s="28">
        <v>7.0</v>
      </c>
    </row>
    <row r="34">
      <c r="A34" s="28" t="s">
        <v>236</v>
      </c>
      <c r="B34" s="28">
        <v>4.0</v>
      </c>
      <c r="C34" s="28" t="s">
        <v>234</v>
      </c>
      <c r="D34" s="28">
        <v>1.0</v>
      </c>
      <c r="E34" s="28" t="s">
        <v>212</v>
      </c>
      <c r="F34" s="28">
        <v>1.0</v>
      </c>
      <c r="G34" s="28" t="s">
        <v>216</v>
      </c>
      <c r="H34" s="28">
        <v>9.0</v>
      </c>
      <c r="I34" s="28" t="s">
        <v>230</v>
      </c>
      <c r="J34" s="28">
        <v>3.0</v>
      </c>
      <c r="K34" s="28" t="s">
        <v>236</v>
      </c>
      <c r="L34" s="28">
        <v>3.0</v>
      </c>
      <c r="M34" s="28" t="s">
        <v>230</v>
      </c>
      <c r="N34" s="28">
        <v>6.0</v>
      </c>
      <c r="O34" s="28" t="s">
        <v>216</v>
      </c>
      <c r="P34" s="28">
        <v>7.0</v>
      </c>
      <c r="Q34" s="28" t="s">
        <v>466</v>
      </c>
      <c r="R34" s="28">
        <v>1.0</v>
      </c>
      <c r="S34" s="28" t="s">
        <v>216</v>
      </c>
      <c r="T34" s="28">
        <v>3.0</v>
      </c>
      <c r="U34" s="28" t="s">
        <v>225</v>
      </c>
      <c r="V34" s="28">
        <v>9.0</v>
      </c>
      <c r="W34" s="28" t="s">
        <v>225</v>
      </c>
      <c r="X34" s="28">
        <v>2.0</v>
      </c>
      <c r="Y34" s="28" t="s">
        <v>466</v>
      </c>
      <c r="Z34" s="28">
        <v>1.0</v>
      </c>
      <c r="AA34" s="28" t="s">
        <v>230</v>
      </c>
      <c r="AB34" s="28">
        <v>6.0</v>
      </c>
      <c r="AC34" s="37" t="s">
        <v>466</v>
      </c>
      <c r="AD34" s="37">
        <v>1.0</v>
      </c>
      <c r="AE34" s="28" t="s">
        <v>212</v>
      </c>
      <c r="AF34" s="28">
        <v>1.0</v>
      </c>
      <c r="AG34" s="28" t="s">
        <v>236</v>
      </c>
      <c r="AH34" s="28">
        <v>3.0</v>
      </c>
    </row>
    <row r="35">
      <c r="A35" s="28" t="s">
        <v>246</v>
      </c>
      <c r="B35" s="28">
        <v>1.0</v>
      </c>
      <c r="C35" s="28" t="s">
        <v>225</v>
      </c>
      <c r="D35" s="28">
        <v>4.0</v>
      </c>
      <c r="E35" s="28" t="s">
        <v>216</v>
      </c>
      <c r="F35" s="28">
        <v>3.0</v>
      </c>
      <c r="G35" s="28" t="s">
        <v>225</v>
      </c>
      <c r="H35" s="28">
        <v>8.0</v>
      </c>
      <c r="I35" s="28" t="s">
        <v>236</v>
      </c>
      <c r="J35" s="28">
        <v>1.0</v>
      </c>
      <c r="K35" s="28" t="s">
        <v>244</v>
      </c>
      <c r="L35" s="28">
        <v>1.0</v>
      </c>
      <c r="M35" s="28" t="s">
        <v>236</v>
      </c>
      <c r="N35" s="28">
        <v>3.0</v>
      </c>
      <c r="O35" s="28" t="s">
        <v>225</v>
      </c>
      <c r="P35" s="28">
        <v>10.0</v>
      </c>
      <c r="Q35" s="28" t="s">
        <v>216</v>
      </c>
      <c r="R35" s="28">
        <v>5.0</v>
      </c>
      <c r="S35" s="28" t="s">
        <v>225</v>
      </c>
      <c r="T35" s="28">
        <v>5.0</v>
      </c>
      <c r="U35" s="28" t="s">
        <v>230</v>
      </c>
      <c r="V35" s="28">
        <v>5.0</v>
      </c>
      <c r="W35" s="28" t="s">
        <v>230</v>
      </c>
      <c r="X35" s="28">
        <v>9.0</v>
      </c>
      <c r="Y35" s="28" t="s">
        <v>216</v>
      </c>
      <c r="Z35" s="28">
        <v>3.0</v>
      </c>
      <c r="AA35" s="28" t="s">
        <v>266</v>
      </c>
      <c r="AB35" s="28">
        <v>1.0</v>
      </c>
      <c r="AC35" s="37" t="s">
        <v>216</v>
      </c>
      <c r="AD35" s="37">
        <v>5.0</v>
      </c>
      <c r="AE35" s="28" t="s">
        <v>216</v>
      </c>
      <c r="AF35" s="28">
        <v>3.0</v>
      </c>
      <c r="AG35" s="28" t="s">
        <v>273</v>
      </c>
      <c r="AH35" s="28">
        <v>1.0</v>
      </c>
    </row>
    <row r="36">
      <c r="A36" s="28" t="s">
        <v>244</v>
      </c>
      <c r="B36" s="28">
        <v>2.0</v>
      </c>
      <c r="C36" s="28" t="s">
        <v>230</v>
      </c>
      <c r="D36" s="28">
        <v>6.0</v>
      </c>
      <c r="E36" s="28" t="s">
        <v>225</v>
      </c>
      <c r="F36" s="28">
        <v>5.0</v>
      </c>
      <c r="G36" s="28" t="s">
        <v>230</v>
      </c>
      <c r="H36" s="28">
        <v>8.0</v>
      </c>
      <c r="I36" s="28" t="s">
        <v>292</v>
      </c>
      <c r="J36" s="28">
        <v>1.0</v>
      </c>
      <c r="K36" s="28" t="s">
        <v>291</v>
      </c>
      <c r="L36" s="28">
        <v>1.0</v>
      </c>
      <c r="M36" s="28" t="s">
        <v>243</v>
      </c>
      <c r="N36" s="28">
        <v>1.0</v>
      </c>
      <c r="O36" s="28" t="s">
        <v>230</v>
      </c>
      <c r="P36" s="28">
        <v>3.0</v>
      </c>
      <c r="Q36" s="28" t="s">
        <v>225</v>
      </c>
      <c r="R36" s="28">
        <v>8.0</v>
      </c>
      <c r="S36" s="28" t="s">
        <v>230</v>
      </c>
      <c r="T36" s="28">
        <v>3.0</v>
      </c>
      <c r="U36" s="28" t="s">
        <v>236</v>
      </c>
      <c r="V36" s="28">
        <v>5.0</v>
      </c>
      <c r="W36" s="28" t="s">
        <v>236</v>
      </c>
      <c r="X36" s="28">
        <v>2.0</v>
      </c>
      <c r="Y36" s="28" t="s">
        <v>225</v>
      </c>
      <c r="Z36" s="28">
        <v>6.0</v>
      </c>
      <c r="AA36" s="28" t="s">
        <v>471</v>
      </c>
      <c r="AB36" s="28">
        <v>1.0</v>
      </c>
      <c r="AC36" s="37" t="s">
        <v>225</v>
      </c>
      <c r="AD36" s="37">
        <v>6.0</v>
      </c>
      <c r="AE36" s="28" t="s">
        <v>225</v>
      </c>
      <c r="AF36" s="28">
        <v>6.0</v>
      </c>
      <c r="AG36" s="28" t="s">
        <v>291</v>
      </c>
      <c r="AH36" s="28">
        <v>1.0</v>
      </c>
    </row>
    <row r="37">
      <c r="A37" s="28" t="s">
        <v>287</v>
      </c>
      <c r="B37" s="28">
        <v>1.0</v>
      </c>
      <c r="C37" s="28" t="s">
        <v>236</v>
      </c>
      <c r="D37" s="28">
        <v>2.0</v>
      </c>
      <c r="E37" s="28" t="s">
        <v>230</v>
      </c>
      <c r="F37" s="28">
        <v>7.0</v>
      </c>
      <c r="G37" s="28" t="s">
        <v>236</v>
      </c>
      <c r="H37" s="28">
        <v>2.0</v>
      </c>
      <c r="I37" s="28" t="s">
        <v>261</v>
      </c>
      <c r="J37" s="28">
        <v>3.0</v>
      </c>
      <c r="K37" s="28" t="s">
        <v>248</v>
      </c>
      <c r="L37" s="28">
        <v>1.0</v>
      </c>
      <c r="M37" s="28" t="s">
        <v>273</v>
      </c>
      <c r="N37" s="28">
        <v>1.0</v>
      </c>
      <c r="O37" s="28" t="s">
        <v>246</v>
      </c>
      <c r="P37" s="28">
        <v>2.0</v>
      </c>
      <c r="Q37" s="28" t="s">
        <v>230</v>
      </c>
      <c r="R37" s="28">
        <v>6.0</v>
      </c>
      <c r="S37" s="28" t="s">
        <v>236</v>
      </c>
      <c r="T37" s="28">
        <v>1.0</v>
      </c>
      <c r="U37" s="28" t="s">
        <v>287</v>
      </c>
      <c r="V37" s="28">
        <v>1.0</v>
      </c>
      <c r="W37" s="28" t="s">
        <v>246</v>
      </c>
      <c r="X37" s="28">
        <v>1.0</v>
      </c>
      <c r="Y37" s="28" t="s">
        <v>230</v>
      </c>
      <c r="Z37" s="28">
        <v>4.0</v>
      </c>
      <c r="AA37" s="28" t="s">
        <v>255</v>
      </c>
      <c r="AB37" s="28">
        <v>3.0</v>
      </c>
      <c r="AC37" s="37" t="s">
        <v>230</v>
      </c>
      <c r="AD37" s="37">
        <v>6.0</v>
      </c>
      <c r="AE37" s="28" t="s">
        <v>230</v>
      </c>
      <c r="AF37" s="28">
        <v>8.0</v>
      </c>
      <c r="AG37" s="28" t="s">
        <v>248</v>
      </c>
      <c r="AH37" s="28">
        <v>2.0</v>
      </c>
    </row>
    <row r="38">
      <c r="A38" s="28" t="s">
        <v>241</v>
      </c>
      <c r="B38" s="28">
        <v>1.0</v>
      </c>
      <c r="C38" s="28" t="s">
        <v>246</v>
      </c>
      <c r="D38" s="28">
        <v>1.0</v>
      </c>
      <c r="E38" s="28" t="s">
        <v>236</v>
      </c>
      <c r="F38" s="28">
        <v>1.0</v>
      </c>
      <c r="G38" s="28" t="s">
        <v>472</v>
      </c>
      <c r="H38" s="28">
        <v>1.0</v>
      </c>
      <c r="I38" s="28" t="s">
        <v>285</v>
      </c>
      <c r="J38" s="28">
        <v>2.0</v>
      </c>
      <c r="K38" s="28" t="s">
        <v>266</v>
      </c>
      <c r="L38" s="28">
        <v>1.0</v>
      </c>
      <c r="M38" s="28" t="s">
        <v>291</v>
      </c>
      <c r="N38" s="28">
        <v>1.0</v>
      </c>
      <c r="O38" s="28" t="s">
        <v>244</v>
      </c>
      <c r="P38" s="28">
        <v>1.0</v>
      </c>
      <c r="Q38" s="28" t="s">
        <v>236</v>
      </c>
      <c r="R38" s="28">
        <v>1.0</v>
      </c>
      <c r="S38" s="28" t="s">
        <v>244</v>
      </c>
      <c r="T38" s="28">
        <v>1.0</v>
      </c>
      <c r="U38" s="28" t="s">
        <v>471</v>
      </c>
      <c r="V38" s="28">
        <v>2.0</v>
      </c>
      <c r="W38" s="28" t="s">
        <v>291</v>
      </c>
      <c r="X38" s="28">
        <v>1.0</v>
      </c>
      <c r="Y38" s="28" t="s">
        <v>244</v>
      </c>
      <c r="Z38" s="28">
        <v>1.0</v>
      </c>
      <c r="AA38" s="28" t="s">
        <v>263</v>
      </c>
      <c r="AB38" s="28">
        <v>1.0</v>
      </c>
      <c r="AC38" s="37" t="s">
        <v>236</v>
      </c>
      <c r="AD38" s="37">
        <v>2.0</v>
      </c>
      <c r="AE38" s="28" t="s">
        <v>236</v>
      </c>
      <c r="AF38" s="28">
        <v>3.0</v>
      </c>
      <c r="AG38" s="28" t="s">
        <v>276</v>
      </c>
      <c r="AH38" s="28">
        <v>1.0</v>
      </c>
    </row>
    <row r="39">
      <c r="A39" s="28" t="s">
        <v>249</v>
      </c>
      <c r="B39" s="28">
        <v>2.0</v>
      </c>
      <c r="C39" s="28" t="s">
        <v>273</v>
      </c>
      <c r="D39" s="28">
        <v>1.0</v>
      </c>
      <c r="E39" s="28" t="s">
        <v>246</v>
      </c>
      <c r="F39" s="28">
        <v>2.0</v>
      </c>
      <c r="G39" s="28" t="s">
        <v>246</v>
      </c>
      <c r="H39" s="28">
        <v>1.0</v>
      </c>
      <c r="I39" s="28" t="s">
        <v>281</v>
      </c>
      <c r="J39" s="28">
        <v>1.0</v>
      </c>
      <c r="K39" s="28" t="s">
        <v>288</v>
      </c>
      <c r="L39" s="28">
        <v>1.0</v>
      </c>
      <c r="M39" s="28" t="s">
        <v>471</v>
      </c>
      <c r="N39" s="28">
        <v>1.0</v>
      </c>
      <c r="O39" s="28" t="s">
        <v>273</v>
      </c>
      <c r="P39" s="28">
        <v>1.0</v>
      </c>
      <c r="Q39" s="28" t="s">
        <v>244</v>
      </c>
      <c r="R39" s="28">
        <v>1.0</v>
      </c>
      <c r="S39" s="28" t="s">
        <v>292</v>
      </c>
      <c r="T39" s="28">
        <v>1.0</v>
      </c>
      <c r="U39" s="28" t="s">
        <v>249</v>
      </c>
      <c r="V39" s="28">
        <v>1.0</v>
      </c>
      <c r="W39" s="28" t="s">
        <v>248</v>
      </c>
      <c r="X39" s="28">
        <v>1.0</v>
      </c>
      <c r="Y39" s="28" t="s">
        <v>291</v>
      </c>
      <c r="Z39" s="28">
        <v>1.0</v>
      </c>
      <c r="AA39" s="28" t="s">
        <v>261</v>
      </c>
      <c r="AB39" s="28">
        <v>3.0</v>
      </c>
      <c r="AC39" s="37" t="s">
        <v>244</v>
      </c>
      <c r="AD39" s="37">
        <v>1.0</v>
      </c>
      <c r="AE39" s="28" t="s">
        <v>291</v>
      </c>
      <c r="AF39" s="28">
        <v>1.0</v>
      </c>
      <c r="AG39" s="28" t="s">
        <v>279</v>
      </c>
      <c r="AH39" s="28">
        <v>1.0</v>
      </c>
    </row>
    <row r="40">
      <c r="A40" s="28" t="s">
        <v>475</v>
      </c>
      <c r="B40" s="28">
        <v>1.0</v>
      </c>
      <c r="C40" s="28" t="s">
        <v>276</v>
      </c>
      <c r="D40" s="28">
        <v>2.0</v>
      </c>
      <c r="E40" s="28" t="s">
        <v>273</v>
      </c>
      <c r="F40" s="28">
        <v>1.0</v>
      </c>
      <c r="G40" s="28" t="s">
        <v>273</v>
      </c>
      <c r="H40" s="28">
        <v>1.0</v>
      </c>
      <c r="I40" s="28" t="s">
        <v>294</v>
      </c>
      <c r="J40" s="28">
        <v>4.0</v>
      </c>
      <c r="K40" s="28" t="s">
        <v>249</v>
      </c>
      <c r="L40" s="28">
        <v>1.0</v>
      </c>
      <c r="M40" s="28" t="s">
        <v>276</v>
      </c>
      <c r="N40" s="28">
        <v>2.0</v>
      </c>
      <c r="O40" s="28" t="s">
        <v>291</v>
      </c>
      <c r="P40" s="28">
        <v>2.0</v>
      </c>
      <c r="Q40" s="28" t="s">
        <v>273</v>
      </c>
      <c r="R40" s="28">
        <v>1.0</v>
      </c>
      <c r="S40" s="28" t="s">
        <v>283</v>
      </c>
      <c r="T40" s="28">
        <v>1.0</v>
      </c>
      <c r="U40" s="28" t="s">
        <v>283</v>
      </c>
      <c r="V40" s="28">
        <v>1.0</v>
      </c>
      <c r="W40" s="28" t="s">
        <v>279</v>
      </c>
      <c r="X40" s="28">
        <v>1.0</v>
      </c>
      <c r="Y40" s="28" t="s">
        <v>241</v>
      </c>
      <c r="Z40" s="28">
        <v>1.0</v>
      </c>
      <c r="AA40" s="28" t="s">
        <v>285</v>
      </c>
      <c r="AB40" s="28">
        <v>3.0</v>
      </c>
      <c r="AC40" s="37" t="s">
        <v>243</v>
      </c>
      <c r="AD40" s="37">
        <v>1.0</v>
      </c>
      <c r="AE40" s="28" t="s">
        <v>249</v>
      </c>
      <c r="AF40" s="28">
        <v>2.0</v>
      </c>
      <c r="AG40" s="28" t="s">
        <v>475</v>
      </c>
      <c r="AH40" s="28">
        <v>1.0</v>
      </c>
    </row>
    <row r="41">
      <c r="A41" s="28" t="s">
        <v>255</v>
      </c>
      <c r="B41" s="28">
        <v>1.0</v>
      </c>
      <c r="C41" s="28" t="s">
        <v>279</v>
      </c>
      <c r="D41" s="28">
        <v>1.0</v>
      </c>
      <c r="E41" s="28" t="s">
        <v>287</v>
      </c>
      <c r="F41" s="28">
        <v>1.0</v>
      </c>
      <c r="G41" s="28" t="s">
        <v>276</v>
      </c>
      <c r="H41" s="28">
        <v>1.0</v>
      </c>
      <c r="I41" s="28" t="s">
        <v>319</v>
      </c>
      <c r="J41" s="28">
        <v>1.0</v>
      </c>
      <c r="K41" s="28" t="s">
        <v>255</v>
      </c>
      <c r="L41" s="28">
        <v>1.0</v>
      </c>
      <c r="M41" s="28" t="s">
        <v>262</v>
      </c>
      <c r="N41" s="28">
        <v>1.0</v>
      </c>
      <c r="O41" s="28" t="s">
        <v>241</v>
      </c>
      <c r="P41" s="28">
        <v>1.0</v>
      </c>
      <c r="Q41" s="28" t="s">
        <v>279</v>
      </c>
      <c r="R41" s="28">
        <v>1.0</v>
      </c>
      <c r="S41" s="28" t="s">
        <v>304</v>
      </c>
      <c r="T41" s="28">
        <v>1.0</v>
      </c>
      <c r="U41" s="28" t="s">
        <v>261</v>
      </c>
      <c r="V41" s="28">
        <v>4.0</v>
      </c>
      <c r="W41" s="28" t="s">
        <v>475</v>
      </c>
      <c r="X41" s="28">
        <v>1.0</v>
      </c>
      <c r="Y41" s="28" t="s">
        <v>248</v>
      </c>
      <c r="Z41" s="28">
        <v>1.0</v>
      </c>
      <c r="AA41" s="28" t="s">
        <v>294</v>
      </c>
      <c r="AB41" s="28">
        <v>1.0</v>
      </c>
      <c r="AC41" s="37" t="s">
        <v>291</v>
      </c>
      <c r="AD41" s="37">
        <v>1.0</v>
      </c>
      <c r="AE41" s="28" t="s">
        <v>475</v>
      </c>
      <c r="AF41" s="28">
        <v>1.0</v>
      </c>
      <c r="AG41" s="28" t="s">
        <v>255</v>
      </c>
      <c r="AH41" s="28">
        <v>1.0</v>
      </c>
    </row>
    <row r="42">
      <c r="A42" s="28" t="s">
        <v>283</v>
      </c>
      <c r="B42" s="28">
        <v>1.0</v>
      </c>
      <c r="C42" s="28" t="s">
        <v>255</v>
      </c>
      <c r="D42" s="28">
        <v>2.0</v>
      </c>
      <c r="E42" s="28" t="s">
        <v>241</v>
      </c>
      <c r="F42" s="28">
        <v>1.0</v>
      </c>
      <c r="G42" s="28" t="s">
        <v>255</v>
      </c>
      <c r="H42" s="28">
        <v>1.0</v>
      </c>
      <c r="I42" s="28" t="s">
        <v>300</v>
      </c>
      <c r="J42" s="28">
        <v>2.0</v>
      </c>
      <c r="K42" s="28" t="s">
        <v>476</v>
      </c>
      <c r="L42" s="28">
        <v>1.0</v>
      </c>
      <c r="M42" s="28" t="s">
        <v>255</v>
      </c>
      <c r="N42" s="28">
        <v>1.0</v>
      </c>
      <c r="O42" s="28" t="s">
        <v>266</v>
      </c>
      <c r="P42" s="28">
        <v>1.0</v>
      </c>
      <c r="Q42" s="28" t="s">
        <v>255</v>
      </c>
      <c r="R42" s="28">
        <v>3.0</v>
      </c>
      <c r="S42" s="28" t="s">
        <v>302</v>
      </c>
      <c r="T42" s="28">
        <v>1.0</v>
      </c>
      <c r="U42" s="28" t="s">
        <v>285</v>
      </c>
      <c r="V42" s="28">
        <v>1.0</v>
      </c>
      <c r="W42" s="28" t="s">
        <v>258</v>
      </c>
      <c r="X42" s="28">
        <v>1.0</v>
      </c>
      <c r="Y42" s="28" t="s">
        <v>277</v>
      </c>
      <c r="Z42" s="28">
        <v>1.0</v>
      </c>
      <c r="AA42" s="28" t="s">
        <v>317</v>
      </c>
      <c r="AB42" s="28">
        <v>1.0</v>
      </c>
      <c r="AC42" s="37" t="s">
        <v>266</v>
      </c>
      <c r="AD42" s="37">
        <v>1.0</v>
      </c>
      <c r="AE42" s="28" t="s">
        <v>255</v>
      </c>
      <c r="AF42" s="28">
        <v>1.0</v>
      </c>
      <c r="AG42" s="28" t="s">
        <v>283</v>
      </c>
      <c r="AH42" s="28">
        <v>1.0</v>
      </c>
    </row>
    <row r="43">
      <c r="A43" s="28" t="s">
        <v>304</v>
      </c>
      <c r="B43" s="28">
        <v>1.0</v>
      </c>
      <c r="C43" s="28" t="s">
        <v>302</v>
      </c>
      <c r="D43" s="28">
        <v>1.0</v>
      </c>
      <c r="E43" s="28" t="s">
        <v>248</v>
      </c>
      <c r="F43" s="28">
        <v>1.0</v>
      </c>
      <c r="G43" s="28" t="s">
        <v>304</v>
      </c>
      <c r="H43" s="28">
        <v>1.0</v>
      </c>
      <c r="I43" s="28" t="s">
        <v>341</v>
      </c>
      <c r="J43" s="28">
        <v>2.0</v>
      </c>
      <c r="K43" s="28" t="s">
        <v>283</v>
      </c>
      <c r="L43" s="28">
        <v>1.0</v>
      </c>
      <c r="M43" s="28" t="s">
        <v>263</v>
      </c>
      <c r="N43" s="28">
        <v>1.0</v>
      </c>
      <c r="O43" s="28" t="s">
        <v>292</v>
      </c>
      <c r="P43" s="28">
        <v>1.0</v>
      </c>
      <c r="Q43" s="28" t="s">
        <v>283</v>
      </c>
      <c r="R43" s="28">
        <v>1.0</v>
      </c>
      <c r="S43" s="28" t="s">
        <v>261</v>
      </c>
      <c r="T43" s="28">
        <v>3.0</v>
      </c>
      <c r="U43" s="28" t="s">
        <v>306</v>
      </c>
      <c r="V43" s="28">
        <v>1.0</v>
      </c>
      <c r="W43" s="28" t="s">
        <v>255</v>
      </c>
      <c r="X43" s="28">
        <v>1.0</v>
      </c>
      <c r="Y43" s="28" t="s">
        <v>276</v>
      </c>
      <c r="Z43" s="28">
        <v>1.0</v>
      </c>
      <c r="AA43" s="28" t="s">
        <v>319</v>
      </c>
      <c r="AB43" s="28">
        <v>1.0</v>
      </c>
      <c r="AC43" s="37" t="s">
        <v>249</v>
      </c>
      <c r="AD43" s="37">
        <v>1.0</v>
      </c>
      <c r="AE43" s="28" t="s">
        <v>283</v>
      </c>
      <c r="AF43" s="28">
        <v>1.0</v>
      </c>
      <c r="AG43" s="28" t="s">
        <v>263</v>
      </c>
      <c r="AH43" s="28">
        <v>1.0</v>
      </c>
    </row>
    <row r="44">
      <c r="A44" s="28" t="s">
        <v>311</v>
      </c>
      <c r="B44" s="28">
        <v>1.0</v>
      </c>
      <c r="C44" s="28" t="s">
        <v>261</v>
      </c>
      <c r="D44" s="28">
        <v>4.0</v>
      </c>
      <c r="E44" s="28" t="s">
        <v>257</v>
      </c>
      <c r="F44" s="28">
        <v>1.0</v>
      </c>
      <c r="G44" s="28" t="s">
        <v>302</v>
      </c>
      <c r="H44" s="28">
        <v>1.0</v>
      </c>
      <c r="I44" s="28" t="s">
        <v>362</v>
      </c>
      <c r="J44" s="28">
        <v>1.0</v>
      </c>
      <c r="K44" s="28" t="s">
        <v>311</v>
      </c>
      <c r="L44" s="28">
        <v>1.0</v>
      </c>
      <c r="M44" s="28" t="s">
        <v>285</v>
      </c>
      <c r="N44" s="28">
        <v>2.0</v>
      </c>
      <c r="O44" s="28" t="s">
        <v>249</v>
      </c>
      <c r="P44" s="28">
        <v>1.0</v>
      </c>
      <c r="Q44" s="28" t="s">
        <v>263</v>
      </c>
      <c r="R44" s="28">
        <v>1.0</v>
      </c>
      <c r="S44" s="28" t="s">
        <v>285</v>
      </c>
      <c r="T44" s="28">
        <v>2.0</v>
      </c>
      <c r="U44" s="28" t="s">
        <v>301</v>
      </c>
      <c r="V44" s="28">
        <v>1.0</v>
      </c>
      <c r="W44" s="28" t="s">
        <v>302</v>
      </c>
      <c r="X44" s="28">
        <v>1.0</v>
      </c>
      <c r="Y44" s="28" t="s">
        <v>257</v>
      </c>
      <c r="Z44" s="28">
        <v>1.0</v>
      </c>
      <c r="AA44" s="28" t="s">
        <v>323</v>
      </c>
      <c r="AB44" s="28">
        <v>1.0</v>
      </c>
      <c r="AC44" s="37" t="s">
        <v>304</v>
      </c>
      <c r="AD44" s="37">
        <v>1.0</v>
      </c>
      <c r="AE44" s="28" t="s">
        <v>311</v>
      </c>
      <c r="AF44" s="28">
        <v>1.0</v>
      </c>
      <c r="AG44" s="28" t="s">
        <v>261</v>
      </c>
      <c r="AH44" s="28">
        <v>2.0</v>
      </c>
    </row>
    <row r="45">
      <c r="A45" s="28" t="s">
        <v>261</v>
      </c>
      <c r="B45" s="28">
        <v>2.0</v>
      </c>
      <c r="C45" s="28" t="s">
        <v>271</v>
      </c>
      <c r="D45" s="28">
        <v>1.0</v>
      </c>
      <c r="E45" s="28" t="s">
        <v>475</v>
      </c>
      <c r="F45" s="28">
        <v>1.0</v>
      </c>
      <c r="G45" s="28" t="s">
        <v>261</v>
      </c>
      <c r="H45" s="28">
        <v>2.0</v>
      </c>
      <c r="I45" s="28" t="s">
        <v>372</v>
      </c>
      <c r="J45" s="28">
        <v>1.0</v>
      </c>
      <c r="K45" s="28" t="s">
        <v>261</v>
      </c>
      <c r="L45" s="28">
        <v>1.0</v>
      </c>
      <c r="M45" s="28" t="s">
        <v>317</v>
      </c>
      <c r="N45" s="28">
        <v>1.0</v>
      </c>
      <c r="O45" s="28" t="s">
        <v>258</v>
      </c>
      <c r="P45" s="28">
        <v>1.0</v>
      </c>
      <c r="Q45" s="28" t="s">
        <v>304</v>
      </c>
      <c r="R45" s="28">
        <v>1.0</v>
      </c>
      <c r="S45" s="28" t="s">
        <v>281</v>
      </c>
      <c r="T45" s="28">
        <v>4.0</v>
      </c>
      <c r="U45" s="28" t="s">
        <v>297</v>
      </c>
      <c r="V45" s="28">
        <v>1.0</v>
      </c>
      <c r="W45" s="28" t="s">
        <v>261</v>
      </c>
      <c r="X45" s="28">
        <v>2.0</v>
      </c>
      <c r="Y45" s="28" t="s">
        <v>304</v>
      </c>
      <c r="Z45" s="28">
        <v>2.0</v>
      </c>
      <c r="AA45" s="28" t="s">
        <v>307</v>
      </c>
      <c r="AB45" s="28">
        <v>1.0</v>
      </c>
      <c r="AC45" s="37" t="s">
        <v>311</v>
      </c>
      <c r="AD45" s="37">
        <v>1.0</v>
      </c>
      <c r="AE45" s="28" t="s">
        <v>261</v>
      </c>
      <c r="AF45" s="28">
        <v>3.0</v>
      </c>
      <c r="AG45" s="28" t="s">
        <v>285</v>
      </c>
      <c r="AH45" s="28">
        <v>1.0</v>
      </c>
    </row>
    <row r="46">
      <c r="A46" s="28" t="s">
        <v>281</v>
      </c>
      <c r="B46" s="28">
        <v>2.0</v>
      </c>
      <c r="C46" s="28" t="s">
        <v>294</v>
      </c>
      <c r="D46" s="28">
        <v>2.0</v>
      </c>
      <c r="E46" s="28" t="s">
        <v>304</v>
      </c>
      <c r="F46" s="28">
        <v>1.0</v>
      </c>
      <c r="G46" s="28" t="s">
        <v>281</v>
      </c>
      <c r="H46" s="28">
        <v>1.0</v>
      </c>
      <c r="I46" s="28" t="s">
        <v>309</v>
      </c>
      <c r="J46" s="28">
        <v>1.0</v>
      </c>
      <c r="K46" s="28" t="s">
        <v>285</v>
      </c>
      <c r="L46" s="28">
        <v>1.0</v>
      </c>
      <c r="M46" s="28" t="s">
        <v>319</v>
      </c>
      <c r="N46" s="28">
        <v>1.0</v>
      </c>
      <c r="O46" s="28" t="s">
        <v>304</v>
      </c>
      <c r="P46" s="28">
        <v>1.0</v>
      </c>
      <c r="Q46" s="28" t="s">
        <v>302</v>
      </c>
      <c r="R46" s="28">
        <v>1.0</v>
      </c>
      <c r="S46" s="28" t="s">
        <v>319</v>
      </c>
      <c r="T46" s="28">
        <v>1.0</v>
      </c>
      <c r="U46" s="28" t="s">
        <v>315</v>
      </c>
      <c r="V46" s="28">
        <v>1.0</v>
      </c>
      <c r="W46" s="28" t="s">
        <v>281</v>
      </c>
      <c r="X46" s="28">
        <v>3.0</v>
      </c>
      <c r="Y46" s="28" t="s">
        <v>261</v>
      </c>
      <c r="Z46" s="28">
        <v>7.0</v>
      </c>
      <c r="AA46" s="28" t="s">
        <v>343</v>
      </c>
      <c r="AB46" s="28">
        <v>1.0</v>
      </c>
      <c r="AC46" s="37" t="s">
        <v>261</v>
      </c>
      <c r="AD46" s="37">
        <v>3.0</v>
      </c>
      <c r="AE46" s="28" t="s">
        <v>285</v>
      </c>
      <c r="AF46" s="28">
        <v>4.0</v>
      </c>
      <c r="AG46" s="28" t="s">
        <v>281</v>
      </c>
      <c r="AH46" s="28">
        <v>2.0</v>
      </c>
    </row>
    <row r="47">
      <c r="A47" s="28" t="s">
        <v>306</v>
      </c>
      <c r="B47" s="28">
        <v>1.0</v>
      </c>
      <c r="C47" s="28" t="s">
        <v>317</v>
      </c>
      <c r="D47" s="28">
        <v>1.0</v>
      </c>
      <c r="E47" s="28" t="s">
        <v>261</v>
      </c>
      <c r="F47" s="28">
        <v>8.0</v>
      </c>
      <c r="G47" s="28" t="s">
        <v>294</v>
      </c>
      <c r="H47" s="28">
        <v>1.0</v>
      </c>
      <c r="I47" s="28" t="s">
        <v>354</v>
      </c>
      <c r="J47" s="28">
        <v>1.0</v>
      </c>
      <c r="K47" s="28" t="s">
        <v>281</v>
      </c>
      <c r="L47" s="28">
        <v>4.0</v>
      </c>
      <c r="M47" s="28" t="s">
        <v>306</v>
      </c>
      <c r="N47" s="28">
        <v>1.0</v>
      </c>
      <c r="O47" s="28" t="s">
        <v>311</v>
      </c>
      <c r="P47" s="28">
        <v>1.0</v>
      </c>
      <c r="Q47" s="28" t="s">
        <v>261</v>
      </c>
      <c r="R47" s="28">
        <v>2.0</v>
      </c>
      <c r="S47" s="28" t="s">
        <v>306</v>
      </c>
      <c r="T47" s="28">
        <v>1.0</v>
      </c>
      <c r="U47" s="28" t="s">
        <v>323</v>
      </c>
      <c r="V47" s="28">
        <v>2.0</v>
      </c>
      <c r="W47" s="28" t="s">
        <v>294</v>
      </c>
      <c r="X47" s="28">
        <v>1.0</v>
      </c>
      <c r="Y47" s="28" t="s">
        <v>294</v>
      </c>
      <c r="Z47" s="28">
        <v>1.0</v>
      </c>
      <c r="AA47" s="28" t="s">
        <v>352</v>
      </c>
      <c r="AB47" s="28">
        <v>1.0</v>
      </c>
      <c r="AC47" s="37" t="s">
        <v>285</v>
      </c>
      <c r="AD47" s="37">
        <v>1.0</v>
      </c>
      <c r="AE47" s="28" t="s">
        <v>294</v>
      </c>
      <c r="AF47" s="28">
        <v>1.0</v>
      </c>
      <c r="AG47" s="28" t="s">
        <v>294</v>
      </c>
      <c r="AH47" s="28">
        <v>2.0</v>
      </c>
    </row>
    <row r="48">
      <c r="A48" s="28" t="s">
        <v>315</v>
      </c>
      <c r="B48" s="28">
        <v>1.0</v>
      </c>
      <c r="C48" s="28" t="s">
        <v>301</v>
      </c>
      <c r="D48" s="28">
        <v>1.0</v>
      </c>
      <c r="E48" s="28" t="s">
        <v>271</v>
      </c>
      <c r="F48" s="28">
        <v>1.0</v>
      </c>
      <c r="G48" s="28" t="s">
        <v>319</v>
      </c>
      <c r="H48" s="28">
        <v>1.0</v>
      </c>
      <c r="I48" s="28" t="s">
        <v>314</v>
      </c>
      <c r="J48" s="28">
        <v>1.0</v>
      </c>
      <c r="K48" s="28" t="s">
        <v>319</v>
      </c>
      <c r="L48" s="28">
        <v>2.0</v>
      </c>
      <c r="M48" s="28" t="s">
        <v>301</v>
      </c>
      <c r="N48" s="28">
        <v>1.0</v>
      </c>
      <c r="O48" s="28" t="s">
        <v>261</v>
      </c>
      <c r="P48" s="28">
        <v>3.0</v>
      </c>
      <c r="Q48" s="28" t="s">
        <v>285</v>
      </c>
      <c r="R48" s="28">
        <v>4.0</v>
      </c>
      <c r="S48" s="28" t="s">
        <v>323</v>
      </c>
      <c r="T48" s="28">
        <v>1.0</v>
      </c>
      <c r="U48" s="28" t="s">
        <v>300</v>
      </c>
      <c r="V48" s="28">
        <v>2.0</v>
      </c>
      <c r="W48" s="28" t="s">
        <v>319</v>
      </c>
      <c r="X48" s="28">
        <v>1.0</v>
      </c>
      <c r="Y48" s="28" t="s">
        <v>317</v>
      </c>
      <c r="Z48" s="28">
        <v>2.0</v>
      </c>
      <c r="AA48" s="28" t="s">
        <v>372</v>
      </c>
      <c r="AB48" s="28">
        <v>1.0</v>
      </c>
      <c r="AC48" s="37" t="s">
        <v>281</v>
      </c>
      <c r="AD48" s="37">
        <v>3.0</v>
      </c>
      <c r="AE48" s="28" t="s">
        <v>306</v>
      </c>
      <c r="AF48" s="28">
        <v>2.0</v>
      </c>
      <c r="AG48" s="28" t="s">
        <v>323</v>
      </c>
      <c r="AH48" s="28">
        <v>1.0</v>
      </c>
    </row>
    <row r="49">
      <c r="A49" s="28" t="s">
        <v>323</v>
      </c>
      <c r="B49" s="28">
        <v>1.0</v>
      </c>
      <c r="C49" s="28" t="s">
        <v>297</v>
      </c>
      <c r="D49" s="28">
        <v>3.0</v>
      </c>
      <c r="E49" s="28" t="s">
        <v>319</v>
      </c>
      <c r="F49" s="28">
        <v>1.0</v>
      </c>
      <c r="G49" s="28" t="s">
        <v>301</v>
      </c>
      <c r="H49" s="28">
        <v>1.0</v>
      </c>
      <c r="I49" s="28" t="s">
        <v>385</v>
      </c>
      <c r="J49" s="28">
        <v>1.0</v>
      </c>
      <c r="K49" s="28" t="s">
        <v>306</v>
      </c>
      <c r="L49" s="28">
        <v>1.0</v>
      </c>
      <c r="M49" s="28" t="s">
        <v>297</v>
      </c>
      <c r="N49" s="28">
        <v>1.0</v>
      </c>
      <c r="O49" s="28" t="s">
        <v>285</v>
      </c>
      <c r="P49" s="28">
        <v>1.0</v>
      </c>
      <c r="Q49" s="28" t="s">
        <v>281</v>
      </c>
      <c r="R49" s="28">
        <v>2.0</v>
      </c>
      <c r="S49" s="28" t="s">
        <v>316</v>
      </c>
      <c r="T49" s="28">
        <v>1.0</v>
      </c>
      <c r="U49" s="28" t="s">
        <v>331</v>
      </c>
      <c r="V49" s="28">
        <v>2.0</v>
      </c>
      <c r="W49" s="28" t="s">
        <v>301</v>
      </c>
      <c r="X49" s="28">
        <v>2.0</v>
      </c>
      <c r="Y49" s="28" t="s">
        <v>319</v>
      </c>
      <c r="Z49" s="28">
        <v>1.0</v>
      </c>
      <c r="AA49" s="28" t="s">
        <v>312</v>
      </c>
      <c r="AB49" s="28">
        <v>1.0</v>
      </c>
      <c r="AC49" s="37" t="s">
        <v>294</v>
      </c>
      <c r="AD49" s="37">
        <v>1.0</v>
      </c>
      <c r="AE49" s="28" t="s">
        <v>301</v>
      </c>
      <c r="AF49" s="28">
        <v>2.0</v>
      </c>
      <c r="AG49" s="28" t="s">
        <v>300</v>
      </c>
      <c r="AH49" s="28">
        <v>2.0</v>
      </c>
    </row>
    <row r="50">
      <c r="A50" s="28" t="s">
        <v>300</v>
      </c>
      <c r="B50" s="28">
        <v>1.0</v>
      </c>
      <c r="C50" s="28" t="s">
        <v>331</v>
      </c>
      <c r="D50" s="28">
        <v>1.0</v>
      </c>
      <c r="E50" s="28" t="s">
        <v>301</v>
      </c>
      <c r="F50" s="28">
        <v>3.0</v>
      </c>
      <c r="G50" s="28" t="s">
        <v>297</v>
      </c>
      <c r="H50" s="28">
        <v>2.0</v>
      </c>
      <c r="I50" s="28" t="s">
        <v>379</v>
      </c>
      <c r="J50" s="28">
        <v>1.0</v>
      </c>
      <c r="K50" s="28" t="s">
        <v>301</v>
      </c>
      <c r="L50" s="28">
        <v>1.0</v>
      </c>
      <c r="M50" s="28" t="s">
        <v>323</v>
      </c>
      <c r="N50" s="28">
        <v>1.0</v>
      </c>
      <c r="O50" s="28" t="s">
        <v>301</v>
      </c>
      <c r="P50" s="28">
        <v>5.0</v>
      </c>
      <c r="Q50" s="28" t="s">
        <v>294</v>
      </c>
      <c r="R50" s="28">
        <v>1.0</v>
      </c>
      <c r="S50" s="28" t="s">
        <v>331</v>
      </c>
      <c r="T50" s="28">
        <v>1.0</v>
      </c>
      <c r="U50" s="28" t="s">
        <v>341</v>
      </c>
      <c r="V50" s="28">
        <v>2.0</v>
      </c>
      <c r="W50" s="28" t="s">
        <v>297</v>
      </c>
      <c r="X50" s="28">
        <v>1.0</v>
      </c>
      <c r="Y50" s="28" t="s">
        <v>306</v>
      </c>
      <c r="Z50" s="28">
        <v>2.0</v>
      </c>
      <c r="AA50" s="28" t="s">
        <v>335</v>
      </c>
      <c r="AB50" s="28">
        <v>1.0</v>
      </c>
      <c r="AC50" s="37" t="s">
        <v>317</v>
      </c>
      <c r="AD50" s="37">
        <v>1.0</v>
      </c>
      <c r="AE50" s="28" t="s">
        <v>297</v>
      </c>
      <c r="AF50" s="28">
        <v>1.0</v>
      </c>
      <c r="AG50" s="28" t="s">
        <v>331</v>
      </c>
      <c r="AH50" s="28">
        <v>1.0</v>
      </c>
    </row>
    <row r="51">
      <c r="A51" s="28" t="s">
        <v>307</v>
      </c>
      <c r="B51" s="28">
        <v>1.0</v>
      </c>
      <c r="C51" s="28" t="s">
        <v>310</v>
      </c>
      <c r="D51" s="28">
        <v>1.0</v>
      </c>
      <c r="E51" s="28" t="s">
        <v>315</v>
      </c>
      <c r="F51" s="28">
        <v>2.0</v>
      </c>
      <c r="G51" s="28" t="s">
        <v>331</v>
      </c>
      <c r="H51" s="28">
        <v>1.0</v>
      </c>
      <c r="I51" s="28" t="s">
        <v>392</v>
      </c>
      <c r="J51" s="28">
        <v>1.0</v>
      </c>
      <c r="K51" s="28" t="s">
        <v>297</v>
      </c>
      <c r="L51" s="28">
        <v>1.0</v>
      </c>
      <c r="M51" s="28" t="s">
        <v>340</v>
      </c>
      <c r="N51" s="28">
        <v>1.0</v>
      </c>
      <c r="O51" s="28" t="s">
        <v>297</v>
      </c>
      <c r="P51" s="28">
        <v>1.0</v>
      </c>
      <c r="Q51" s="28" t="s">
        <v>319</v>
      </c>
      <c r="R51" s="28">
        <v>2.0</v>
      </c>
      <c r="S51" s="28" t="s">
        <v>341</v>
      </c>
      <c r="T51" s="28">
        <v>1.0</v>
      </c>
      <c r="U51" s="28" t="s">
        <v>305</v>
      </c>
      <c r="V51" s="28">
        <v>1.0</v>
      </c>
      <c r="W51" s="28" t="s">
        <v>315</v>
      </c>
      <c r="X51" s="28">
        <v>1.0</v>
      </c>
      <c r="Y51" s="28" t="s">
        <v>301</v>
      </c>
      <c r="Z51" s="28">
        <v>4.0</v>
      </c>
      <c r="AA51" s="28" t="s">
        <v>366</v>
      </c>
      <c r="AB51" s="28">
        <v>1.0</v>
      </c>
      <c r="AC51" s="37" t="s">
        <v>319</v>
      </c>
      <c r="AD51" s="37">
        <v>1.0</v>
      </c>
      <c r="AE51" s="28" t="s">
        <v>315</v>
      </c>
      <c r="AF51" s="28">
        <v>2.0</v>
      </c>
      <c r="AG51" s="28" t="s">
        <v>340</v>
      </c>
      <c r="AH51" s="28">
        <v>1.0</v>
      </c>
    </row>
    <row r="52">
      <c r="A52" s="28" t="s">
        <v>331</v>
      </c>
      <c r="B52" s="28">
        <v>1.0</v>
      </c>
      <c r="C52" s="28" t="s">
        <v>341</v>
      </c>
      <c r="D52" s="28">
        <v>1.0</v>
      </c>
      <c r="E52" s="28" t="s">
        <v>307</v>
      </c>
      <c r="F52" s="28">
        <v>2.0</v>
      </c>
      <c r="G52" s="28" t="s">
        <v>310</v>
      </c>
      <c r="H52" s="28">
        <v>2.0</v>
      </c>
      <c r="I52" s="28" t="s">
        <v>329</v>
      </c>
      <c r="J52" s="28">
        <v>1.0</v>
      </c>
      <c r="K52" s="28" t="s">
        <v>315</v>
      </c>
      <c r="L52" s="28">
        <v>1.0</v>
      </c>
      <c r="M52" s="28" t="s">
        <v>341</v>
      </c>
      <c r="N52" s="28">
        <v>1.0</v>
      </c>
      <c r="O52" s="28" t="s">
        <v>315</v>
      </c>
      <c r="P52" s="28">
        <v>2.0</v>
      </c>
      <c r="Q52" s="28" t="s">
        <v>301</v>
      </c>
      <c r="R52" s="28">
        <v>1.0</v>
      </c>
      <c r="S52" s="28" t="s">
        <v>362</v>
      </c>
      <c r="T52" s="28">
        <v>1.0</v>
      </c>
      <c r="U52" s="28" t="s">
        <v>357</v>
      </c>
      <c r="V52" s="28">
        <v>1.0</v>
      </c>
      <c r="W52" s="28" t="s">
        <v>331</v>
      </c>
      <c r="X52" s="28">
        <v>1.0</v>
      </c>
      <c r="Y52" s="28" t="s">
        <v>315</v>
      </c>
      <c r="Z52" s="28">
        <v>1.0</v>
      </c>
      <c r="AA52" s="28" t="s">
        <v>356</v>
      </c>
      <c r="AB52" s="28">
        <v>1.0</v>
      </c>
      <c r="AC52" s="37" t="s">
        <v>331</v>
      </c>
      <c r="AD52" s="37">
        <v>2.0</v>
      </c>
      <c r="AE52" s="28" t="s">
        <v>323</v>
      </c>
      <c r="AF52" s="28">
        <v>1.0</v>
      </c>
      <c r="AG52" s="28" t="s">
        <v>362</v>
      </c>
      <c r="AH52" s="28">
        <v>1.0</v>
      </c>
    </row>
    <row r="53">
      <c r="A53" s="28" t="s">
        <v>341</v>
      </c>
      <c r="B53" s="28">
        <v>2.0</v>
      </c>
      <c r="C53" s="28" t="s">
        <v>347</v>
      </c>
      <c r="D53" s="28">
        <v>1.0</v>
      </c>
      <c r="E53" s="28" t="s">
        <v>316</v>
      </c>
      <c r="F53" s="28">
        <v>1.0</v>
      </c>
      <c r="G53" s="28" t="s">
        <v>305</v>
      </c>
      <c r="H53" s="28">
        <v>1.0</v>
      </c>
      <c r="I53" s="76"/>
      <c r="J53" s="76"/>
      <c r="K53" s="28" t="s">
        <v>300</v>
      </c>
      <c r="L53" s="28">
        <v>1.0</v>
      </c>
      <c r="M53" s="28" t="s">
        <v>343</v>
      </c>
      <c r="N53" s="28">
        <v>1.0</v>
      </c>
      <c r="O53" s="28" t="s">
        <v>323</v>
      </c>
      <c r="P53" s="28">
        <v>1.0</v>
      </c>
      <c r="Q53" s="28" t="s">
        <v>297</v>
      </c>
      <c r="R53" s="28">
        <v>1.0</v>
      </c>
      <c r="S53" s="28" t="s">
        <v>305</v>
      </c>
      <c r="T53" s="28">
        <v>1.0</v>
      </c>
      <c r="U53" s="28" t="s">
        <v>309</v>
      </c>
      <c r="V53" s="28">
        <v>1.0</v>
      </c>
      <c r="W53" s="28" t="s">
        <v>348</v>
      </c>
      <c r="X53" s="28">
        <v>3.0</v>
      </c>
      <c r="Y53" s="28" t="s">
        <v>300</v>
      </c>
      <c r="Z53" s="28">
        <v>1.0</v>
      </c>
      <c r="AA53" s="28" t="s">
        <v>364</v>
      </c>
      <c r="AB53" s="28">
        <v>1.0</v>
      </c>
      <c r="AC53" s="37" t="s">
        <v>348</v>
      </c>
      <c r="AD53" s="37">
        <v>1.0</v>
      </c>
      <c r="AE53" s="28" t="s">
        <v>331</v>
      </c>
      <c r="AF53" s="28">
        <v>2.0</v>
      </c>
      <c r="AG53" s="28" t="s">
        <v>344</v>
      </c>
      <c r="AH53" s="28">
        <v>1.0</v>
      </c>
    </row>
    <row r="54">
      <c r="A54" s="28" t="s">
        <v>305</v>
      </c>
      <c r="B54" s="28">
        <v>2.0</v>
      </c>
      <c r="C54" s="28" t="s">
        <v>320</v>
      </c>
      <c r="D54" s="28">
        <v>1.0</v>
      </c>
      <c r="E54" s="28" t="s">
        <v>331</v>
      </c>
      <c r="F54" s="28">
        <v>1.0</v>
      </c>
      <c r="G54" s="28" t="s">
        <v>349</v>
      </c>
      <c r="H54" s="28">
        <v>1.0</v>
      </c>
      <c r="I54" s="76"/>
      <c r="J54" s="79">
        <v>58.0</v>
      </c>
      <c r="K54" s="28" t="s">
        <v>316</v>
      </c>
      <c r="L54" s="28">
        <v>1.0</v>
      </c>
      <c r="M54" s="28" t="s">
        <v>360</v>
      </c>
      <c r="N54" s="28">
        <v>1.0</v>
      </c>
      <c r="O54" s="28" t="s">
        <v>307</v>
      </c>
      <c r="P54" s="28">
        <v>1.0</v>
      </c>
      <c r="Q54" s="28" t="s">
        <v>331</v>
      </c>
      <c r="R54" s="28">
        <v>2.0</v>
      </c>
      <c r="S54" s="28" t="s">
        <v>309</v>
      </c>
      <c r="T54" s="28">
        <v>1.0</v>
      </c>
      <c r="U54" s="28" t="s">
        <v>335</v>
      </c>
      <c r="V54" s="28">
        <v>1.0</v>
      </c>
      <c r="W54" s="28" t="s">
        <v>341</v>
      </c>
      <c r="X54" s="28">
        <v>1.0</v>
      </c>
      <c r="Y54" s="28" t="s">
        <v>307</v>
      </c>
      <c r="Z54" s="28">
        <v>1.0</v>
      </c>
      <c r="AA54" s="28" t="s">
        <v>370</v>
      </c>
      <c r="AB54" s="28">
        <v>1.0</v>
      </c>
      <c r="AC54" s="37" t="s">
        <v>352</v>
      </c>
      <c r="AD54" s="37">
        <v>1.0</v>
      </c>
      <c r="AE54" s="28" t="s">
        <v>336</v>
      </c>
      <c r="AF54" s="28">
        <v>1.0</v>
      </c>
      <c r="AG54" s="28" t="s">
        <v>305</v>
      </c>
      <c r="AH54" s="28">
        <v>1.0</v>
      </c>
    </row>
    <row r="55">
      <c r="A55" s="28" t="s">
        <v>357</v>
      </c>
      <c r="B55" s="28">
        <v>1.0</v>
      </c>
      <c r="C55" s="28" t="s">
        <v>367</v>
      </c>
      <c r="D55" s="28">
        <v>1.0</v>
      </c>
      <c r="E55" s="28" t="s">
        <v>340</v>
      </c>
      <c r="F55" s="28">
        <v>1.0</v>
      </c>
      <c r="G55" s="28" t="s">
        <v>361</v>
      </c>
      <c r="H55" s="28">
        <v>3.0</v>
      </c>
      <c r="K55" s="28" t="s">
        <v>331</v>
      </c>
      <c r="L55" s="28">
        <v>1.0</v>
      </c>
      <c r="M55" s="28" t="s">
        <v>320</v>
      </c>
      <c r="N55" s="28">
        <v>2.0</v>
      </c>
      <c r="O55" s="28" t="s">
        <v>340</v>
      </c>
      <c r="P55" s="28">
        <v>1.0</v>
      </c>
      <c r="Q55" s="28" t="s">
        <v>336</v>
      </c>
      <c r="R55" s="28">
        <v>1.0</v>
      </c>
      <c r="S55" s="28" t="s">
        <v>314</v>
      </c>
      <c r="T55" s="28">
        <v>1.0</v>
      </c>
      <c r="U55" s="28" t="s">
        <v>354</v>
      </c>
      <c r="V55" s="28">
        <v>1.0</v>
      </c>
      <c r="W55" s="28" t="s">
        <v>355</v>
      </c>
      <c r="X55" s="28">
        <v>1.0</v>
      </c>
      <c r="Y55" s="28" t="s">
        <v>348</v>
      </c>
      <c r="Z55" s="28">
        <v>1.0</v>
      </c>
      <c r="AA55" s="28" t="s">
        <v>329</v>
      </c>
      <c r="AB55" s="28">
        <v>1.0</v>
      </c>
      <c r="AC55" s="37" t="s">
        <v>305</v>
      </c>
      <c r="AD55" s="37">
        <v>1.0</v>
      </c>
      <c r="AE55" s="28" t="s">
        <v>343</v>
      </c>
      <c r="AF55" s="28">
        <v>1.0</v>
      </c>
      <c r="AG55" s="28" t="s">
        <v>309</v>
      </c>
      <c r="AH55" s="28">
        <v>2.0</v>
      </c>
    </row>
    <row r="56">
      <c r="A56" s="28" t="s">
        <v>320</v>
      </c>
      <c r="B56" s="28">
        <v>1.0</v>
      </c>
      <c r="C56" s="28" t="s">
        <v>366</v>
      </c>
      <c r="D56" s="28">
        <v>3.0</v>
      </c>
      <c r="E56" s="28" t="s">
        <v>310</v>
      </c>
      <c r="F56" s="28">
        <v>1.0</v>
      </c>
      <c r="G56" s="28" t="s">
        <v>486</v>
      </c>
      <c r="H56" s="28">
        <v>1.0</v>
      </c>
      <c r="K56" s="28" t="s">
        <v>336</v>
      </c>
      <c r="L56" s="28">
        <v>1.0</v>
      </c>
      <c r="M56" s="28" t="s">
        <v>309</v>
      </c>
      <c r="N56" s="28">
        <v>1.0</v>
      </c>
      <c r="O56" s="28" t="s">
        <v>343</v>
      </c>
      <c r="P56" s="28">
        <v>2.0</v>
      </c>
      <c r="Q56" s="28" t="s">
        <v>310</v>
      </c>
      <c r="R56" s="28">
        <v>1.0</v>
      </c>
      <c r="S56" s="28" t="s">
        <v>322</v>
      </c>
      <c r="T56" s="28">
        <v>1.0</v>
      </c>
      <c r="U56" s="28" t="s">
        <v>314</v>
      </c>
      <c r="V56" s="28">
        <v>1.0</v>
      </c>
      <c r="W56" s="28" t="s">
        <v>362</v>
      </c>
      <c r="X56" s="28">
        <v>1.0</v>
      </c>
      <c r="Y56" s="28" t="s">
        <v>341</v>
      </c>
      <c r="Z56" s="28">
        <v>3.0</v>
      </c>
      <c r="AA56" s="28" t="s">
        <v>353</v>
      </c>
      <c r="AB56" s="28">
        <v>1.0</v>
      </c>
      <c r="AC56" s="37" t="s">
        <v>309</v>
      </c>
      <c r="AD56" s="37">
        <v>1.0</v>
      </c>
      <c r="AE56" s="28" t="s">
        <v>352</v>
      </c>
      <c r="AF56" s="28">
        <v>2.0</v>
      </c>
      <c r="AG56" s="28" t="s">
        <v>367</v>
      </c>
      <c r="AH56" s="28">
        <v>1.0</v>
      </c>
    </row>
    <row r="57">
      <c r="A57" s="28" t="s">
        <v>309</v>
      </c>
      <c r="B57" s="28">
        <v>2.0</v>
      </c>
      <c r="C57" s="28" t="s">
        <v>314</v>
      </c>
      <c r="D57" s="28">
        <v>1.0</v>
      </c>
      <c r="E57" s="28" t="s">
        <v>341</v>
      </c>
      <c r="F57" s="28">
        <v>1.0</v>
      </c>
      <c r="G57" s="28" t="s">
        <v>370</v>
      </c>
      <c r="H57" s="28">
        <v>1.0</v>
      </c>
      <c r="K57" s="28" t="s">
        <v>343</v>
      </c>
      <c r="L57" s="28">
        <v>1.0</v>
      </c>
      <c r="M57" s="28" t="s">
        <v>354</v>
      </c>
      <c r="N57" s="28">
        <v>1.0</v>
      </c>
      <c r="O57" s="28" t="s">
        <v>305</v>
      </c>
      <c r="P57" s="28">
        <v>2.0</v>
      </c>
      <c r="Q57" s="28" t="s">
        <v>305</v>
      </c>
      <c r="R57" s="28">
        <v>2.0</v>
      </c>
      <c r="S57" s="28" t="s">
        <v>349</v>
      </c>
      <c r="T57" s="28">
        <v>1.0</v>
      </c>
      <c r="U57" s="28" t="s">
        <v>356</v>
      </c>
      <c r="V57" s="28">
        <v>3.0</v>
      </c>
      <c r="W57" s="28" t="s">
        <v>305</v>
      </c>
      <c r="X57" s="28">
        <v>1.0</v>
      </c>
      <c r="Y57" s="28" t="s">
        <v>343</v>
      </c>
      <c r="Z57" s="28">
        <v>2.0</v>
      </c>
      <c r="AA57" s="28"/>
      <c r="AB57" s="28"/>
      <c r="AC57" s="37" t="s">
        <v>312</v>
      </c>
      <c r="AD57" s="37">
        <v>1.0</v>
      </c>
      <c r="AE57" s="28" t="s">
        <v>305</v>
      </c>
      <c r="AF57" s="28">
        <v>1.0</v>
      </c>
      <c r="AG57" s="28" t="s">
        <v>314</v>
      </c>
      <c r="AH57" s="28">
        <v>1.0</v>
      </c>
    </row>
    <row r="58">
      <c r="A58" s="28" t="s">
        <v>312</v>
      </c>
      <c r="B58" s="28">
        <v>1.0</v>
      </c>
      <c r="C58" s="28" t="s">
        <v>379</v>
      </c>
      <c r="D58" s="28">
        <v>2.0</v>
      </c>
      <c r="E58" s="28" t="s">
        <v>343</v>
      </c>
      <c r="F58" s="28">
        <v>2.0</v>
      </c>
      <c r="G58" s="28" t="s">
        <v>353</v>
      </c>
      <c r="H58" s="28">
        <v>1.0</v>
      </c>
      <c r="K58" s="28" t="s">
        <v>305</v>
      </c>
      <c r="L58" s="28">
        <v>2.0</v>
      </c>
      <c r="M58" s="28" t="s">
        <v>366</v>
      </c>
      <c r="N58" s="28">
        <v>2.0</v>
      </c>
      <c r="O58" s="28" t="s">
        <v>320</v>
      </c>
      <c r="P58" s="28">
        <v>2.0</v>
      </c>
      <c r="Q58" s="28" t="s">
        <v>335</v>
      </c>
      <c r="R58" s="28">
        <v>1.0</v>
      </c>
      <c r="S58" s="28" t="s">
        <v>361</v>
      </c>
      <c r="T58" s="28">
        <v>2.0</v>
      </c>
      <c r="U58" s="28" t="s">
        <v>378</v>
      </c>
      <c r="V58" s="28">
        <v>1.0</v>
      </c>
      <c r="W58" s="28" t="s">
        <v>320</v>
      </c>
      <c r="X58" s="28">
        <v>1.0</v>
      </c>
      <c r="Y58" s="28" t="s">
        <v>352</v>
      </c>
      <c r="Z58" s="28">
        <v>1.0</v>
      </c>
      <c r="AA58" s="28"/>
      <c r="AB58" s="126">
        <v>67.0</v>
      </c>
      <c r="AC58" s="37" t="s">
        <v>314</v>
      </c>
      <c r="AD58" s="37">
        <v>1.0</v>
      </c>
      <c r="AE58" s="28" t="s">
        <v>354</v>
      </c>
      <c r="AF58" s="28">
        <v>2.0</v>
      </c>
      <c r="AG58" s="28" t="s">
        <v>322</v>
      </c>
      <c r="AH58" s="28">
        <v>1.0</v>
      </c>
    </row>
    <row r="59">
      <c r="A59" s="28" t="s">
        <v>354</v>
      </c>
      <c r="B59" s="28">
        <v>2.0</v>
      </c>
      <c r="C59" s="28" t="s">
        <v>356</v>
      </c>
      <c r="D59" s="28">
        <v>1.0</v>
      </c>
      <c r="E59" s="28" t="s">
        <v>352</v>
      </c>
      <c r="F59" s="28">
        <v>1.0</v>
      </c>
      <c r="K59" s="28" t="s">
        <v>357</v>
      </c>
      <c r="L59" s="28">
        <v>1.0</v>
      </c>
      <c r="M59" s="28" t="s">
        <v>379</v>
      </c>
      <c r="N59" s="28">
        <v>2.0</v>
      </c>
      <c r="O59" s="28" t="s">
        <v>309</v>
      </c>
      <c r="P59" s="28">
        <v>1.0</v>
      </c>
      <c r="Q59" s="28" t="s">
        <v>379</v>
      </c>
      <c r="R59" s="28">
        <v>1.0</v>
      </c>
      <c r="S59" s="28" t="s">
        <v>383</v>
      </c>
      <c r="T59" s="28">
        <v>2.0</v>
      </c>
      <c r="U59" s="28" t="s">
        <v>361</v>
      </c>
      <c r="V59" s="28">
        <v>2.0</v>
      </c>
      <c r="W59" s="28" t="s">
        <v>367</v>
      </c>
      <c r="X59" s="28">
        <v>1.0</v>
      </c>
      <c r="Y59" s="28" t="s">
        <v>355</v>
      </c>
      <c r="Z59" s="28">
        <v>1.0</v>
      </c>
      <c r="AA59" s="127"/>
      <c r="AB59" s="127"/>
      <c r="AC59" s="37" t="s">
        <v>356</v>
      </c>
      <c r="AD59" s="37">
        <v>1.0</v>
      </c>
      <c r="AE59" s="28" t="s">
        <v>367</v>
      </c>
      <c r="AF59" s="28">
        <v>2.0</v>
      </c>
      <c r="AG59" s="28" t="s">
        <v>378</v>
      </c>
      <c r="AH59" s="28">
        <v>1.0</v>
      </c>
    </row>
    <row r="60">
      <c r="A60" s="28" t="s">
        <v>367</v>
      </c>
      <c r="B60" s="28">
        <v>1.0</v>
      </c>
      <c r="C60" s="28" t="s">
        <v>364</v>
      </c>
      <c r="D60" s="28">
        <v>1.0</v>
      </c>
      <c r="E60" s="28" t="s">
        <v>355</v>
      </c>
      <c r="F60" s="28">
        <v>1.0</v>
      </c>
      <c r="G60" s="76"/>
      <c r="H60" s="79">
        <v>70.0</v>
      </c>
      <c r="K60" s="28" t="s">
        <v>309</v>
      </c>
      <c r="L60" s="28">
        <v>1.0</v>
      </c>
      <c r="M60" s="28" t="s">
        <v>356</v>
      </c>
      <c r="N60" s="28">
        <v>1.0</v>
      </c>
      <c r="O60" s="28" t="s">
        <v>335</v>
      </c>
      <c r="P60" s="28">
        <v>1.0</v>
      </c>
      <c r="Q60" s="28" t="s">
        <v>356</v>
      </c>
      <c r="R60" s="28">
        <v>2.0</v>
      </c>
      <c r="S60" s="28" t="s">
        <v>368</v>
      </c>
      <c r="T60" s="28">
        <v>1.0</v>
      </c>
      <c r="U60" s="28" t="s">
        <v>486</v>
      </c>
      <c r="V60" s="28">
        <v>2.0</v>
      </c>
      <c r="W60" s="28" t="s">
        <v>366</v>
      </c>
      <c r="X60" s="28">
        <v>2.0</v>
      </c>
      <c r="Y60" s="28" t="s">
        <v>359</v>
      </c>
      <c r="Z60" s="28">
        <v>1.0</v>
      </c>
      <c r="AA60" s="127"/>
      <c r="AB60" s="127"/>
      <c r="AC60" s="37" t="s">
        <v>322</v>
      </c>
      <c r="AD60" s="37">
        <v>1.0</v>
      </c>
      <c r="AE60" s="28" t="s">
        <v>379</v>
      </c>
      <c r="AF60" s="28">
        <v>3.0</v>
      </c>
      <c r="AG60" s="28" t="s">
        <v>364</v>
      </c>
      <c r="AH60" s="28">
        <v>1.0</v>
      </c>
    </row>
    <row r="61">
      <c r="A61" s="28" t="s">
        <v>314</v>
      </c>
      <c r="B61" s="28">
        <v>1.0</v>
      </c>
      <c r="C61" s="28" t="s">
        <v>368</v>
      </c>
      <c r="D61" s="28">
        <v>1.0</v>
      </c>
      <c r="E61" s="28" t="s">
        <v>305</v>
      </c>
      <c r="F61" s="28">
        <v>3.0</v>
      </c>
      <c r="G61" s="76"/>
      <c r="K61" s="28" t="s">
        <v>312</v>
      </c>
      <c r="L61" s="28">
        <v>1.0</v>
      </c>
      <c r="M61" s="28" t="s">
        <v>361</v>
      </c>
      <c r="N61" s="28">
        <v>1.0</v>
      </c>
      <c r="O61" s="28" t="s">
        <v>354</v>
      </c>
      <c r="P61" s="28">
        <v>4.0</v>
      </c>
      <c r="Q61" s="28" t="s">
        <v>486</v>
      </c>
      <c r="R61" s="28">
        <v>1.0</v>
      </c>
      <c r="S61" s="28" t="s">
        <v>353</v>
      </c>
      <c r="T61" s="28">
        <v>1.0</v>
      </c>
      <c r="U61" s="28" t="s">
        <v>334</v>
      </c>
      <c r="V61" s="28">
        <v>1.0</v>
      </c>
      <c r="W61" s="28" t="s">
        <v>383</v>
      </c>
      <c r="X61" s="28">
        <v>1.0</v>
      </c>
      <c r="Y61" s="28" t="s">
        <v>344</v>
      </c>
      <c r="Z61" s="28">
        <v>1.0</v>
      </c>
      <c r="AA61" s="127"/>
      <c r="AB61" s="127"/>
      <c r="AC61" s="37" t="s">
        <v>361</v>
      </c>
      <c r="AD61" s="37">
        <v>1.0</v>
      </c>
      <c r="AE61" s="28" t="s">
        <v>356</v>
      </c>
      <c r="AF61" s="28">
        <v>1.0</v>
      </c>
      <c r="AG61" s="28" t="s">
        <v>383</v>
      </c>
      <c r="AH61" s="28">
        <v>1.0</v>
      </c>
    </row>
    <row r="62">
      <c r="A62" s="28" t="s">
        <v>379</v>
      </c>
      <c r="B62" s="28">
        <v>1.0</v>
      </c>
      <c r="C62" s="28" t="s">
        <v>353</v>
      </c>
      <c r="D62" s="28">
        <v>1.0</v>
      </c>
      <c r="E62" s="28" t="s">
        <v>320</v>
      </c>
      <c r="F62" s="28">
        <v>1.0</v>
      </c>
      <c r="K62" s="28" t="s">
        <v>367</v>
      </c>
      <c r="L62" s="28">
        <v>1.0</v>
      </c>
      <c r="M62" s="28" t="s">
        <v>364</v>
      </c>
      <c r="N62" s="28">
        <v>1.0</v>
      </c>
      <c r="O62" s="28" t="s">
        <v>367</v>
      </c>
      <c r="P62" s="28">
        <v>2.0</v>
      </c>
      <c r="Q62" s="28" t="s">
        <v>370</v>
      </c>
      <c r="R62" s="28">
        <v>1.0</v>
      </c>
      <c r="S62" s="28" t="s">
        <v>346</v>
      </c>
      <c r="T62" s="28">
        <v>1.0</v>
      </c>
      <c r="U62" s="28" t="s">
        <v>353</v>
      </c>
      <c r="V62" s="28">
        <v>2.0</v>
      </c>
      <c r="W62" s="28" t="s">
        <v>329</v>
      </c>
      <c r="X62" s="28">
        <v>1.0</v>
      </c>
      <c r="Y62" s="28" t="s">
        <v>350</v>
      </c>
      <c r="Z62" s="28">
        <v>1.0</v>
      </c>
      <c r="AA62" s="127"/>
      <c r="AB62" s="127"/>
      <c r="AC62" s="37" t="s">
        <v>329</v>
      </c>
      <c r="AD62" s="37">
        <v>1.0</v>
      </c>
      <c r="AE62" s="28" t="s">
        <v>322</v>
      </c>
      <c r="AF62" s="28">
        <v>1.0</v>
      </c>
      <c r="AG62" s="28" t="s">
        <v>329</v>
      </c>
      <c r="AH62" s="28">
        <v>1.0</v>
      </c>
    </row>
    <row r="63">
      <c r="A63" s="28" t="s">
        <v>322</v>
      </c>
      <c r="B63" s="28">
        <v>1.0</v>
      </c>
      <c r="C63" s="28" t="s">
        <v>339</v>
      </c>
      <c r="D63" s="28">
        <v>1.0</v>
      </c>
      <c r="E63" s="28" t="s">
        <v>309</v>
      </c>
      <c r="F63" s="28">
        <v>1.0</v>
      </c>
      <c r="K63" s="28" t="s">
        <v>366</v>
      </c>
      <c r="L63" s="28">
        <v>1.0</v>
      </c>
      <c r="M63" s="28" t="s">
        <v>370</v>
      </c>
      <c r="N63" s="28">
        <v>1.0</v>
      </c>
      <c r="O63" s="28" t="s">
        <v>366</v>
      </c>
      <c r="P63" s="28">
        <v>4.0</v>
      </c>
      <c r="Q63" s="28" t="s">
        <v>346</v>
      </c>
      <c r="R63" s="28">
        <v>2.0</v>
      </c>
      <c r="S63" s="76"/>
      <c r="T63" s="76"/>
      <c r="U63" s="28" t="s">
        <v>339</v>
      </c>
      <c r="V63" s="28">
        <v>1.0</v>
      </c>
      <c r="W63" s="28" t="s">
        <v>374</v>
      </c>
      <c r="X63" s="28">
        <v>1.0</v>
      </c>
      <c r="Y63" s="28" t="s">
        <v>305</v>
      </c>
      <c r="Z63" s="28">
        <v>3.0</v>
      </c>
      <c r="AA63" s="127"/>
      <c r="AB63" s="127"/>
      <c r="AC63" s="129" t="s">
        <v>368</v>
      </c>
      <c r="AD63" s="129">
        <v>1.0</v>
      </c>
      <c r="AE63" s="28" t="s">
        <v>361</v>
      </c>
      <c r="AF63" s="28">
        <v>2.0</v>
      </c>
      <c r="AG63" s="28" t="s">
        <v>334</v>
      </c>
      <c r="AH63" s="28">
        <v>1.0</v>
      </c>
    </row>
    <row r="64">
      <c r="A64" s="28" t="s">
        <v>383</v>
      </c>
      <c r="B64" s="28">
        <v>2.0</v>
      </c>
      <c r="C64" s="28" t="s">
        <v>487</v>
      </c>
      <c r="D64" s="28">
        <v>1.0</v>
      </c>
      <c r="E64" s="28" t="s">
        <v>335</v>
      </c>
      <c r="F64" s="28">
        <v>1.0</v>
      </c>
      <c r="K64" s="28" t="s">
        <v>314</v>
      </c>
      <c r="L64" s="28">
        <v>3.0</v>
      </c>
      <c r="M64" s="28" t="s">
        <v>334</v>
      </c>
      <c r="N64" s="28">
        <v>1.0</v>
      </c>
      <c r="O64" s="28" t="s">
        <v>314</v>
      </c>
      <c r="P64" s="28">
        <v>1.0</v>
      </c>
      <c r="Q64" s="76"/>
      <c r="R64" s="76"/>
      <c r="S64" s="76"/>
      <c r="T64" s="79">
        <v>62.0</v>
      </c>
      <c r="U64" s="28" t="s">
        <v>346</v>
      </c>
      <c r="V64" s="28">
        <v>3.0</v>
      </c>
      <c r="W64" s="28" t="s">
        <v>368</v>
      </c>
      <c r="X64" s="28">
        <v>1.0</v>
      </c>
      <c r="Y64" s="28" t="s">
        <v>320</v>
      </c>
      <c r="Z64" s="28">
        <v>3.0</v>
      </c>
      <c r="AA64" s="127"/>
      <c r="AB64" s="127"/>
      <c r="AC64" s="129" t="s">
        <v>353</v>
      </c>
      <c r="AD64" s="129">
        <v>1.0</v>
      </c>
      <c r="AE64" s="28" t="s">
        <v>383</v>
      </c>
      <c r="AF64" s="28">
        <v>1.0</v>
      </c>
      <c r="AG64" s="28" t="s">
        <v>346</v>
      </c>
      <c r="AH64" s="28">
        <v>1.0</v>
      </c>
    </row>
    <row r="65">
      <c r="A65" s="28" t="s">
        <v>486</v>
      </c>
      <c r="B65" s="28">
        <v>1.0</v>
      </c>
      <c r="C65" s="76"/>
      <c r="D65" s="76"/>
      <c r="E65" s="28" t="s">
        <v>367</v>
      </c>
      <c r="F65" s="28">
        <v>2.0</v>
      </c>
      <c r="K65" s="28" t="s">
        <v>356</v>
      </c>
      <c r="L65" s="28">
        <v>2.0</v>
      </c>
      <c r="M65" s="28" t="s">
        <v>339</v>
      </c>
      <c r="N65" s="28">
        <v>1.0</v>
      </c>
      <c r="O65" s="28" t="s">
        <v>379</v>
      </c>
      <c r="P65" s="28">
        <v>1.0</v>
      </c>
      <c r="Q65" s="76"/>
      <c r="R65" s="79">
        <v>74.0</v>
      </c>
      <c r="U65" s="28" t="s">
        <v>487</v>
      </c>
      <c r="V65" s="28">
        <v>1.0</v>
      </c>
      <c r="W65" s="28" t="s">
        <v>353</v>
      </c>
      <c r="X65" s="28">
        <v>1.0</v>
      </c>
      <c r="Y65" s="28" t="s">
        <v>335</v>
      </c>
      <c r="Z65" s="28">
        <v>1.0</v>
      </c>
      <c r="AA65" s="127"/>
      <c r="AB65" s="127"/>
      <c r="AC65" s="28"/>
      <c r="AD65" s="28"/>
      <c r="AE65" s="28" t="s">
        <v>486</v>
      </c>
      <c r="AF65" s="28">
        <v>1.0</v>
      </c>
      <c r="AG65" s="28"/>
      <c r="AH65" s="28"/>
    </row>
    <row r="66">
      <c r="A66" s="28" t="s">
        <v>334</v>
      </c>
      <c r="B66" s="28">
        <v>2.0</v>
      </c>
      <c r="C66" s="76"/>
      <c r="D66" s="79">
        <v>68.0</v>
      </c>
      <c r="E66" s="28" t="s">
        <v>366</v>
      </c>
      <c r="F66" s="28">
        <v>3.0</v>
      </c>
      <c r="K66" s="28" t="s">
        <v>322</v>
      </c>
      <c r="L66" s="28">
        <v>2.0</v>
      </c>
      <c r="M66" s="76"/>
      <c r="N66" s="76"/>
      <c r="O66" s="28" t="s">
        <v>378</v>
      </c>
      <c r="P66" s="28">
        <v>1.0</v>
      </c>
      <c r="U66" s="76"/>
      <c r="V66" s="76"/>
      <c r="W66" s="28" t="s">
        <v>487</v>
      </c>
      <c r="X66" s="28">
        <v>1.0</v>
      </c>
      <c r="Y66" s="28" t="s">
        <v>354</v>
      </c>
      <c r="Z66" s="28">
        <v>3.0</v>
      </c>
      <c r="AA66" s="127"/>
      <c r="AB66" s="127"/>
      <c r="AC66" s="28"/>
      <c r="AD66" s="126">
        <v>67.0</v>
      </c>
      <c r="AE66" s="28" t="s">
        <v>334</v>
      </c>
      <c r="AF66" s="28">
        <v>1.0</v>
      </c>
      <c r="AG66" s="28"/>
      <c r="AH66" s="126">
        <v>60.0</v>
      </c>
    </row>
    <row r="67">
      <c r="A67" s="28" t="s">
        <v>353</v>
      </c>
      <c r="B67" s="28">
        <v>2.0</v>
      </c>
      <c r="E67" s="28" t="s">
        <v>314</v>
      </c>
      <c r="F67" s="28">
        <v>1.0</v>
      </c>
      <c r="K67" s="28" t="s">
        <v>361</v>
      </c>
      <c r="L67" s="28">
        <v>1.0</v>
      </c>
      <c r="M67" s="76"/>
      <c r="N67" s="79">
        <v>69.0</v>
      </c>
      <c r="O67" s="28" t="s">
        <v>327</v>
      </c>
      <c r="P67" s="28">
        <v>2.0</v>
      </c>
      <c r="U67" s="76"/>
      <c r="V67" s="79">
        <v>87.0</v>
      </c>
      <c r="W67" s="76"/>
      <c r="X67" s="76"/>
      <c r="Y67" s="28" t="s">
        <v>366</v>
      </c>
      <c r="Z67" s="28">
        <v>2.0</v>
      </c>
      <c r="AA67" s="127"/>
      <c r="AB67" s="127"/>
      <c r="AC67" s="127"/>
      <c r="AD67" s="127"/>
      <c r="AE67" s="28" t="s">
        <v>368</v>
      </c>
      <c r="AF67" s="28">
        <v>1.0</v>
      </c>
      <c r="AG67" s="127"/>
      <c r="AH67" s="127"/>
    </row>
    <row r="68">
      <c r="A68" s="28" t="s">
        <v>487</v>
      </c>
      <c r="B68" s="28">
        <v>1.0</v>
      </c>
      <c r="E68" s="28" t="s">
        <v>379</v>
      </c>
      <c r="F68" s="28">
        <v>1.0</v>
      </c>
      <c r="K68" s="28" t="s">
        <v>488</v>
      </c>
      <c r="L68" s="28">
        <v>1.0</v>
      </c>
      <c r="O68" s="28" t="s">
        <v>349</v>
      </c>
      <c r="P68" s="28">
        <v>2.0</v>
      </c>
      <c r="W68" s="76"/>
      <c r="X68" s="79">
        <v>68.0</v>
      </c>
      <c r="Y68" s="28" t="s">
        <v>314</v>
      </c>
      <c r="Z68" s="28">
        <v>1.0</v>
      </c>
      <c r="AA68" s="127"/>
      <c r="AB68" s="127"/>
      <c r="AC68" s="127"/>
      <c r="AD68" s="127"/>
      <c r="AE68" s="28" t="s">
        <v>353</v>
      </c>
      <c r="AF68" s="28">
        <v>1.0</v>
      </c>
      <c r="AG68" s="127"/>
      <c r="AH68" s="127"/>
    </row>
    <row r="69">
      <c r="A69" s="76"/>
      <c r="B69" s="76"/>
      <c r="E69" s="28" t="s">
        <v>356</v>
      </c>
      <c r="F69" s="28">
        <v>3.0</v>
      </c>
      <c r="K69" s="28" t="s">
        <v>383</v>
      </c>
      <c r="L69" s="28">
        <v>1.0</v>
      </c>
      <c r="O69" s="28" t="s">
        <v>370</v>
      </c>
      <c r="P69" s="28">
        <v>1.0</v>
      </c>
      <c r="Y69" s="28" t="s">
        <v>379</v>
      </c>
      <c r="Z69" s="28">
        <v>3.0</v>
      </c>
      <c r="AA69" s="127"/>
      <c r="AB69" s="127"/>
      <c r="AC69" s="127"/>
      <c r="AD69" s="127"/>
      <c r="AE69" s="28" t="s">
        <v>346</v>
      </c>
      <c r="AF69" s="28">
        <v>1.0</v>
      </c>
      <c r="AG69" s="127"/>
      <c r="AH69" s="127"/>
    </row>
    <row r="70">
      <c r="A70" s="76"/>
      <c r="B70" s="79">
        <v>92.0</v>
      </c>
      <c r="E70" s="28" t="s">
        <v>361</v>
      </c>
      <c r="F70" s="28">
        <v>2.0</v>
      </c>
      <c r="K70" s="28" t="s">
        <v>370</v>
      </c>
      <c r="L70" s="28">
        <v>1.0</v>
      </c>
      <c r="O70" s="28" t="s">
        <v>329</v>
      </c>
      <c r="P70" s="28">
        <v>1.0</v>
      </c>
      <c r="Y70" s="28" t="s">
        <v>356</v>
      </c>
      <c r="Z70" s="28">
        <v>1.0</v>
      </c>
      <c r="AA70" s="127"/>
      <c r="AB70" s="127"/>
      <c r="AC70" s="127"/>
      <c r="AD70" s="127"/>
      <c r="AE70" s="28" t="s">
        <v>487</v>
      </c>
      <c r="AF70" s="28">
        <v>1.0</v>
      </c>
      <c r="AG70" s="127"/>
      <c r="AH70" s="127"/>
    </row>
    <row r="71">
      <c r="E71" s="28" t="s">
        <v>364</v>
      </c>
      <c r="F71" s="28">
        <v>1.0</v>
      </c>
      <c r="K71" s="28" t="s">
        <v>489</v>
      </c>
      <c r="L71" s="28">
        <v>1.0</v>
      </c>
      <c r="O71" s="28" t="s">
        <v>334</v>
      </c>
      <c r="P71" s="28">
        <v>1.0</v>
      </c>
      <c r="Y71" s="28" t="s">
        <v>378</v>
      </c>
      <c r="Z71" s="28">
        <v>1.0</v>
      </c>
      <c r="AA71" s="127"/>
      <c r="AB71" s="127"/>
      <c r="AC71" s="127"/>
      <c r="AD71" s="127"/>
      <c r="AE71" s="28"/>
      <c r="AF71" s="28"/>
      <c r="AG71" s="127"/>
      <c r="AH71" s="127"/>
    </row>
    <row r="72">
      <c r="E72" s="28" t="s">
        <v>383</v>
      </c>
      <c r="F72" s="28">
        <v>1.0</v>
      </c>
      <c r="K72" s="28" t="s">
        <v>334</v>
      </c>
      <c r="L72" s="28">
        <v>1.0</v>
      </c>
      <c r="O72" s="28" t="s">
        <v>368</v>
      </c>
      <c r="P72" s="28">
        <v>1.0</v>
      </c>
      <c r="Y72" s="28" t="s">
        <v>383</v>
      </c>
      <c r="Z72" s="28">
        <v>2.0</v>
      </c>
      <c r="AA72" s="127"/>
      <c r="AB72" s="127"/>
      <c r="AC72" s="127"/>
      <c r="AD72" s="127"/>
      <c r="AE72" s="28"/>
      <c r="AF72" s="126">
        <v>90.0</v>
      </c>
      <c r="AG72" s="133"/>
      <c r="AH72" s="133"/>
    </row>
    <row r="73">
      <c r="E73" s="28" t="s">
        <v>370</v>
      </c>
      <c r="F73" s="28">
        <v>1.0</v>
      </c>
      <c r="K73" s="28" t="s">
        <v>346</v>
      </c>
      <c r="L73" s="28">
        <v>2.0</v>
      </c>
      <c r="O73" s="28" t="s">
        <v>353</v>
      </c>
      <c r="P73" s="28">
        <v>3.0</v>
      </c>
      <c r="Y73" s="28" t="s">
        <v>486</v>
      </c>
      <c r="Z73" s="28">
        <v>1.0</v>
      </c>
      <c r="AA73" s="127"/>
      <c r="AB73" s="127"/>
      <c r="AC73" s="127"/>
      <c r="AD73" s="127"/>
      <c r="AE73" s="127"/>
      <c r="AF73" s="127"/>
      <c r="AG73" s="127"/>
      <c r="AH73" s="127"/>
    </row>
    <row r="74">
      <c r="E74" s="28" t="s">
        <v>334</v>
      </c>
      <c r="F74" s="28">
        <v>1.0</v>
      </c>
      <c r="K74" s="28" t="s">
        <v>487</v>
      </c>
      <c r="L74" s="28">
        <v>1.0</v>
      </c>
      <c r="O74" s="28" t="s">
        <v>339</v>
      </c>
      <c r="P74" s="28">
        <v>1.0</v>
      </c>
      <c r="Y74" s="28" t="s">
        <v>489</v>
      </c>
      <c r="Z74" s="28">
        <v>1.0</v>
      </c>
      <c r="AA74" s="127"/>
      <c r="AB74" s="127"/>
      <c r="AC74" s="127"/>
      <c r="AD74" s="127"/>
      <c r="AE74" s="127"/>
      <c r="AF74" s="127"/>
      <c r="AG74" s="127"/>
      <c r="AH74" s="127"/>
    </row>
    <row r="75">
      <c r="E75" s="28" t="s">
        <v>368</v>
      </c>
      <c r="F75" s="28">
        <v>1.0</v>
      </c>
      <c r="K75" s="76"/>
      <c r="L75" s="76"/>
      <c r="O75" s="28" t="s">
        <v>346</v>
      </c>
      <c r="P75" s="28">
        <v>1.0</v>
      </c>
      <c r="Y75" s="28" t="s">
        <v>334</v>
      </c>
      <c r="Z75" s="28">
        <v>2.0</v>
      </c>
      <c r="AA75" s="127"/>
      <c r="AB75" s="127"/>
      <c r="AC75" s="127"/>
      <c r="AD75" s="127"/>
      <c r="AE75" s="127"/>
      <c r="AF75" s="127"/>
      <c r="AG75" s="127"/>
      <c r="AH75" s="127"/>
    </row>
    <row r="76">
      <c r="E76" s="28" t="s">
        <v>353</v>
      </c>
      <c r="F76" s="28">
        <v>4.0</v>
      </c>
      <c r="K76" s="76"/>
      <c r="L76" s="79">
        <v>91.0</v>
      </c>
      <c r="O76" s="28" t="s">
        <v>487</v>
      </c>
      <c r="P76" s="28">
        <v>1.0</v>
      </c>
      <c r="Y76" s="28" t="s">
        <v>368</v>
      </c>
      <c r="Z76" s="28">
        <v>1.0</v>
      </c>
      <c r="AA76" s="127"/>
      <c r="AB76" s="127"/>
      <c r="AC76" s="127"/>
      <c r="AD76" s="127"/>
      <c r="AE76" s="127"/>
      <c r="AF76" s="127"/>
      <c r="AG76" s="127"/>
      <c r="AH76" s="127"/>
    </row>
    <row r="77">
      <c r="E77" s="28" t="s">
        <v>339</v>
      </c>
      <c r="F77" s="28">
        <v>1.0</v>
      </c>
      <c r="O77" s="76"/>
      <c r="P77" s="76"/>
      <c r="Y77" s="28" t="s">
        <v>353</v>
      </c>
      <c r="Z77" s="28">
        <v>3.0</v>
      </c>
      <c r="AA77" s="127"/>
      <c r="AB77" s="127"/>
      <c r="AC77" s="127"/>
      <c r="AD77" s="127"/>
      <c r="AE77" s="127"/>
      <c r="AF77" s="127"/>
      <c r="AG77" s="127"/>
      <c r="AH77" s="127"/>
    </row>
    <row r="78">
      <c r="E78" s="28" t="s">
        <v>346</v>
      </c>
      <c r="F78" s="28">
        <v>3.0</v>
      </c>
      <c r="O78" s="76"/>
      <c r="P78" s="79">
        <v>104.0</v>
      </c>
      <c r="Y78" s="28" t="s">
        <v>346</v>
      </c>
      <c r="Z78" s="28">
        <v>2.0</v>
      </c>
      <c r="AA78" s="127"/>
      <c r="AB78" s="127"/>
      <c r="AC78" s="127"/>
      <c r="AD78" s="127"/>
      <c r="AE78" s="127"/>
      <c r="AF78" s="127"/>
      <c r="AG78" s="127"/>
      <c r="AH78" s="127"/>
    </row>
    <row r="79">
      <c r="E79" s="28" t="s">
        <v>487</v>
      </c>
      <c r="F79" s="28">
        <v>1.0</v>
      </c>
      <c r="Y79" s="76"/>
      <c r="Z79" s="76"/>
      <c r="AA79" s="134"/>
      <c r="AB79" s="134"/>
      <c r="AC79" s="134"/>
      <c r="AD79" s="134"/>
      <c r="AE79" s="134"/>
      <c r="AF79" s="134"/>
      <c r="AG79" s="134"/>
      <c r="AH79" s="134"/>
    </row>
    <row r="80">
      <c r="E80" s="76"/>
      <c r="F80" s="76"/>
      <c r="Y80" s="76"/>
      <c r="Z80" s="79">
        <v>107.0</v>
      </c>
      <c r="AA80" s="135"/>
      <c r="AB80" s="135"/>
      <c r="AC80" s="135"/>
      <c r="AD80" s="135"/>
      <c r="AE80" s="135"/>
      <c r="AF80" s="135"/>
      <c r="AG80" s="135"/>
      <c r="AH80" s="135"/>
    </row>
    <row r="81">
      <c r="E81" s="76"/>
      <c r="F81" s="79">
        <v>105.0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8.63"/>
    <col hidden="1" min="2" max="2" width="12.63"/>
    <col customWidth="1" hidden="1" min="3" max="3" width="38.63"/>
    <col hidden="1" min="4" max="4" width="12.63"/>
    <col customWidth="1" hidden="1" min="5" max="5" width="38.63"/>
    <col hidden="1" min="6" max="6" width="12.63"/>
    <col customWidth="1" hidden="1" min="7" max="7" width="38.63"/>
    <col hidden="1" min="8" max="8" width="12.63"/>
    <col customWidth="1" hidden="1" min="9" max="9" width="38.63"/>
    <col hidden="1" min="10" max="10" width="12.63"/>
    <col customWidth="1" hidden="1" min="11" max="11" width="38.63"/>
    <col hidden="1" min="12" max="12" width="12.63"/>
    <col customWidth="1" hidden="1" min="13" max="13" width="38.63"/>
    <col hidden="1" min="14" max="14" width="12.63"/>
    <col customWidth="1" hidden="1" min="15" max="15" width="38.63"/>
    <col hidden="1" min="16" max="16" width="12.63"/>
    <col customWidth="1" hidden="1" min="17" max="17" width="38.63"/>
    <col hidden="1" min="18" max="18" width="12.63"/>
    <col customWidth="1" hidden="1" min="19" max="19" width="38.63"/>
    <col hidden="1" min="20" max="20" width="12.63"/>
    <col customWidth="1" hidden="1" min="21" max="21" width="38.63"/>
    <col hidden="1" min="22" max="22" width="12.63"/>
    <col customWidth="1" hidden="1" min="23" max="23" width="38.63"/>
    <col hidden="1" min="24" max="24" width="12.63"/>
    <col customWidth="1" hidden="1" min="25" max="25" width="38.63"/>
    <col hidden="1" min="26" max="26" width="12.63"/>
    <col customWidth="1" hidden="1" min="27" max="27" width="38.63"/>
    <col hidden="1" min="28" max="28" width="12.63"/>
    <col customWidth="1" hidden="1" min="29" max="29" width="38.63"/>
    <col hidden="1" min="30" max="30" width="12.63"/>
    <col customWidth="1" hidden="1" min="31" max="31" width="38.63"/>
    <col hidden="1" min="32" max="32" width="12.63"/>
    <col customWidth="1" hidden="1" min="33" max="33" width="38.63"/>
    <col hidden="1" min="34" max="34" width="12.63"/>
    <col customWidth="1" hidden="1" min="35" max="35" width="38.63"/>
    <col hidden="1" min="36" max="36" width="12.63"/>
    <col customWidth="1" hidden="1" min="37" max="37" width="38.63"/>
    <col hidden="1" min="38" max="38" width="12.63"/>
    <col customWidth="1" min="39" max="39" width="38.63"/>
    <col customWidth="1" min="41" max="41" width="38.63"/>
  </cols>
  <sheetData>
    <row r="1">
      <c r="A1" s="7" t="s">
        <v>526</v>
      </c>
      <c r="B1" s="9"/>
      <c r="C1" s="7" t="s">
        <v>527</v>
      </c>
      <c r="D1" s="9"/>
      <c r="E1" s="7" t="s">
        <v>528</v>
      </c>
      <c r="F1" s="9"/>
      <c r="G1" s="7" t="s">
        <v>529</v>
      </c>
      <c r="H1" s="9"/>
      <c r="I1" s="7" t="s">
        <v>530</v>
      </c>
      <c r="J1" s="9"/>
      <c r="K1" s="7" t="s">
        <v>531</v>
      </c>
      <c r="L1" s="9"/>
      <c r="M1" s="7" t="s">
        <v>532</v>
      </c>
      <c r="N1" s="9"/>
      <c r="O1" s="7" t="s">
        <v>533</v>
      </c>
      <c r="P1" s="9"/>
      <c r="Q1" s="7" t="s">
        <v>534</v>
      </c>
      <c r="R1" s="9"/>
      <c r="S1" s="7" t="s">
        <v>535</v>
      </c>
      <c r="T1" s="9"/>
      <c r="U1" s="7" t="s">
        <v>536</v>
      </c>
      <c r="V1" s="9"/>
      <c r="W1" s="7" t="s">
        <v>537</v>
      </c>
      <c r="X1" s="9"/>
      <c r="Y1" s="7" t="s">
        <v>538</v>
      </c>
      <c r="Z1" s="9"/>
      <c r="AA1" s="7" t="s">
        <v>539</v>
      </c>
      <c r="AB1" s="9"/>
      <c r="AC1" s="7" t="s">
        <v>540</v>
      </c>
      <c r="AD1" s="9"/>
      <c r="AE1" s="7" t="s">
        <v>541</v>
      </c>
      <c r="AF1" s="9"/>
      <c r="AG1" s="7" t="s">
        <v>542</v>
      </c>
      <c r="AH1" s="9"/>
      <c r="AI1" s="7" t="s">
        <v>543</v>
      </c>
      <c r="AJ1" s="9"/>
      <c r="AK1" s="7" t="s">
        <v>544</v>
      </c>
      <c r="AL1" s="9"/>
      <c r="AM1" s="7" t="s">
        <v>545</v>
      </c>
      <c r="AN1" s="9"/>
      <c r="AO1" s="7" t="s">
        <v>546</v>
      </c>
      <c r="AP1" s="9"/>
    </row>
    <row r="2">
      <c r="A2" s="28" t="s">
        <v>20</v>
      </c>
      <c r="B2" s="28">
        <v>13.0</v>
      </c>
      <c r="C2" s="28" t="s">
        <v>20</v>
      </c>
      <c r="D2" s="28">
        <v>8.0</v>
      </c>
      <c r="E2" s="28" t="s">
        <v>20</v>
      </c>
      <c r="F2" s="28">
        <v>2.0</v>
      </c>
      <c r="G2" s="28" t="s">
        <v>20</v>
      </c>
      <c r="H2" s="28">
        <v>6.0</v>
      </c>
      <c r="I2" s="28" t="s">
        <v>20</v>
      </c>
      <c r="J2" s="28">
        <v>8.0</v>
      </c>
      <c r="K2" s="28" t="s">
        <v>20</v>
      </c>
      <c r="L2" s="28">
        <v>8.0</v>
      </c>
      <c r="M2" s="28" t="s">
        <v>20</v>
      </c>
      <c r="N2" s="28">
        <v>4.0</v>
      </c>
      <c r="O2" s="28" t="s">
        <v>20</v>
      </c>
      <c r="P2" s="28">
        <v>2.0</v>
      </c>
      <c r="Q2" s="28" t="s">
        <v>20</v>
      </c>
      <c r="R2" s="28">
        <v>9.0</v>
      </c>
      <c r="S2" s="28" t="s">
        <v>20</v>
      </c>
      <c r="T2" s="28">
        <v>10.0</v>
      </c>
      <c r="U2" s="28" t="s">
        <v>20</v>
      </c>
      <c r="V2" s="28">
        <v>18.0</v>
      </c>
      <c r="W2" s="28" t="s">
        <v>20</v>
      </c>
      <c r="X2" s="28">
        <v>4.0</v>
      </c>
      <c r="Y2" s="28" t="s">
        <v>20</v>
      </c>
      <c r="Z2" s="28">
        <v>2.0</v>
      </c>
      <c r="AA2" s="28" t="s">
        <v>20</v>
      </c>
      <c r="AB2" s="28">
        <v>8.0</v>
      </c>
      <c r="AC2" s="28" t="s">
        <v>20</v>
      </c>
      <c r="AD2" s="28">
        <v>7.0</v>
      </c>
      <c r="AE2" s="28" t="s">
        <v>20</v>
      </c>
      <c r="AF2" s="28">
        <v>15.0</v>
      </c>
      <c r="AG2" s="28" t="s">
        <v>20</v>
      </c>
      <c r="AH2" s="28">
        <v>4.0</v>
      </c>
      <c r="AI2" s="31" t="s">
        <v>20</v>
      </c>
      <c r="AJ2" s="28">
        <v>4.0</v>
      </c>
      <c r="AK2" s="28" t="s">
        <v>20</v>
      </c>
      <c r="AL2" s="28">
        <v>7.0</v>
      </c>
      <c r="AM2" s="28" t="s">
        <v>20</v>
      </c>
      <c r="AN2" s="28">
        <v>8.0</v>
      </c>
      <c r="AO2" s="28" t="s">
        <v>20</v>
      </c>
      <c r="AP2" s="28">
        <v>16.0</v>
      </c>
    </row>
    <row r="3">
      <c r="A3" s="28" t="s">
        <v>25</v>
      </c>
      <c r="B3" s="28">
        <v>23.0</v>
      </c>
      <c r="C3" s="28" t="s">
        <v>25</v>
      </c>
      <c r="D3" s="28">
        <v>15.0</v>
      </c>
      <c r="E3" s="31" t="s">
        <v>25</v>
      </c>
      <c r="F3" s="28">
        <v>13.0</v>
      </c>
      <c r="G3" s="28" t="s">
        <v>25</v>
      </c>
      <c r="H3" s="28">
        <v>23.0</v>
      </c>
      <c r="I3" s="28" t="s">
        <v>25</v>
      </c>
      <c r="J3" s="28">
        <v>14.0</v>
      </c>
      <c r="K3" s="28" t="s">
        <v>25</v>
      </c>
      <c r="L3" s="28">
        <v>23.0</v>
      </c>
      <c r="M3" s="28" t="s">
        <v>25</v>
      </c>
      <c r="N3" s="28">
        <v>16.0</v>
      </c>
      <c r="O3" s="31" t="s">
        <v>25</v>
      </c>
      <c r="P3" s="28">
        <v>16.0</v>
      </c>
      <c r="Q3" s="28" t="s">
        <v>25</v>
      </c>
      <c r="R3" s="28">
        <v>18.0</v>
      </c>
      <c r="S3" s="28" t="s">
        <v>25</v>
      </c>
      <c r="T3" s="28">
        <v>17.0</v>
      </c>
      <c r="U3" s="28" t="s">
        <v>25</v>
      </c>
      <c r="V3" s="28">
        <v>26.0</v>
      </c>
      <c r="W3" s="28" t="s">
        <v>25</v>
      </c>
      <c r="X3" s="28">
        <v>14.0</v>
      </c>
      <c r="Y3" s="31" t="s">
        <v>25</v>
      </c>
      <c r="Z3" s="28">
        <v>13.0</v>
      </c>
      <c r="AA3" s="28" t="s">
        <v>25</v>
      </c>
      <c r="AB3" s="28">
        <v>22.0</v>
      </c>
      <c r="AC3" s="28" t="s">
        <v>25</v>
      </c>
      <c r="AD3" s="28">
        <v>21.0</v>
      </c>
      <c r="AE3" s="28" t="s">
        <v>25</v>
      </c>
      <c r="AF3" s="28">
        <v>26.0</v>
      </c>
      <c r="AG3" s="28" t="s">
        <v>25</v>
      </c>
      <c r="AH3" s="28">
        <v>17.0</v>
      </c>
      <c r="AI3" s="31" t="s">
        <v>25</v>
      </c>
      <c r="AJ3" s="28">
        <v>10.0</v>
      </c>
      <c r="AK3" s="28" t="s">
        <v>25</v>
      </c>
      <c r="AL3" s="28">
        <v>15.0</v>
      </c>
      <c r="AM3" s="28" t="s">
        <v>25</v>
      </c>
      <c r="AN3" s="28">
        <v>13.0</v>
      </c>
      <c r="AO3" s="28" t="s">
        <v>25</v>
      </c>
      <c r="AP3" s="28">
        <v>32.0</v>
      </c>
    </row>
    <row r="4">
      <c r="A4" s="28" t="s">
        <v>28</v>
      </c>
      <c r="B4" s="28">
        <v>12.0</v>
      </c>
      <c r="C4" s="28" t="s">
        <v>28</v>
      </c>
      <c r="D4" s="28">
        <v>3.0</v>
      </c>
      <c r="E4" s="31" t="s">
        <v>28</v>
      </c>
      <c r="F4" s="28">
        <v>6.0</v>
      </c>
      <c r="G4" s="28" t="s">
        <v>28</v>
      </c>
      <c r="H4" s="28">
        <v>2.0</v>
      </c>
      <c r="I4" s="28" t="s">
        <v>28</v>
      </c>
      <c r="J4" s="28">
        <v>6.0</v>
      </c>
      <c r="K4" s="28" t="s">
        <v>28</v>
      </c>
      <c r="L4" s="28">
        <v>14.0</v>
      </c>
      <c r="M4" s="28" t="s">
        <v>28</v>
      </c>
      <c r="N4" s="28">
        <v>4.0</v>
      </c>
      <c r="O4" s="31" t="s">
        <v>28</v>
      </c>
      <c r="P4" s="28">
        <v>5.0</v>
      </c>
      <c r="Q4" s="28" t="s">
        <v>28</v>
      </c>
      <c r="R4" s="28">
        <v>3.0</v>
      </c>
      <c r="S4" s="28" t="s">
        <v>28</v>
      </c>
      <c r="T4" s="28">
        <v>4.0</v>
      </c>
      <c r="U4" s="28" t="s">
        <v>28</v>
      </c>
      <c r="V4" s="28">
        <v>8.0</v>
      </c>
      <c r="W4" s="28" t="s">
        <v>28</v>
      </c>
      <c r="X4" s="28">
        <v>4.0</v>
      </c>
      <c r="Y4" s="31" t="s">
        <v>28</v>
      </c>
      <c r="Z4" s="28">
        <v>5.0</v>
      </c>
      <c r="AA4" s="28" t="s">
        <v>28</v>
      </c>
      <c r="AB4" s="28">
        <v>4.0</v>
      </c>
      <c r="AC4" s="28" t="s">
        <v>28</v>
      </c>
      <c r="AD4" s="28">
        <v>2.0</v>
      </c>
      <c r="AE4" s="28" t="s">
        <v>28</v>
      </c>
      <c r="AF4" s="28">
        <v>5.0</v>
      </c>
      <c r="AG4" s="28" t="s">
        <v>28</v>
      </c>
      <c r="AH4" s="28">
        <v>3.0</v>
      </c>
      <c r="AI4" s="31" t="s">
        <v>28</v>
      </c>
      <c r="AJ4" s="28">
        <v>6.0</v>
      </c>
      <c r="AK4" s="28" t="s">
        <v>28</v>
      </c>
      <c r="AL4" s="28">
        <v>4.0</v>
      </c>
      <c r="AM4" s="28" t="s">
        <v>28</v>
      </c>
      <c r="AN4" s="28">
        <v>3.0</v>
      </c>
      <c r="AO4" s="28" t="s">
        <v>28</v>
      </c>
      <c r="AP4" s="28">
        <v>6.0</v>
      </c>
    </row>
    <row r="5">
      <c r="A5" s="28" t="s">
        <v>33</v>
      </c>
      <c r="B5" s="28">
        <v>18.0</v>
      </c>
      <c r="C5" s="28" t="s">
        <v>33</v>
      </c>
      <c r="D5" s="28">
        <v>10.0</v>
      </c>
      <c r="E5" s="31" t="s">
        <v>33</v>
      </c>
      <c r="F5" s="28">
        <v>7.0</v>
      </c>
      <c r="G5" s="28" t="s">
        <v>33</v>
      </c>
      <c r="H5" s="28">
        <v>12.0</v>
      </c>
      <c r="I5" s="28" t="s">
        <v>33</v>
      </c>
      <c r="J5" s="28">
        <v>4.0</v>
      </c>
      <c r="K5" s="28" t="s">
        <v>33</v>
      </c>
      <c r="L5" s="28">
        <v>12.0</v>
      </c>
      <c r="M5" s="28" t="s">
        <v>33</v>
      </c>
      <c r="N5" s="28">
        <v>8.0</v>
      </c>
      <c r="O5" s="31" t="s">
        <v>33</v>
      </c>
      <c r="P5" s="28">
        <v>7.0</v>
      </c>
      <c r="Q5" s="28" t="s">
        <v>33</v>
      </c>
      <c r="R5" s="28">
        <v>6.0</v>
      </c>
      <c r="S5" s="28" t="s">
        <v>33</v>
      </c>
      <c r="T5" s="28">
        <v>5.0</v>
      </c>
      <c r="U5" s="28" t="s">
        <v>33</v>
      </c>
      <c r="V5" s="28">
        <v>9.0</v>
      </c>
      <c r="W5" s="28" t="s">
        <v>33</v>
      </c>
      <c r="X5" s="28">
        <v>6.0</v>
      </c>
      <c r="Y5" s="31" t="s">
        <v>33</v>
      </c>
      <c r="Z5" s="28">
        <v>12.0</v>
      </c>
      <c r="AA5" s="28" t="s">
        <v>33</v>
      </c>
      <c r="AB5" s="28">
        <v>7.0</v>
      </c>
      <c r="AC5" s="28" t="s">
        <v>33</v>
      </c>
      <c r="AD5" s="28">
        <v>7.0</v>
      </c>
      <c r="AE5" s="28" t="s">
        <v>33</v>
      </c>
      <c r="AF5" s="28">
        <v>9.0</v>
      </c>
      <c r="AG5" s="28" t="s">
        <v>33</v>
      </c>
      <c r="AH5" s="28">
        <v>8.0</v>
      </c>
      <c r="AI5" s="28" t="s">
        <v>33</v>
      </c>
      <c r="AJ5" s="28">
        <v>6.0</v>
      </c>
      <c r="AK5" s="28" t="s">
        <v>33</v>
      </c>
      <c r="AL5" s="28">
        <v>12.0</v>
      </c>
      <c r="AM5" s="28" t="s">
        <v>33</v>
      </c>
      <c r="AN5" s="28">
        <v>4.0</v>
      </c>
      <c r="AO5" s="28" t="s">
        <v>33</v>
      </c>
      <c r="AP5" s="28">
        <v>9.0</v>
      </c>
    </row>
    <row r="6">
      <c r="A6" s="28" t="s">
        <v>35</v>
      </c>
      <c r="B6" s="28">
        <v>8.0</v>
      </c>
      <c r="C6" s="28" t="s">
        <v>35</v>
      </c>
      <c r="D6" s="28">
        <v>11.0</v>
      </c>
      <c r="E6" s="31" t="s">
        <v>35</v>
      </c>
      <c r="F6" s="28">
        <v>10.0</v>
      </c>
      <c r="G6" s="28" t="s">
        <v>35</v>
      </c>
      <c r="H6" s="28">
        <v>13.0</v>
      </c>
      <c r="I6" s="28" t="s">
        <v>35</v>
      </c>
      <c r="J6" s="28">
        <v>4.0</v>
      </c>
      <c r="K6" s="28" t="s">
        <v>35</v>
      </c>
      <c r="L6" s="28">
        <v>10.0</v>
      </c>
      <c r="M6" s="28" t="s">
        <v>35</v>
      </c>
      <c r="N6" s="28">
        <v>9.0</v>
      </c>
      <c r="O6" s="31" t="s">
        <v>35</v>
      </c>
      <c r="P6" s="28">
        <v>8.0</v>
      </c>
      <c r="Q6" s="28" t="s">
        <v>35</v>
      </c>
      <c r="R6" s="28">
        <v>16.0</v>
      </c>
      <c r="S6" s="28" t="s">
        <v>35</v>
      </c>
      <c r="T6" s="28">
        <v>7.0</v>
      </c>
      <c r="U6" s="28" t="s">
        <v>35</v>
      </c>
      <c r="V6" s="28">
        <v>13.0</v>
      </c>
      <c r="W6" s="28" t="s">
        <v>35</v>
      </c>
      <c r="X6" s="28">
        <v>10.0</v>
      </c>
      <c r="Y6" s="31" t="s">
        <v>35</v>
      </c>
      <c r="Z6" s="28">
        <v>5.0</v>
      </c>
      <c r="AA6" s="28" t="s">
        <v>35</v>
      </c>
      <c r="AB6" s="28">
        <v>12.0</v>
      </c>
      <c r="AC6" s="28" t="s">
        <v>35</v>
      </c>
      <c r="AD6" s="28">
        <v>9.0</v>
      </c>
      <c r="AE6" s="28" t="s">
        <v>35</v>
      </c>
      <c r="AF6" s="28">
        <v>11.0</v>
      </c>
      <c r="AG6" s="28" t="s">
        <v>35</v>
      </c>
      <c r="AH6" s="28">
        <v>9.0</v>
      </c>
      <c r="AI6" s="28" t="s">
        <v>35</v>
      </c>
      <c r="AJ6" s="28">
        <v>5.0</v>
      </c>
      <c r="AK6" s="28" t="s">
        <v>35</v>
      </c>
      <c r="AL6" s="28">
        <v>10.0</v>
      </c>
      <c r="AM6" s="28" t="s">
        <v>35</v>
      </c>
      <c r="AN6" s="28">
        <v>5.0</v>
      </c>
      <c r="AO6" s="28" t="s">
        <v>35</v>
      </c>
      <c r="AP6" s="28">
        <v>7.0</v>
      </c>
    </row>
    <row r="7">
      <c r="A7" s="28" t="s">
        <v>40</v>
      </c>
      <c r="B7" s="28">
        <v>14.0</v>
      </c>
      <c r="C7" s="28" t="s">
        <v>40</v>
      </c>
      <c r="D7" s="28">
        <v>8.0</v>
      </c>
      <c r="E7" s="28" t="s">
        <v>40</v>
      </c>
      <c r="F7" s="28">
        <v>10.0</v>
      </c>
      <c r="G7" s="28" t="s">
        <v>40</v>
      </c>
      <c r="H7" s="28">
        <v>16.0</v>
      </c>
      <c r="I7" s="28" t="s">
        <v>40</v>
      </c>
      <c r="J7" s="28">
        <v>8.0</v>
      </c>
      <c r="K7" s="28" t="s">
        <v>40</v>
      </c>
      <c r="L7" s="28">
        <v>13.0</v>
      </c>
      <c r="M7" s="28" t="s">
        <v>40</v>
      </c>
      <c r="N7" s="28">
        <v>9.0</v>
      </c>
      <c r="O7" s="28" t="s">
        <v>40</v>
      </c>
      <c r="P7" s="28">
        <v>5.0</v>
      </c>
      <c r="Q7" s="28" t="s">
        <v>40</v>
      </c>
      <c r="R7" s="28">
        <v>15.0</v>
      </c>
      <c r="S7" s="28" t="s">
        <v>40</v>
      </c>
      <c r="T7" s="28">
        <v>11.0</v>
      </c>
      <c r="U7" s="28" t="s">
        <v>40</v>
      </c>
      <c r="V7" s="28">
        <v>10.0</v>
      </c>
      <c r="W7" s="28" t="s">
        <v>40</v>
      </c>
      <c r="X7" s="28">
        <v>13.0</v>
      </c>
      <c r="Y7" s="28" t="s">
        <v>40</v>
      </c>
      <c r="Z7" s="28">
        <v>9.0</v>
      </c>
      <c r="AA7" s="28" t="s">
        <v>40</v>
      </c>
      <c r="AB7" s="28">
        <v>12.0</v>
      </c>
      <c r="AC7" s="28" t="s">
        <v>40</v>
      </c>
      <c r="AD7" s="28">
        <v>9.0</v>
      </c>
      <c r="AE7" s="28" t="s">
        <v>40</v>
      </c>
      <c r="AF7" s="28">
        <v>14.0</v>
      </c>
      <c r="AG7" s="28" t="s">
        <v>40</v>
      </c>
      <c r="AH7" s="28">
        <v>7.0</v>
      </c>
      <c r="AI7" s="31" t="s">
        <v>40</v>
      </c>
      <c r="AJ7" s="28">
        <v>6.0</v>
      </c>
      <c r="AK7" s="28" t="s">
        <v>40</v>
      </c>
      <c r="AL7" s="28">
        <v>11.0</v>
      </c>
      <c r="AM7" s="28" t="s">
        <v>40</v>
      </c>
      <c r="AN7" s="28">
        <v>8.0</v>
      </c>
      <c r="AO7" s="28" t="s">
        <v>40</v>
      </c>
      <c r="AP7" s="28">
        <v>14.0</v>
      </c>
    </row>
    <row r="8">
      <c r="A8" s="28" t="s">
        <v>45</v>
      </c>
      <c r="B8" s="28">
        <v>3.0</v>
      </c>
      <c r="C8" s="28" t="s">
        <v>16</v>
      </c>
      <c r="D8" s="28">
        <v>7.0</v>
      </c>
      <c r="E8" s="28" t="s">
        <v>45</v>
      </c>
      <c r="F8" s="28">
        <v>2.0</v>
      </c>
      <c r="G8" s="28" t="s">
        <v>45</v>
      </c>
      <c r="H8" s="28">
        <v>5.0</v>
      </c>
      <c r="I8" s="28" t="s">
        <v>45</v>
      </c>
      <c r="J8" s="28">
        <v>10.0</v>
      </c>
      <c r="K8" s="28" t="s">
        <v>45</v>
      </c>
      <c r="L8" s="28">
        <v>8.0</v>
      </c>
      <c r="M8" s="28" t="s">
        <v>45</v>
      </c>
      <c r="N8" s="28">
        <v>3.0</v>
      </c>
      <c r="O8" s="28" t="s">
        <v>45</v>
      </c>
      <c r="P8" s="28">
        <v>5.0</v>
      </c>
      <c r="Q8" s="28" t="s">
        <v>45</v>
      </c>
      <c r="R8" s="28">
        <v>5.0</v>
      </c>
      <c r="S8" s="28" t="s">
        <v>45</v>
      </c>
      <c r="T8" s="28">
        <v>7.0</v>
      </c>
      <c r="U8" s="28" t="s">
        <v>45</v>
      </c>
      <c r="V8" s="28">
        <v>6.0</v>
      </c>
      <c r="W8" s="28" t="s">
        <v>45</v>
      </c>
      <c r="X8" s="28">
        <v>3.0</v>
      </c>
      <c r="Y8" s="28" t="s">
        <v>45</v>
      </c>
      <c r="Z8" s="28">
        <v>5.0</v>
      </c>
      <c r="AA8" s="28" t="s">
        <v>45</v>
      </c>
      <c r="AB8" s="28">
        <v>6.0</v>
      </c>
      <c r="AC8" s="28" t="s">
        <v>45</v>
      </c>
      <c r="AD8" s="28">
        <v>4.0</v>
      </c>
      <c r="AE8" s="28" t="s">
        <v>45</v>
      </c>
      <c r="AF8" s="28">
        <v>8.0</v>
      </c>
      <c r="AG8" s="28" t="s">
        <v>45</v>
      </c>
      <c r="AH8" s="28">
        <v>2.0</v>
      </c>
      <c r="AI8" s="31" t="s">
        <v>45</v>
      </c>
      <c r="AJ8" s="28">
        <v>9.0</v>
      </c>
      <c r="AK8" s="28" t="s">
        <v>45</v>
      </c>
      <c r="AL8" s="28">
        <v>6.0</v>
      </c>
      <c r="AM8" s="28" t="s">
        <v>45</v>
      </c>
      <c r="AN8" s="28">
        <v>4.0</v>
      </c>
      <c r="AO8" s="28" t="s">
        <v>45</v>
      </c>
      <c r="AP8" s="28">
        <v>6.0</v>
      </c>
    </row>
    <row r="9">
      <c r="A9" s="28" t="s">
        <v>16</v>
      </c>
      <c r="B9" s="28">
        <v>12.0</v>
      </c>
      <c r="C9" s="28" t="s">
        <v>31</v>
      </c>
      <c r="D9" s="28">
        <v>6.0</v>
      </c>
      <c r="E9" s="31" t="s">
        <v>16</v>
      </c>
      <c r="F9" s="28">
        <v>9.0</v>
      </c>
      <c r="G9" s="28" t="s">
        <v>16</v>
      </c>
      <c r="H9" s="28">
        <v>9.0</v>
      </c>
      <c r="I9" s="28" t="s">
        <v>16</v>
      </c>
      <c r="J9" s="28">
        <v>3.0</v>
      </c>
      <c r="K9" s="28" t="s">
        <v>16</v>
      </c>
      <c r="L9" s="28">
        <v>10.0</v>
      </c>
      <c r="M9" s="28" t="s">
        <v>16</v>
      </c>
      <c r="N9" s="28">
        <v>5.0</v>
      </c>
      <c r="O9" s="31" t="s">
        <v>16</v>
      </c>
      <c r="P9" s="28">
        <v>7.0</v>
      </c>
      <c r="Q9" s="28" t="s">
        <v>16</v>
      </c>
      <c r="R9" s="28">
        <v>15.0</v>
      </c>
      <c r="S9" s="28" t="s">
        <v>16</v>
      </c>
      <c r="T9" s="28">
        <v>2.0</v>
      </c>
      <c r="U9" s="28" t="s">
        <v>16</v>
      </c>
      <c r="V9" s="28">
        <v>10.0</v>
      </c>
      <c r="W9" s="28" t="s">
        <v>16</v>
      </c>
      <c r="X9" s="28">
        <v>5.0</v>
      </c>
      <c r="Y9" s="31" t="s">
        <v>16</v>
      </c>
      <c r="Z9" s="28">
        <v>3.0</v>
      </c>
      <c r="AA9" s="31" t="s">
        <v>16</v>
      </c>
      <c r="AB9" s="28">
        <v>8.0</v>
      </c>
      <c r="AC9" s="28" t="s">
        <v>16</v>
      </c>
      <c r="AD9" s="28">
        <v>4.0</v>
      </c>
      <c r="AE9" s="28" t="s">
        <v>16</v>
      </c>
      <c r="AF9" s="28">
        <v>7.0</v>
      </c>
      <c r="AG9" s="28" t="s">
        <v>16</v>
      </c>
      <c r="AH9" s="28">
        <v>6.0</v>
      </c>
      <c r="AI9" s="31" t="s">
        <v>16</v>
      </c>
      <c r="AJ9" s="28">
        <v>6.0</v>
      </c>
      <c r="AK9" s="28" t="s">
        <v>16</v>
      </c>
      <c r="AL9" s="28">
        <v>12.0</v>
      </c>
      <c r="AM9" s="28" t="s">
        <v>16</v>
      </c>
      <c r="AN9" s="28">
        <v>9.0</v>
      </c>
      <c r="AO9" s="28" t="s">
        <v>16</v>
      </c>
      <c r="AP9" s="28">
        <v>12.0</v>
      </c>
    </row>
    <row r="10">
      <c r="A10" s="28" t="s">
        <v>31</v>
      </c>
      <c r="B10" s="28">
        <v>8.0</v>
      </c>
      <c r="C10" s="76"/>
      <c r="D10" s="76"/>
      <c r="E10" s="31" t="s">
        <v>31</v>
      </c>
      <c r="F10" s="28">
        <v>2.0</v>
      </c>
      <c r="G10" s="31" t="s">
        <v>31</v>
      </c>
      <c r="H10" s="28">
        <v>7.0</v>
      </c>
      <c r="I10" s="28" t="s">
        <v>31</v>
      </c>
      <c r="J10" s="28">
        <v>6.0</v>
      </c>
      <c r="K10" s="28" t="s">
        <v>31</v>
      </c>
      <c r="L10" s="28">
        <v>11.0</v>
      </c>
      <c r="M10" s="31" t="s">
        <v>31</v>
      </c>
      <c r="N10" s="28">
        <v>9.0</v>
      </c>
      <c r="O10" s="31" t="s">
        <v>31</v>
      </c>
      <c r="P10" s="28">
        <v>4.0</v>
      </c>
      <c r="Q10" s="31" t="s">
        <v>31</v>
      </c>
      <c r="R10" s="28">
        <v>6.0</v>
      </c>
      <c r="S10" s="28" t="s">
        <v>31</v>
      </c>
      <c r="T10" s="28">
        <v>2.0</v>
      </c>
      <c r="U10" s="28" t="s">
        <v>31</v>
      </c>
      <c r="V10" s="28">
        <v>12.0</v>
      </c>
      <c r="W10" s="28" t="s">
        <v>31</v>
      </c>
      <c r="X10" s="28">
        <v>6.0</v>
      </c>
      <c r="Y10" s="31" t="s">
        <v>31</v>
      </c>
      <c r="Z10" s="28">
        <v>8.0</v>
      </c>
      <c r="AA10" s="31" t="s">
        <v>31</v>
      </c>
      <c r="AB10" s="28">
        <v>7.0</v>
      </c>
      <c r="AC10" s="28" t="s">
        <v>31</v>
      </c>
      <c r="AD10" s="28">
        <v>3.0</v>
      </c>
      <c r="AE10" s="28" t="s">
        <v>31</v>
      </c>
      <c r="AF10" s="28">
        <v>11.0</v>
      </c>
      <c r="AG10" s="28" t="s">
        <v>31</v>
      </c>
      <c r="AH10" s="28">
        <v>6.0</v>
      </c>
      <c r="AI10" s="28" t="s">
        <v>31</v>
      </c>
      <c r="AJ10" s="28">
        <v>4.0</v>
      </c>
      <c r="AK10" s="31" t="s">
        <v>31</v>
      </c>
      <c r="AL10" s="28">
        <v>5.0</v>
      </c>
      <c r="AM10" s="28" t="s">
        <v>31</v>
      </c>
      <c r="AN10" s="28">
        <v>6.0</v>
      </c>
      <c r="AO10" s="28" t="s">
        <v>31</v>
      </c>
      <c r="AP10" s="28">
        <v>10.0</v>
      </c>
    </row>
    <row r="11">
      <c r="A11" s="76"/>
      <c r="B11" s="76"/>
      <c r="C11" s="76"/>
      <c r="D11" s="79">
        <v>68.0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</row>
    <row r="12">
      <c r="A12" s="76"/>
      <c r="B12" s="79">
        <v>111.0</v>
      </c>
      <c r="C12" s="76"/>
      <c r="D12" s="76"/>
      <c r="E12" s="76"/>
      <c r="F12" s="79">
        <v>61.0</v>
      </c>
      <c r="G12" s="76"/>
      <c r="H12" s="79">
        <v>93.0</v>
      </c>
      <c r="I12" s="76"/>
      <c r="J12" s="79">
        <v>63.0</v>
      </c>
      <c r="K12" s="76"/>
      <c r="L12" s="79">
        <v>109.0</v>
      </c>
      <c r="M12" s="76"/>
      <c r="N12" s="79">
        <v>67.0</v>
      </c>
      <c r="O12" s="76"/>
      <c r="P12" s="79">
        <v>59.0</v>
      </c>
      <c r="Q12" s="76"/>
      <c r="R12" s="79">
        <v>93.0</v>
      </c>
      <c r="S12" s="76"/>
      <c r="T12" s="79">
        <v>65.0</v>
      </c>
      <c r="U12" s="76"/>
      <c r="V12" s="79">
        <v>112.0</v>
      </c>
      <c r="W12" s="76"/>
      <c r="X12" s="79">
        <v>65.0</v>
      </c>
      <c r="Y12" s="76"/>
      <c r="Z12" s="79">
        <v>62.0</v>
      </c>
      <c r="AA12" s="79"/>
      <c r="AB12" s="79">
        <v>86.0</v>
      </c>
      <c r="AC12" s="79"/>
      <c r="AD12" s="79">
        <v>66.0</v>
      </c>
      <c r="AE12" s="79"/>
      <c r="AF12" s="79">
        <v>106.0</v>
      </c>
      <c r="AG12" s="79"/>
      <c r="AH12" s="79">
        <v>62.0</v>
      </c>
      <c r="AI12" s="79"/>
      <c r="AJ12" s="79">
        <v>56.0</v>
      </c>
      <c r="AK12" s="79"/>
      <c r="AL12" s="79">
        <v>82.0</v>
      </c>
      <c r="AM12" s="79"/>
      <c r="AN12" s="79">
        <v>60.0</v>
      </c>
      <c r="AO12" s="79"/>
      <c r="AP12" s="79">
        <v>112.0</v>
      </c>
    </row>
    <row r="13">
      <c r="A13" s="76"/>
      <c r="B13" s="76"/>
      <c r="C13" s="28" t="s">
        <v>48</v>
      </c>
      <c r="D13" s="28">
        <v>15.0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</row>
    <row r="14">
      <c r="A14" s="28" t="s">
        <v>48</v>
      </c>
      <c r="B14" s="28">
        <v>13.0</v>
      </c>
      <c r="C14" s="28" t="s">
        <v>50</v>
      </c>
      <c r="D14" s="28">
        <v>18.0</v>
      </c>
      <c r="E14" s="28" t="s">
        <v>48</v>
      </c>
      <c r="F14" s="28">
        <v>11.0</v>
      </c>
      <c r="G14" s="28" t="s">
        <v>48</v>
      </c>
      <c r="H14" s="28">
        <v>14.0</v>
      </c>
      <c r="I14" s="28" t="s">
        <v>48</v>
      </c>
      <c r="J14" s="28">
        <v>10.0</v>
      </c>
      <c r="K14" s="28" t="s">
        <v>48</v>
      </c>
      <c r="L14" s="28">
        <v>11.0</v>
      </c>
      <c r="M14" s="28" t="s">
        <v>48</v>
      </c>
      <c r="N14" s="28">
        <v>12.0</v>
      </c>
      <c r="O14" s="28" t="s">
        <v>48</v>
      </c>
      <c r="P14" s="28">
        <v>14.0</v>
      </c>
      <c r="Q14" s="28" t="s">
        <v>48</v>
      </c>
      <c r="R14" s="28">
        <v>12.0</v>
      </c>
      <c r="S14" s="28" t="s">
        <v>48</v>
      </c>
      <c r="T14" s="28">
        <v>6.0</v>
      </c>
      <c r="U14" s="28" t="s">
        <v>48</v>
      </c>
      <c r="V14" s="28">
        <v>8.0</v>
      </c>
      <c r="W14" s="28" t="s">
        <v>48</v>
      </c>
      <c r="X14" s="28">
        <v>9.0</v>
      </c>
      <c r="Y14" s="28" t="s">
        <v>48</v>
      </c>
      <c r="Z14" s="28">
        <v>14.0</v>
      </c>
      <c r="AA14" s="28" t="s">
        <v>48</v>
      </c>
      <c r="AB14" s="28">
        <v>14.0</v>
      </c>
      <c r="AC14" s="28" t="s">
        <v>48</v>
      </c>
      <c r="AD14" s="28">
        <v>8.0</v>
      </c>
      <c r="AE14" s="28" t="s">
        <v>48</v>
      </c>
      <c r="AF14" s="28">
        <v>10.0</v>
      </c>
      <c r="AG14" s="28" t="s">
        <v>48</v>
      </c>
      <c r="AH14" s="28">
        <v>8.0</v>
      </c>
      <c r="AI14" s="28" t="s">
        <v>48</v>
      </c>
      <c r="AJ14" s="28">
        <v>18.0</v>
      </c>
      <c r="AK14" s="28" t="s">
        <v>48</v>
      </c>
      <c r="AL14" s="28">
        <v>5.0</v>
      </c>
      <c r="AM14" s="28" t="s">
        <v>48</v>
      </c>
      <c r="AN14" s="28">
        <v>4.0</v>
      </c>
      <c r="AO14" s="28" t="s">
        <v>48</v>
      </c>
      <c r="AP14" s="28">
        <v>9.0</v>
      </c>
    </row>
    <row r="15">
      <c r="A15" s="28" t="s">
        <v>50</v>
      </c>
      <c r="B15" s="28">
        <v>32.0</v>
      </c>
      <c r="C15" s="28" t="s">
        <v>52</v>
      </c>
      <c r="D15" s="28">
        <v>14.0</v>
      </c>
      <c r="E15" s="28" t="s">
        <v>50</v>
      </c>
      <c r="F15" s="28">
        <v>23.0</v>
      </c>
      <c r="G15" s="28" t="s">
        <v>50</v>
      </c>
      <c r="H15" s="28">
        <v>17.0</v>
      </c>
      <c r="I15" s="28" t="s">
        <v>50</v>
      </c>
      <c r="J15" s="28">
        <v>16.0</v>
      </c>
      <c r="K15" s="28" t="s">
        <v>50</v>
      </c>
      <c r="L15" s="28">
        <v>31.0</v>
      </c>
      <c r="M15" s="28" t="s">
        <v>50</v>
      </c>
      <c r="N15" s="28">
        <v>20.0</v>
      </c>
      <c r="O15" s="28" t="s">
        <v>50</v>
      </c>
      <c r="P15" s="28">
        <v>14.0</v>
      </c>
      <c r="Q15" s="28" t="s">
        <v>50</v>
      </c>
      <c r="R15" s="28">
        <v>16.0</v>
      </c>
      <c r="S15" s="28" t="s">
        <v>50</v>
      </c>
      <c r="T15" s="28">
        <v>24.0</v>
      </c>
      <c r="U15" s="28" t="s">
        <v>50</v>
      </c>
      <c r="V15" s="28">
        <v>28.0</v>
      </c>
      <c r="W15" s="28" t="s">
        <v>50</v>
      </c>
      <c r="X15" s="28">
        <v>16.0</v>
      </c>
      <c r="Y15" s="28" t="s">
        <v>50</v>
      </c>
      <c r="Z15" s="28">
        <v>17.0</v>
      </c>
      <c r="AA15" s="28" t="s">
        <v>50</v>
      </c>
      <c r="AB15" s="28">
        <v>16.0</v>
      </c>
      <c r="AC15" s="28" t="s">
        <v>50</v>
      </c>
      <c r="AD15" s="28">
        <v>22.0</v>
      </c>
      <c r="AE15" s="28" t="s">
        <v>50</v>
      </c>
      <c r="AF15" s="28">
        <v>22.0</v>
      </c>
      <c r="AG15" s="28" t="s">
        <v>50</v>
      </c>
      <c r="AH15" s="28">
        <v>21.0</v>
      </c>
      <c r="AI15" s="28" t="s">
        <v>50</v>
      </c>
      <c r="AJ15" s="28">
        <v>19.0</v>
      </c>
      <c r="AK15" s="28" t="s">
        <v>50</v>
      </c>
      <c r="AL15" s="28">
        <v>15.0</v>
      </c>
      <c r="AM15" s="28" t="s">
        <v>50</v>
      </c>
      <c r="AN15" s="28">
        <v>18.0</v>
      </c>
      <c r="AO15" s="28" t="s">
        <v>50</v>
      </c>
      <c r="AP15" s="28">
        <v>21.0</v>
      </c>
    </row>
    <row r="16">
      <c r="A16" s="28" t="s">
        <v>52</v>
      </c>
      <c r="B16" s="28">
        <v>10.0</v>
      </c>
      <c r="C16" s="28" t="s">
        <v>55</v>
      </c>
      <c r="D16" s="28">
        <v>5.0</v>
      </c>
      <c r="E16" s="28" t="s">
        <v>52</v>
      </c>
      <c r="F16" s="28">
        <v>11.0</v>
      </c>
      <c r="G16" s="28" t="s">
        <v>52</v>
      </c>
      <c r="H16" s="28">
        <v>20.0</v>
      </c>
      <c r="I16" s="28" t="s">
        <v>52</v>
      </c>
      <c r="J16" s="28">
        <v>10.0</v>
      </c>
      <c r="K16" s="28" t="s">
        <v>52</v>
      </c>
      <c r="L16" s="28">
        <v>10.0</v>
      </c>
      <c r="M16" s="28" t="s">
        <v>52</v>
      </c>
      <c r="N16" s="28">
        <v>13.0</v>
      </c>
      <c r="O16" s="28" t="s">
        <v>52</v>
      </c>
      <c r="P16" s="28">
        <v>9.0</v>
      </c>
      <c r="Q16" s="28" t="s">
        <v>52</v>
      </c>
      <c r="R16" s="28">
        <v>29.0</v>
      </c>
      <c r="S16" s="28" t="s">
        <v>52</v>
      </c>
      <c r="T16" s="28">
        <v>11.0</v>
      </c>
      <c r="U16" s="28" t="s">
        <v>52</v>
      </c>
      <c r="V16" s="28">
        <v>12.0</v>
      </c>
      <c r="W16" s="28" t="s">
        <v>52</v>
      </c>
      <c r="X16" s="28">
        <v>14.0</v>
      </c>
      <c r="Y16" s="28" t="s">
        <v>52</v>
      </c>
      <c r="Z16" s="28">
        <v>8.0</v>
      </c>
      <c r="AA16" s="28" t="s">
        <v>52</v>
      </c>
      <c r="AB16" s="28">
        <v>15.0</v>
      </c>
      <c r="AC16" s="28" t="s">
        <v>52</v>
      </c>
      <c r="AD16" s="28">
        <v>7.0</v>
      </c>
      <c r="AE16" s="28" t="s">
        <v>52</v>
      </c>
      <c r="AF16" s="28">
        <v>14.0</v>
      </c>
      <c r="AG16" s="28" t="s">
        <v>52</v>
      </c>
      <c r="AH16" s="28">
        <v>12.0</v>
      </c>
      <c r="AI16" s="28" t="s">
        <v>52</v>
      </c>
      <c r="AJ16" s="28">
        <v>4.0</v>
      </c>
      <c r="AK16" s="28" t="s">
        <v>52</v>
      </c>
      <c r="AL16" s="28">
        <v>17.0</v>
      </c>
      <c r="AM16" s="28" t="s">
        <v>52</v>
      </c>
      <c r="AN16" s="28">
        <v>4.0</v>
      </c>
      <c r="AO16" s="28" t="s">
        <v>52</v>
      </c>
      <c r="AP16" s="28">
        <v>18.0</v>
      </c>
    </row>
    <row r="17">
      <c r="A17" s="28" t="s">
        <v>55</v>
      </c>
      <c r="B17" s="28">
        <v>8.0</v>
      </c>
      <c r="C17" s="28" t="s">
        <v>57</v>
      </c>
      <c r="D17" s="28">
        <v>8.0</v>
      </c>
      <c r="E17" s="28" t="s">
        <v>55</v>
      </c>
      <c r="F17" s="28">
        <v>4.0</v>
      </c>
      <c r="G17" s="28" t="s">
        <v>55</v>
      </c>
      <c r="H17" s="28">
        <v>6.0</v>
      </c>
      <c r="I17" s="28" t="s">
        <v>55</v>
      </c>
      <c r="J17" s="28">
        <v>11.0</v>
      </c>
      <c r="K17" s="28" t="s">
        <v>55</v>
      </c>
      <c r="L17" s="28">
        <v>14.0</v>
      </c>
      <c r="M17" s="28" t="s">
        <v>55</v>
      </c>
      <c r="N17" s="28">
        <v>5.0</v>
      </c>
      <c r="O17" s="28" t="s">
        <v>55</v>
      </c>
      <c r="P17" s="28">
        <v>8.0</v>
      </c>
      <c r="Q17" s="28" t="s">
        <v>55</v>
      </c>
      <c r="R17" s="28">
        <v>3.0</v>
      </c>
      <c r="S17" s="28" t="s">
        <v>55</v>
      </c>
      <c r="T17" s="28">
        <v>7.0</v>
      </c>
      <c r="U17" s="28" t="s">
        <v>55</v>
      </c>
      <c r="V17" s="28">
        <v>14.0</v>
      </c>
      <c r="W17" s="28" t="s">
        <v>55</v>
      </c>
      <c r="X17" s="28">
        <v>5.0</v>
      </c>
      <c r="Y17" s="28" t="s">
        <v>55</v>
      </c>
      <c r="Z17" s="28">
        <v>9.0</v>
      </c>
      <c r="AA17" s="28" t="s">
        <v>55</v>
      </c>
      <c r="AB17" s="28">
        <v>11.0</v>
      </c>
      <c r="AC17" s="28" t="s">
        <v>55</v>
      </c>
      <c r="AD17" s="28">
        <v>11.0</v>
      </c>
      <c r="AE17" s="28" t="s">
        <v>55</v>
      </c>
      <c r="AF17" s="28">
        <v>12.0</v>
      </c>
      <c r="AG17" s="28" t="s">
        <v>55</v>
      </c>
      <c r="AH17" s="28">
        <v>7.0</v>
      </c>
      <c r="AI17" s="28" t="s">
        <v>55</v>
      </c>
      <c r="AJ17" s="28">
        <v>4.0</v>
      </c>
      <c r="AK17" s="28" t="s">
        <v>55</v>
      </c>
      <c r="AL17" s="28">
        <v>6.0</v>
      </c>
      <c r="AM17" s="28" t="s">
        <v>55</v>
      </c>
      <c r="AN17" s="28">
        <v>7.0</v>
      </c>
      <c r="AO17" s="28" t="s">
        <v>55</v>
      </c>
      <c r="AP17" s="28">
        <v>11.0</v>
      </c>
    </row>
    <row r="18">
      <c r="A18" s="28" t="s">
        <v>57</v>
      </c>
      <c r="B18" s="28">
        <v>27.0</v>
      </c>
      <c r="C18" s="28" t="s">
        <v>59</v>
      </c>
      <c r="D18" s="28">
        <v>6.0</v>
      </c>
      <c r="E18" s="28" t="s">
        <v>57</v>
      </c>
      <c r="F18" s="28">
        <v>7.0</v>
      </c>
      <c r="G18" s="28" t="s">
        <v>57</v>
      </c>
      <c r="H18" s="28">
        <v>16.0</v>
      </c>
      <c r="I18" s="28" t="s">
        <v>57</v>
      </c>
      <c r="J18" s="28">
        <v>8.0</v>
      </c>
      <c r="K18" s="28" t="s">
        <v>57</v>
      </c>
      <c r="L18" s="28">
        <v>23.0</v>
      </c>
      <c r="M18" s="28" t="s">
        <v>57</v>
      </c>
      <c r="N18" s="28">
        <v>9.0</v>
      </c>
      <c r="O18" s="28" t="s">
        <v>57</v>
      </c>
      <c r="P18" s="28">
        <v>6.0</v>
      </c>
      <c r="Q18" s="28" t="s">
        <v>57</v>
      </c>
      <c r="R18" s="28">
        <v>17.0</v>
      </c>
      <c r="S18" s="28" t="s">
        <v>57</v>
      </c>
      <c r="T18" s="28">
        <v>9.0</v>
      </c>
      <c r="U18" s="28" t="s">
        <v>57</v>
      </c>
      <c r="V18" s="28">
        <v>29.0</v>
      </c>
      <c r="W18" s="28" t="s">
        <v>57</v>
      </c>
      <c r="X18" s="28">
        <v>12.0</v>
      </c>
      <c r="Y18" s="28" t="s">
        <v>57</v>
      </c>
      <c r="Z18" s="28">
        <v>7.0</v>
      </c>
      <c r="AA18" s="28" t="s">
        <v>57</v>
      </c>
      <c r="AB18" s="28">
        <v>16.0</v>
      </c>
      <c r="AC18" s="28" t="s">
        <v>57</v>
      </c>
      <c r="AD18" s="28">
        <v>12.0</v>
      </c>
      <c r="AE18" s="28" t="s">
        <v>57</v>
      </c>
      <c r="AF18" s="28">
        <v>24.0</v>
      </c>
      <c r="AG18" s="28" t="s">
        <v>57</v>
      </c>
      <c r="AH18" s="28">
        <v>9.0</v>
      </c>
      <c r="AI18" s="28" t="s">
        <v>57</v>
      </c>
      <c r="AJ18" s="28">
        <v>9.0</v>
      </c>
      <c r="AK18" s="28" t="s">
        <v>57</v>
      </c>
      <c r="AL18" s="28">
        <v>23.0</v>
      </c>
      <c r="AM18" s="28" t="s">
        <v>57</v>
      </c>
      <c r="AN18" s="28">
        <v>15.0</v>
      </c>
      <c r="AO18" s="28" t="s">
        <v>57</v>
      </c>
      <c r="AP18" s="28">
        <v>28.0</v>
      </c>
    </row>
    <row r="19">
      <c r="A19" s="28" t="s">
        <v>59</v>
      </c>
      <c r="B19" s="28">
        <v>8.0</v>
      </c>
      <c r="C19" s="28" t="s">
        <v>61</v>
      </c>
      <c r="D19" s="28">
        <v>3.0</v>
      </c>
      <c r="E19" s="28" t="s">
        <v>59</v>
      </c>
      <c r="F19" s="28">
        <v>1.0</v>
      </c>
      <c r="G19" s="28" t="s">
        <v>59</v>
      </c>
      <c r="H19" s="28">
        <v>7.0</v>
      </c>
      <c r="I19" s="28" t="s">
        <v>59</v>
      </c>
      <c r="J19" s="28">
        <v>5.0</v>
      </c>
      <c r="K19" s="28" t="s">
        <v>59</v>
      </c>
      <c r="L19" s="28">
        <v>9.0</v>
      </c>
      <c r="M19" s="28" t="s">
        <v>59</v>
      </c>
      <c r="N19" s="28">
        <v>5.0</v>
      </c>
      <c r="O19" s="28" t="s">
        <v>59</v>
      </c>
      <c r="P19" s="28">
        <v>6.0</v>
      </c>
      <c r="Q19" s="28" t="s">
        <v>59</v>
      </c>
      <c r="R19" s="28">
        <v>6.0</v>
      </c>
      <c r="S19" s="28" t="s">
        <v>59</v>
      </c>
      <c r="T19" s="28">
        <v>3.0</v>
      </c>
      <c r="U19" s="28" t="s">
        <v>59</v>
      </c>
      <c r="V19" s="28">
        <v>9.0</v>
      </c>
      <c r="W19" s="28" t="s">
        <v>59</v>
      </c>
      <c r="X19" s="28">
        <v>5.0</v>
      </c>
      <c r="Y19" s="28" t="s">
        <v>59</v>
      </c>
      <c r="Z19" s="28">
        <v>3.0</v>
      </c>
      <c r="AA19" s="28" t="s">
        <v>59</v>
      </c>
      <c r="AB19" s="28">
        <v>9.0</v>
      </c>
      <c r="AC19" s="28" t="s">
        <v>59</v>
      </c>
      <c r="AD19" s="28">
        <v>4.0</v>
      </c>
      <c r="AE19" s="28" t="s">
        <v>59</v>
      </c>
      <c r="AF19" s="28">
        <v>11.0</v>
      </c>
      <c r="AG19" s="28" t="s">
        <v>59</v>
      </c>
      <c r="AH19" s="28">
        <v>3.0</v>
      </c>
      <c r="AI19" s="28" t="s">
        <v>59</v>
      </c>
      <c r="AJ19" s="28">
        <v>2.0</v>
      </c>
      <c r="AK19" s="28" t="s">
        <v>59</v>
      </c>
      <c r="AL19" s="28">
        <v>3.0</v>
      </c>
      <c r="AM19" s="28" t="s">
        <v>59</v>
      </c>
      <c r="AN19" s="28">
        <v>10.0</v>
      </c>
      <c r="AO19" s="28" t="s">
        <v>59</v>
      </c>
      <c r="AP19" s="28">
        <v>9.0</v>
      </c>
    </row>
    <row r="20">
      <c r="A20" s="28" t="s">
        <v>61</v>
      </c>
      <c r="B20" s="28">
        <v>9.0</v>
      </c>
      <c r="C20" s="76"/>
      <c r="D20" s="76"/>
      <c r="E20" s="28" t="s">
        <v>61</v>
      </c>
      <c r="F20" s="28">
        <v>4.0</v>
      </c>
      <c r="G20" s="28" t="s">
        <v>61</v>
      </c>
      <c r="H20" s="28">
        <v>10.0</v>
      </c>
      <c r="I20" s="28" t="s">
        <v>61</v>
      </c>
      <c r="J20" s="28">
        <v>4.0</v>
      </c>
      <c r="K20" s="28" t="s">
        <v>61</v>
      </c>
      <c r="L20" s="28">
        <v>9.0</v>
      </c>
      <c r="M20" s="28" t="s">
        <v>61</v>
      </c>
      <c r="N20" s="28">
        <v>4.0</v>
      </c>
      <c r="O20" s="28" t="s">
        <v>61</v>
      </c>
      <c r="P20" s="28">
        <v>2.0</v>
      </c>
      <c r="Q20" s="28" t="s">
        <v>61</v>
      </c>
      <c r="R20" s="28">
        <v>9.0</v>
      </c>
      <c r="S20" s="28" t="s">
        <v>61</v>
      </c>
      <c r="T20" s="28">
        <v>6.0</v>
      </c>
      <c r="U20" s="28" t="s">
        <v>61</v>
      </c>
      <c r="V20" s="28">
        <v>11.0</v>
      </c>
      <c r="W20" s="28" t="s">
        <v>61</v>
      </c>
      <c r="X20" s="28">
        <v>4.0</v>
      </c>
      <c r="Y20" s="28" t="s">
        <v>61</v>
      </c>
      <c r="Z20" s="28">
        <v>2.0</v>
      </c>
      <c r="AA20" s="28" t="s">
        <v>61</v>
      </c>
      <c r="AB20" s="28">
        <v>5.0</v>
      </c>
      <c r="AC20" s="28" t="s">
        <v>61</v>
      </c>
      <c r="AD20" s="28">
        <v>1.0</v>
      </c>
      <c r="AE20" s="28" t="s">
        <v>61</v>
      </c>
      <c r="AF20" s="28">
        <v>11.0</v>
      </c>
      <c r="AG20" s="28" t="s">
        <v>61</v>
      </c>
      <c r="AH20" s="28">
        <v>2.0</v>
      </c>
      <c r="AI20" s="28"/>
      <c r="AJ20" s="28"/>
      <c r="AK20" s="28" t="s">
        <v>61</v>
      </c>
      <c r="AL20" s="28">
        <v>11.0</v>
      </c>
      <c r="AM20" s="28" t="s">
        <v>61</v>
      </c>
      <c r="AN20" s="28">
        <v>1.0</v>
      </c>
      <c r="AO20" s="28" t="s">
        <v>61</v>
      </c>
      <c r="AP20" s="28">
        <v>15.0</v>
      </c>
    </row>
    <row r="21">
      <c r="A21" s="76"/>
      <c r="B21" s="76"/>
      <c r="C21" s="76"/>
      <c r="D21" s="79">
        <v>69.0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</row>
    <row r="22">
      <c r="A22" s="76"/>
      <c r="B22" s="79">
        <v>107.0</v>
      </c>
      <c r="C22" s="76"/>
      <c r="D22" s="76"/>
      <c r="E22" s="76"/>
      <c r="F22" s="79">
        <v>61.0</v>
      </c>
      <c r="G22" s="76"/>
      <c r="H22" s="79">
        <v>90.0</v>
      </c>
      <c r="I22" s="76"/>
      <c r="J22" s="79">
        <v>64.0</v>
      </c>
      <c r="K22" s="76"/>
      <c r="L22" s="79">
        <v>107.0</v>
      </c>
      <c r="M22" s="76"/>
      <c r="N22" s="79">
        <v>68.0</v>
      </c>
      <c r="O22" s="76"/>
      <c r="P22" s="79">
        <v>59.0</v>
      </c>
      <c r="Q22" s="76"/>
      <c r="R22" s="79">
        <v>92.0</v>
      </c>
      <c r="S22" s="76"/>
      <c r="T22" s="79">
        <v>66.0</v>
      </c>
      <c r="U22" s="76"/>
      <c r="V22" s="79">
        <v>111.0</v>
      </c>
      <c r="W22" s="76"/>
      <c r="X22" s="79">
        <v>65.0</v>
      </c>
      <c r="Y22" s="76"/>
      <c r="Z22" s="79">
        <v>60.0</v>
      </c>
      <c r="AA22" s="79"/>
      <c r="AB22" s="79">
        <v>86.0</v>
      </c>
      <c r="AC22" s="79"/>
      <c r="AD22" s="79">
        <v>65.0</v>
      </c>
      <c r="AE22" s="79"/>
      <c r="AF22" s="79">
        <v>104.0</v>
      </c>
      <c r="AG22" s="79"/>
      <c r="AH22" s="79">
        <v>62.0</v>
      </c>
      <c r="AI22" s="79"/>
      <c r="AJ22" s="79">
        <v>56.0</v>
      </c>
      <c r="AK22" s="79"/>
      <c r="AL22" s="79">
        <v>80.0</v>
      </c>
      <c r="AM22" s="79"/>
      <c r="AN22" s="79">
        <v>59.0</v>
      </c>
      <c r="AO22" s="79"/>
      <c r="AP22" s="79">
        <v>111.0</v>
      </c>
    </row>
    <row r="23">
      <c r="A23" s="76"/>
      <c r="B23" s="76"/>
      <c r="C23" s="28" t="s">
        <v>176</v>
      </c>
      <c r="D23" s="28">
        <v>1.0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</row>
    <row r="24">
      <c r="A24" s="28" t="s">
        <v>176</v>
      </c>
      <c r="B24" s="28">
        <v>5.0</v>
      </c>
      <c r="C24" s="28" t="s">
        <v>183</v>
      </c>
      <c r="D24" s="28">
        <v>2.0</v>
      </c>
      <c r="E24" s="28" t="s">
        <v>176</v>
      </c>
      <c r="F24" s="28">
        <v>1.0</v>
      </c>
      <c r="G24" s="95" t="s">
        <v>176</v>
      </c>
      <c r="H24" s="28">
        <v>3.0</v>
      </c>
      <c r="I24" s="28" t="s">
        <v>176</v>
      </c>
      <c r="J24" s="28">
        <v>2.0</v>
      </c>
      <c r="K24" s="28" t="s">
        <v>176</v>
      </c>
      <c r="L24" s="28">
        <v>1.0</v>
      </c>
      <c r="M24" s="28" t="s">
        <v>183</v>
      </c>
      <c r="N24" s="28">
        <v>1.0</v>
      </c>
      <c r="O24" s="28" t="s">
        <v>183</v>
      </c>
      <c r="P24" s="28">
        <v>1.0</v>
      </c>
      <c r="Q24" s="95" t="s">
        <v>176</v>
      </c>
      <c r="R24" s="28">
        <v>3.0</v>
      </c>
      <c r="S24" s="28" t="s">
        <v>176</v>
      </c>
      <c r="T24" s="28">
        <v>1.0</v>
      </c>
      <c r="U24" s="28" t="s">
        <v>176</v>
      </c>
      <c r="V24" s="28">
        <v>2.0</v>
      </c>
      <c r="W24" s="28" t="s">
        <v>176</v>
      </c>
      <c r="X24" s="28">
        <v>1.0</v>
      </c>
      <c r="Y24" s="28" t="s">
        <v>174</v>
      </c>
      <c r="Z24" s="28">
        <v>2.0</v>
      </c>
      <c r="AA24" s="95" t="s">
        <v>174</v>
      </c>
      <c r="AB24" s="28">
        <v>2.0</v>
      </c>
      <c r="AC24" s="28" t="s">
        <v>176</v>
      </c>
      <c r="AD24" s="28">
        <v>3.0</v>
      </c>
      <c r="AE24" s="28" t="s">
        <v>176</v>
      </c>
      <c r="AF24" s="28">
        <v>3.0</v>
      </c>
      <c r="AG24" s="28" t="s">
        <v>176</v>
      </c>
      <c r="AH24" s="28">
        <v>2.0</v>
      </c>
      <c r="AI24" s="28" t="s">
        <v>183</v>
      </c>
      <c r="AJ24" s="28">
        <v>2.0</v>
      </c>
      <c r="AK24" s="95" t="s">
        <v>176</v>
      </c>
      <c r="AL24" s="28">
        <v>4.0</v>
      </c>
      <c r="AM24" s="28" t="s">
        <v>176</v>
      </c>
      <c r="AN24" s="28">
        <v>1.0</v>
      </c>
      <c r="AO24" s="28" t="s">
        <v>176</v>
      </c>
      <c r="AP24" s="28">
        <v>3.0</v>
      </c>
    </row>
    <row r="25">
      <c r="A25" s="28" t="s">
        <v>174</v>
      </c>
      <c r="B25" s="28">
        <v>1.0</v>
      </c>
      <c r="C25" s="28" t="s">
        <v>180</v>
      </c>
      <c r="D25" s="28">
        <v>1.0</v>
      </c>
      <c r="E25" s="28" t="s">
        <v>174</v>
      </c>
      <c r="F25" s="28">
        <v>1.0</v>
      </c>
      <c r="G25" s="95" t="s">
        <v>174</v>
      </c>
      <c r="H25" s="28">
        <v>1.0</v>
      </c>
      <c r="I25" s="28" t="s">
        <v>183</v>
      </c>
      <c r="J25" s="28">
        <v>4.0</v>
      </c>
      <c r="K25" s="28" t="s">
        <v>174</v>
      </c>
      <c r="L25" s="28">
        <v>1.0</v>
      </c>
      <c r="M25" s="28" t="s">
        <v>195</v>
      </c>
      <c r="N25" s="28">
        <v>1.0</v>
      </c>
      <c r="O25" s="28" t="s">
        <v>180</v>
      </c>
      <c r="P25" s="28">
        <v>1.0</v>
      </c>
      <c r="Q25" s="95" t="s">
        <v>183</v>
      </c>
      <c r="R25" s="28">
        <v>8.0</v>
      </c>
      <c r="S25" s="28" t="s">
        <v>183</v>
      </c>
      <c r="T25" s="28">
        <v>5.0</v>
      </c>
      <c r="U25" s="28" t="s">
        <v>183</v>
      </c>
      <c r="V25" s="28">
        <v>2.0</v>
      </c>
      <c r="W25" s="28" t="s">
        <v>183</v>
      </c>
      <c r="X25" s="28">
        <v>1.0</v>
      </c>
      <c r="Y25" s="28" t="s">
        <v>183</v>
      </c>
      <c r="Z25" s="28">
        <v>2.0</v>
      </c>
      <c r="AA25" s="95" t="s">
        <v>183</v>
      </c>
      <c r="AB25" s="28">
        <v>6.0</v>
      </c>
      <c r="AC25" s="28" t="s">
        <v>183</v>
      </c>
      <c r="AD25" s="28">
        <v>5.0</v>
      </c>
      <c r="AE25" s="28" t="s">
        <v>180</v>
      </c>
      <c r="AF25" s="28">
        <v>2.0</v>
      </c>
      <c r="AG25" s="28" t="s">
        <v>195</v>
      </c>
      <c r="AH25" s="28">
        <v>2.0</v>
      </c>
      <c r="AI25" s="28" t="s">
        <v>180</v>
      </c>
      <c r="AJ25" s="28">
        <v>2.0</v>
      </c>
      <c r="AK25" s="95" t="s">
        <v>183</v>
      </c>
      <c r="AL25" s="28">
        <v>1.0</v>
      </c>
      <c r="AM25" s="28" t="s">
        <v>180</v>
      </c>
      <c r="AN25" s="28">
        <v>3.0</v>
      </c>
      <c r="AO25" s="28" t="s">
        <v>183</v>
      </c>
      <c r="AP25" s="28">
        <v>4.0</v>
      </c>
    </row>
    <row r="26">
      <c r="A26" s="28" t="s">
        <v>183</v>
      </c>
      <c r="B26" s="28">
        <v>3.0</v>
      </c>
      <c r="C26" s="28" t="s">
        <v>195</v>
      </c>
      <c r="D26" s="28">
        <v>1.0</v>
      </c>
      <c r="E26" s="28" t="s">
        <v>180</v>
      </c>
      <c r="F26" s="28">
        <v>1.0</v>
      </c>
      <c r="G26" s="95" t="s">
        <v>183</v>
      </c>
      <c r="H26" s="28">
        <v>5.0</v>
      </c>
      <c r="I26" s="28" t="s">
        <v>180</v>
      </c>
      <c r="J26" s="28">
        <v>3.0</v>
      </c>
      <c r="K26" s="28" t="s">
        <v>183</v>
      </c>
      <c r="L26" s="28">
        <v>3.0</v>
      </c>
      <c r="M26" s="28" t="s">
        <v>186</v>
      </c>
      <c r="N26" s="28">
        <v>1.0</v>
      </c>
      <c r="O26" s="28" t="s">
        <v>195</v>
      </c>
      <c r="P26" s="28">
        <v>1.0</v>
      </c>
      <c r="Q26" s="95" t="s">
        <v>180</v>
      </c>
      <c r="R26" s="28">
        <v>3.0</v>
      </c>
      <c r="S26" s="28" t="s">
        <v>180</v>
      </c>
      <c r="T26" s="28">
        <v>3.0</v>
      </c>
      <c r="U26" s="28" t="s">
        <v>180</v>
      </c>
      <c r="V26" s="28">
        <v>2.0</v>
      </c>
      <c r="W26" s="28" t="s">
        <v>180</v>
      </c>
      <c r="X26" s="28">
        <v>2.0</v>
      </c>
      <c r="Y26" s="28" t="s">
        <v>180</v>
      </c>
      <c r="Z26" s="28">
        <v>2.0</v>
      </c>
      <c r="AA26" s="95" t="s">
        <v>180</v>
      </c>
      <c r="AB26" s="28">
        <v>2.0</v>
      </c>
      <c r="AC26" s="28" t="s">
        <v>180</v>
      </c>
      <c r="AD26" s="28">
        <v>3.0</v>
      </c>
      <c r="AE26" s="28" t="s">
        <v>195</v>
      </c>
      <c r="AF26" s="28">
        <v>4.0</v>
      </c>
      <c r="AG26" s="28" t="s">
        <v>192</v>
      </c>
      <c r="AH26" s="28">
        <v>2.0</v>
      </c>
      <c r="AI26" s="28" t="s">
        <v>195</v>
      </c>
      <c r="AJ26" s="28">
        <v>1.0</v>
      </c>
      <c r="AK26" s="95" t="s">
        <v>180</v>
      </c>
      <c r="AL26" s="28">
        <v>1.0</v>
      </c>
      <c r="AM26" s="28" t="s">
        <v>186</v>
      </c>
      <c r="AN26" s="28">
        <v>2.0</v>
      </c>
      <c r="AO26" s="28" t="s">
        <v>180</v>
      </c>
      <c r="AP26" s="28">
        <v>2.0</v>
      </c>
    </row>
    <row r="27">
      <c r="A27" s="28" t="s">
        <v>180</v>
      </c>
      <c r="B27" s="28">
        <v>4.0</v>
      </c>
      <c r="C27" s="28" t="s">
        <v>186</v>
      </c>
      <c r="D27" s="28">
        <v>1.0</v>
      </c>
      <c r="E27" s="28" t="s">
        <v>186</v>
      </c>
      <c r="F27" s="28">
        <v>1.0</v>
      </c>
      <c r="G27" s="95" t="s">
        <v>180</v>
      </c>
      <c r="H27" s="28">
        <v>2.0</v>
      </c>
      <c r="I27" s="28" t="s">
        <v>192</v>
      </c>
      <c r="J27" s="28">
        <v>2.0</v>
      </c>
      <c r="K27" s="28" t="s">
        <v>180</v>
      </c>
      <c r="L27" s="28">
        <v>3.0</v>
      </c>
      <c r="M27" s="28" t="s">
        <v>192</v>
      </c>
      <c r="N27" s="28">
        <v>1.0</v>
      </c>
      <c r="O27" s="28" t="s">
        <v>186</v>
      </c>
      <c r="P27" s="28">
        <v>1.0</v>
      </c>
      <c r="Q27" s="95" t="s">
        <v>195</v>
      </c>
      <c r="R27" s="28">
        <v>1.0</v>
      </c>
      <c r="S27" s="28" t="s">
        <v>195</v>
      </c>
      <c r="T27" s="28">
        <v>1.0</v>
      </c>
      <c r="U27" s="28" t="s">
        <v>195</v>
      </c>
      <c r="V27" s="28">
        <v>6.0</v>
      </c>
      <c r="W27" s="28" t="s">
        <v>186</v>
      </c>
      <c r="X27" s="28">
        <v>1.0</v>
      </c>
      <c r="Y27" s="28" t="s">
        <v>186</v>
      </c>
      <c r="Z27" s="28">
        <v>1.0</v>
      </c>
      <c r="AA27" s="95" t="s">
        <v>195</v>
      </c>
      <c r="AB27" s="28">
        <v>2.0</v>
      </c>
      <c r="AC27" s="28" t="s">
        <v>195</v>
      </c>
      <c r="AD27" s="28">
        <v>2.0</v>
      </c>
      <c r="AE27" s="28" t="s">
        <v>186</v>
      </c>
      <c r="AF27" s="28">
        <v>1.0</v>
      </c>
      <c r="AG27" s="28" t="s">
        <v>197</v>
      </c>
      <c r="AH27" s="28">
        <v>1.0</v>
      </c>
      <c r="AI27" s="28" t="s">
        <v>186</v>
      </c>
      <c r="AJ27" s="28">
        <v>1.0</v>
      </c>
      <c r="AK27" s="95" t="s">
        <v>195</v>
      </c>
      <c r="AL27" s="28">
        <v>3.0</v>
      </c>
      <c r="AM27" s="28" t="s">
        <v>192</v>
      </c>
      <c r="AN27" s="28">
        <v>3.0</v>
      </c>
      <c r="AO27" s="28" t="s">
        <v>195</v>
      </c>
      <c r="AP27" s="28">
        <v>4.0</v>
      </c>
    </row>
    <row r="28">
      <c r="A28" s="28" t="s">
        <v>195</v>
      </c>
      <c r="B28" s="28">
        <v>3.0</v>
      </c>
      <c r="C28" s="28" t="s">
        <v>192</v>
      </c>
      <c r="D28" s="28">
        <v>1.0</v>
      </c>
      <c r="E28" s="28" t="s">
        <v>192</v>
      </c>
      <c r="F28" s="28">
        <v>3.0</v>
      </c>
      <c r="G28" s="95" t="s">
        <v>195</v>
      </c>
      <c r="H28" s="28">
        <v>3.0</v>
      </c>
      <c r="I28" s="28" t="s">
        <v>197</v>
      </c>
      <c r="J28" s="28">
        <v>1.0</v>
      </c>
      <c r="K28" s="28" t="s">
        <v>195</v>
      </c>
      <c r="L28" s="28">
        <v>2.0</v>
      </c>
      <c r="M28" s="28" t="s">
        <v>197</v>
      </c>
      <c r="N28" s="28">
        <v>1.0</v>
      </c>
      <c r="O28" s="28" t="s">
        <v>192</v>
      </c>
      <c r="P28" s="28">
        <v>2.0</v>
      </c>
      <c r="Q28" s="95" t="s">
        <v>192</v>
      </c>
      <c r="R28" s="28">
        <v>4.0</v>
      </c>
      <c r="S28" s="28" t="s">
        <v>192</v>
      </c>
      <c r="T28" s="28">
        <v>3.0</v>
      </c>
      <c r="U28" s="28" t="s">
        <v>192</v>
      </c>
      <c r="V28" s="28">
        <v>5.0</v>
      </c>
      <c r="W28" s="28" t="s">
        <v>207</v>
      </c>
      <c r="X28" s="28">
        <v>2.0</v>
      </c>
      <c r="Y28" s="28" t="s">
        <v>192</v>
      </c>
      <c r="Z28" s="28">
        <v>3.0</v>
      </c>
      <c r="AA28" s="95" t="s">
        <v>186</v>
      </c>
      <c r="AB28" s="28">
        <v>3.0</v>
      </c>
      <c r="AC28" s="28" t="s">
        <v>186</v>
      </c>
      <c r="AD28" s="28">
        <v>1.0</v>
      </c>
      <c r="AE28" s="28" t="s">
        <v>192</v>
      </c>
      <c r="AF28" s="28">
        <v>5.0</v>
      </c>
      <c r="AG28" s="28" t="s">
        <v>202</v>
      </c>
      <c r="AH28" s="28">
        <v>2.0</v>
      </c>
      <c r="AI28" s="28" t="s">
        <v>192</v>
      </c>
      <c r="AJ28" s="28">
        <v>5.0</v>
      </c>
      <c r="AK28" s="28" t="s">
        <v>186</v>
      </c>
      <c r="AL28" s="28">
        <v>1.0</v>
      </c>
      <c r="AM28" s="28" t="s">
        <v>202</v>
      </c>
      <c r="AN28" s="28">
        <v>1.0</v>
      </c>
      <c r="AO28" s="28" t="s">
        <v>192</v>
      </c>
      <c r="AP28" s="28">
        <v>6.0</v>
      </c>
    </row>
    <row r="29">
      <c r="A29" s="28" t="s">
        <v>192</v>
      </c>
      <c r="B29" s="28">
        <v>2.0</v>
      </c>
      <c r="C29" s="28" t="s">
        <v>197</v>
      </c>
      <c r="D29" s="28">
        <v>1.0</v>
      </c>
      <c r="E29" s="28" t="s">
        <v>197</v>
      </c>
      <c r="F29" s="28">
        <v>1.0</v>
      </c>
      <c r="G29" s="28" t="s">
        <v>186</v>
      </c>
      <c r="H29" s="28">
        <v>2.0</v>
      </c>
      <c r="I29" s="28" t="s">
        <v>207</v>
      </c>
      <c r="J29" s="28">
        <v>1.0</v>
      </c>
      <c r="K29" s="28" t="s">
        <v>192</v>
      </c>
      <c r="L29" s="28">
        <v>7.0</v>
      </c>
      <c r="M29" s="28" t="s">
        <v>202</v>
      </c>
      <c r="N29" s="28">
        <v>1.0</v>
      </c>
      <c r="O29" s="28" t="s">
        <v>197</v>
      </c>
      <c r="P29" s="28">
        <v>1.0</v>
      </c>
      <c r="Q29" s="28" t="s">
        <v>197</v>
      </c>
      <c r="R29" s="28">
        <v>2.0</v>
      </c>
      <c r="S29" s="28" t="s">
        <v>202</v>
      </c>
      <c r="T29" s="28">
        <v>1.0</v>
      </c>
      <c r="U29" s="28" t="s">
        <v>203</v>
      </c>
      <c r="V29" s="28">
        <v>1.0</v>
      </c>
      <c r="W29" s="28" t="s">
        <v>210</v>
      </c>
      <c r="X29" s="28">
        <v>1.0</v>
      </c>
      <c r="Y29" s="28" t="s">
        <v>197</v>
      </c>
      <c r="Z29" s="28">
        <v>1.0</v>
      </c>
      <c r="AA29" s="95" t="s">
        <v>192</v>
      </c>
      <c r="AB29" s="28">
        <v>2.0</v>
      </c>
      <c r="AC29" s="28" t="s">
        <v>192</v>
      </c>
      <c r="AD29" s="28">
        <v>4.0</v>
      </c>
      <c r="AE29" s="28" t="s">
        <v>202</v>
      </c>
      <c r="AF29" s="28">
        <v>3.0</v>
      </c>
      <c r="AG29" s="28" t="s">
        <v>207</v>
      </c>
      <c r="AH29" s="28">
        <v>3.0</v>
      </c>
      <c r="AI29" s="28" t="s">
        <v>197</v>
      </c>
      <c r="AJ29" s="28">
        <v>1.0</v>
      </c>
      <c r="AK29" s="28" t="s">
        <v>192</v>
      </c>
      <c r="AL29" s="28">
        <v>4.0</v>
      </c>
      <c r="AM29" s="28" t="s">
        <v>203</v>
      </c>
      <c r="AN29" s="28">
        <v>1.0</v>
      </c>
      <c r="AO29" s="28" t="s">
        <v>197</v>
      </c>
      <c r="AP29" s="28">
        <v>1.0</v>
      </c>
    </row>
    <row r="30">
      <c r="A30" s="28" t="s">
        <v>197</v>
      </c>
      <c r="B30" s="28">
        <v>1.0</v>
      </c>
      <c r="C30" s="28" t="s">
        <v>202</v>
      </c>
      <c r="D30" s="28">
        <v>4.0</v>
      </c>
      <c r="E30" s="28" t="s">
        <v>202</v>
      </c>
      <c r="F30" s="28">
        <v>1.0</v>
      </c>
      <c r="G30" s="28" t="s">
        <v>192</v>
      </c>
      <c r="H30" s="28">
        <v>3.0</v>
      </c>
      <c r="I30" s="28" t="s">
        <v>210</v>
      </c>
      <c r="J30" s="28">
        <v>1.0</v>
      </c>
      <c r="K30" s="28" t="s">
        <v>197</v>
      </c>
      <c r="L30" s="28">
        <v>2.0</v>
      </c>
      <c r="M30" s="28" t="s">
        <v>203</v>
      </c>
      <c r="N30" s="28">
        <v>1.0</v>
      </c>
      <c r="O30" s="28" t="s">
        <v>202</v>
      </c>
      <c r="P30" s="28">
        <v>1.0</v>
      </c>
      <c r="Q30" s="28" t="s">
        <v>202</v>
      </c>
      <c r="R30" s="28">
        <v>1.0</v>
      </c>
      <c r="S30" s="28" t="s">
        <v>207</v>
      </c>
      <c r="T30" s="28">
        <v>1.0</v>
      </c>
      <c r="U30" s="28" t="s">
        <v>210</v>
      </c>
      <c r="V30" s="28">
        <v>2.0</v>
      </c>
      <c r="W30" s="28" t="s">
        <v>212</v>
      </c>
      <c r="X30" s="28">
        <v>2.0</v>
      </c>
      <c r="Y30" s="28" t="s">
        <v>202</v>
      </c>
      <c r="Z30" s="28">
        <v>2.0</v>
      </c>
      <c r="AA30" s="28" t="s">
        <v>197</v>
      </c>
      <c r="AB30" s="28">
        <v>2.0</v>
      </c>
      <c r="AC30" s="28" t="s">
        <v>197</v>
      </c>
      <c r="AD30" s="28">
        <v>2.0</v>
      </c>
      <c r="AE30" s="28" t="s">
        <v>207</v>
      </c>
      <c r="AF30" s="28">
        <v>1.0</v>
      </c>
      <c r="AG30" s="28" t="s">
        <v>210</v>
      </c>
      <c r="AH30" s="28">
        <v>1.0</v>
      </c>
      <c r="AI30" s="28" t="s">
        <v>202</v>
      </c>
      <c r="AJ30" s="28">
        <v>2.0</v>
      </c>
      <c r="AK30" s="28" t="s">
        <v>207</v>
      </c>
      <c r="AL30" s="28">
        <v>1.0</v>
      </c>
      <c r="AM30" s="28" t="s">
        <v>223</v>
      </c>
      <c r="AN30" s="28">
        <v>1.0</v>
      </c>
      <c r="AO30" s="28" t="s">
        <v>202</v>
      </c>
      <c r="AP30" s="28">
        <v>2.0</v>
      </c>
    </row>
    <row r="31">
      <c r="A31" s="28" t="s">
        <v>203</v>
      </c>
      <c r="B31" s="28">
        <v>1.0</v>
      </c>
      <c r="C31" s="28" t="s">
        <v>203</v>
      </c>
      <c r="D31" s="28">
        <v>2.0</v>
      </c>
      <c r="E31" s="28" t="s">
        <v>203</v>
      </c>
      <c r="F31" s="28">
        <v>2.0</v>
      </c>
      <c r="G31" s="28" t="s">
        <v>197</v>
      </c>
      <c r="H31" s="28">
        <v>1.0</v>
      </c>
      <c r="I31" s="28" t="s">
        <v>223</v>
      </c>
      <c r="J31" s="28">
        <v>1.0</v>
      </c>
      <c r="K31" s="28" t="s">
        <v>207</v>
      </c>
      <c r="L31" s="28">
        <v>1.0</v>
      </c>
      <c r="M31" s="28" t="s">
        <v>207</v>
      </c>
      <c r="N31" s="28">
        <v>3.0</v>
      </c>
      <c r="O31" s="28" t="s">
        <v>203</v>
      </c>
      <c r="P31" s="28">
        <v>1.0</v>
      </c>
      <c r="Q31" s="28" t="s">
        <v>207</v>
      </c>
      <c r="R31" s="28">
        <v>1.0</v>
      </c>
      <c r="S31" s="28" t="s">
        <v>210</v>
      </c>
      <c r="T31" s="28">
        <v>1.0</v>
      </c>
      <c r="U31" s="28" t="s">
        <v>223</v>
      </c>
      <c r="V31" s="28">
        <v>1.0</v>
      </c>
      <c r="W31" s="28" t="s">
        <v>216</v>
      </c>
      <c r="X31" s="28">
        <v>9.0</v>
      </c>
      <c r="Y31" s="28" t="s">
        <v>207</v>
      </c>
      <c r="Z31" s="28">
        <v>1.0</v>
      </c>
      <c r="AA31" s="28" t="s">
        <v>202</v>
      </c>
      <c r="AB31" s="28">
        <v>1.0</v>
      </c>
      <c r="AC31" s="28" t="s">
        <v>202</v>
      </c>
      <c r="AD31" s="28">
        <v>1.0</v>
      </c>
      <c r="AE31" s="28" t="s">
        <v>210</v>
      </c>
      <c r="AF31" s="28">
        <v>3.0</v>
      </c>
      <c r="AG31" s="28" t="s">
        <v>223</v>
      </c>
      <c r="AH31" s="28">
        <v>1.0</v>
      </c>
      <c r="AI31" s="28" t="s">
        <v>203</v>
      </c>
      <c r="AJ31" s="28">
        <v>2.0</v>
      </c>
      <c r="AK31" s="28" t="s">
        <v>223</v>
      </c>
      <c r="AL31" s="28">
        <v>1.0</v>
      </c>
      <c r="AM31" s="28" t="s">
        <v>216</v>
      </c>
      <c r="AN31" s="28">
        <v>5.0</v>
      </c>
      <c r="AO31" s="28" t="s">
        <v>210</v>
      </c>
      <c r="AP31" s="28">
        <v>2.0</v>
      </c>
    </row>
    <row r="32">
      <c r="A32" s="28" t="s">
        <v>207</v>
      </c>
      <c r="B32" s="28">
        <v>1.0</v>
      </c>
      <c r="C32" s="28" t="s">
        <v>207</v>
      </c>
      <c r="D32" s="28">
        <v>3.0</v>
      </c>
      <c r="E32" s="28" t="s">
        <v>207</v>
      </c>
      <c r="F32" s="28">
        <v>1.0</v>
      </c>
      <c r="G32" s="28" t="s">
        <v>207</v>
      </c>
      <c r="H32" s="28">
        <v>2.0</v>
      </c>
      <c r="I32" s="28" t="s">
        <v>216</v>
      </c>
      <c r="J32" s="28">
        <v>5.0</v>
      </c>
      <c r="K32" s="28" t="s">
        <v>210</v>
      </c>
      <c r="L32" s="28">
        <v>1.0</v>
      </c>
      <c r="M32" s="28" t="s">
        <v>210</v>
      </c>
      <c r="N32" s="28">
        <v>1.0</v>
      </c>
      <c r="O32" s="28" t="s">
        <v>207</v>
      </c>
      <c r="P32" s="28">
        <v>1.0</v>
      </c>
      <c r="Q32" s="28" t="s">
        <v>212</v>
      </c>
      <c r="R32" s="28">
        <v>3.0</v>
      </c>
      <c r="S32" s="28" t="s">
        <v>212</v>
      </c>
      <c r="T32" s="28">
        <v>1.0</v>
      </c>
      <c r="U32" s="28" t="s">
        <v>212</v>
      </c>
      <c r="V32" s="28">
        <v>2.0</v>
      </c>
      <c r="W32" s="28" t="s">
        <v>225</v>
      </c>
      <c r="X32" s="28">
        <v>10.0</v>
      </c>
      <c r="Y32" s="28" t="s">
        <v>210</v>
      </c>
      <c r="Z32" s="28">
        <v>3.0</v>
      </c>
      <c r="AA32" s="28" t="s">
        <v>207</v>
      </c>
      <c r="AB32" s="28">
        <v>2.0</v>
      </c>
      <c r="AC32" s="28" t="s">
        <v>210</v>
      </c>
      <c r="AD32" s="28">
        <v>1.0</v>
      </c>
      <c r="AE32" s="28" t="s">
        <v>221</v>
      </c>
      <c r="AF32" s="28">
        <v>1.0</v>
      </c>
      <c r="AG32" s="28" t="s">
        <v>212</v>
      </c>
      <c r="AH32" s="28">
        <v>2.0</v>
      </c>
      <c r="AI32" s="28" t="s">
        <v>207</v>
      </c>
      <c r="AJ32" s="28">
        <v>1.0</v>
      </c>
      <c r="AK32" s="28" t="s">
        <v>466</v>
      </c>
      <c r="AL32" s="28">
        <v>1.0</v>
      </c>
      <c r="AM32" s="28" t="s">
        <v>225</v>
      </c>
      <c r="AN32" s="28">
        <v>5.0</v>
      </c>
      <c r="AO32" s="28" t="s">
        <v>223</v>
      </c>
      <c r="AP32" s="28">
        <v>2.0</v>
      </c>
    </row>
    <row r="33">
      <c r="A33" s="28" t="s">
        <v>210</v>
      </c>
      <c r="B33" s="28">
        <v>1.0</v>
      </c>
      <c r="C33" s="28" t="s">
        <v>210</v>
      </c>
      <c r="D33" s="28">
        <v>3.0</v>
      </c>
      <c r="E33" s="28" t="s">
        <v>210</v>
      </c>
      <c r="F33" s="28">
        <v>2.0</v>
      </c>
      <c r="G33" s="28" t="s">
        <v>210</v>
      </c>
      <c r="H33" s="28">
        <v>1.0</v>
      </c>
      <c r="I33" s="28" t="s">
        <v>225</v>
      </c>
      <c r="J33" s="28">
        <v>4.0</v>
      </c>
      <c r="K33" s="28" t="s">
        <v>223</v>
      </c>
      <c r="L33" s="28">
        <v>1.0</v>
      </c>
      <c r="M33" s="28" t="s">
        <v>212</v>
      </c>
      <c r="N33" s="28">
        <v>2.0</v>
      </c>
      <c r="O33" s="28" t="s">
        <v>210</v>
      </c>
      <c r="P33" s="28">
        <v>3.0</v>
      </c>
      <c r="Q33" s="28" t="s">
        <v>216</v>
      </c>
      <c r="R33" s="28">
        <v>4.0</v>
      </c>
      <c r="S33" s="28" t="s">
        <v>216</v>
      </c>
      <c r="T33" s="28">
        <v>1.0</v>
      </c>
      <c r="U33" s="28" t="s">
        <v>466</v>
      </c>
      <c r="V33" s="28">
        <v>2.0</v>
      </c>
      <c r="W33" s="28" t="s">
        <v>230</v>
      </c>
      <c r="X33" s="28">
        <v>5.0</v>
      </c>
      <c r="Y33" s="28" t="s">
        <v>212</v>
      </c>
      <c r="Z33" s="28">
        <v>5.0</v>
      </c>
      <c r="AA33" s="28" t="s">
        <v>223</v>
      </c>
      <c r="AB33" s="28">
        <v>1.0</v>
      </c>
      <c r="AC33" s="28" t="s">
        <v>223</v>
      </c>
      <c r="AD33" s="28">
        <v>3.0</v>
      </c>
      <c r="AE33" s="28" t="s">
        <v>212</v>
      </c>
      <c r="AF33" s="28">
        <v>3.0</v>
      </c>
      <c r="AG33" s="28" t="s">
        <v>216</v>
      </c>
      <c r="AH33" s="28">
        <v>4.0</v>
      </c>
      <c r="AI33" s="28" t="s">
        <v>210</v>
      </c>
      <c r="AJ33" s="28">
        <v>2.0</v>
      </c>
      <c r="AK33" s="28" t="s">
        <v>216</v>
      </c>
      <c r="AL33" s="28">
        <v>3.0</v>
      </c>
      <c r="AM33" s="28" t="s">
        <v>230</v>
      </c>
      <c r="AN33" s="28">
        <v>5.0</v>
      </c>
      <c r="AO33" s="28" t="s">
        <v>212</v>
      </c>
      <c r="AP33" s="28">
        <v>2.0</v>
      </c>
    </row>
    <row r="34">
      <c r="A34" s="28" t="s">
        <v>223</v>
      </c>
      <c r="B34" s="28">
        <v>2.0</v>
      </c>
      <c r="C34" s="28" t="s">
        <v>223</v>
      </c>
      <c r="D34" s="28">
        <v>1.0</v>
      </c>
      <c r="E34" s="28" t="s">
        <v>223</v>
      </c>
      <c r="F34" s="28">
        <v>1.0</v>
      </c>
      <c r="G34" s="28" t="s">
        <v>212</v>
      </c>
      <c r="H34" s="28">
        <v>1.0</v>
      </c>
      <c r="I34" s="28" t="s">
        <v>230</v>
      </c>
      <c r="J34" s="28">
        <v>5.0</v>
      </c>
      <c r="K34" s="28" t="s">
        <v>216</v>
      </c>
      <c r="L34" s="28">
        <v>6.0</v>
      </c>
      <c r="M34" s="28" t="s">
        <v>216</v>
      </c>
      <c r="N34" s="28">
        <v>7.0</v>
      </c>
      <c r="O34" s="28" t="s">
        <v>223</v>
      </c>
      <c r="P34" s="28">
        <v>2.0</v>
      </c>
      <c r="Q34" s="28" t="s">
        <v>225</v>
      </c>
      <c r="R34" s="28">
        <v>4.0</v>
      </c>
      <c r="S34" s="28" t="s">
        <v>225</v>
      </c>
      <c r="T34" s="28">
        <v>1.0</v>
      </c>
      <c r="U34" s="28" t="s">
        <v>216</v>
      </c>
      <c r="V34" s="28">
        <v>5.0</v>
      </c>
      <c r="W34" s="28" t="s">
        <v>236</v>
      </c>
      <c r="X34" s="28">
        <v>2.0</v>
      </c>
      <c r="Y34" s="28" t="s">
        <v>216</v>
      </c>
      <c r="Z34" s="28">
        <v>2.0</v>
      </c>
      <c r="AA34" s="28" t="s">
        <v>216</v>
      </c>
      <c r="AB34" s="28">
        <v>4.0</v>
      </c>
      <c r="AC34" s="28" t="s">
        <v>216</v>
      </c>
      <c r="AD34" s="28">
        <v>4.0</v>
      </c>
      <c r="AE34" s="28" t="s">
        <v>216</v>
      </c>
      <c r="AF34" s="28">
        <v>4.0</v>
      </c>
      <c r="AG34" s="28" t="s">
        <v>225</v>
      </c>
      <c r="AH34" s="28">
        <v>3.0</v>
      </c>
      <c r="AI34" s="28" t="s">
        <v>223</v>
      </c>
      <c r="AJ34" s="28">
        <v>1.0</v>
      </c>
      <c r="AK34" s="28" t="s">
        <v>225</v>
      </c>
      <c r="AL34" s="28">
        <v>8.0</v>
      </c>
      <c r="AM34" s="28" t="s">
        <v>236</v>
      </c>
      <c r="AN34" s="28">
        <v>1.0</v>
      </c>
      <c r="AO34" s="28" t="s">
        <v>216</v>
      </c>
      <c r="AP34" s="28">
        <v>5.0</v>
      </c>
    </row>
    <row r="35">
      <c r="A35" s="28" t="s">
        <v>212</v>
      </c>
      <c r="B35" s="28">
        <v>1.0</v>
      </c>
      <c r="C35" s="28" t="s">
        <v>212</v>
      </c>
      <c r="D35" s="28">
        <v>1.0</v>
      </c>
      <c r="E35" s="28" t="s">
        <v>212</v>
      </c>
      <c r="F35" s="28">
        <v>2.0</v>
      </c>
      <c r="G35" s="28" t="s">
        <v>466</v>
      </c>
      <c r="H35" s="28">
        <v>1.0</v>
      </c>
      <c r="I35" s="28" t="s">
        <v>236</v>
      </c>
      <c r="J35" s="28">
        <v>3.0</v>
      </c>
      <c r="K35" s="28" t="s">
        <v>225</v>
      </c>
      <c r="L35" s="28">
        <v>6.0</v>
      </c>
      <c r="M35" s="28" t="s">
        <v>225</v>
      </c>
      <c r="N35" s="28">
        <v>8.0</v>
      </c>
      <c r="O35" s="28" t="s">
        <v>466</v>
      </c>
      <c r="P35" s="28">
        <v>3.0</v>
      </c>
      <c r="Q35" s="28" t="s">
        <v>230</v>
      </c>
      <c r="R35" s="28">
        <v>7.0</v>
      </c>
      <c r="S35" s="28" t="s">
        <v>230</v>
      </c>
      <c r="T35" s="28">
        <v>4.0</v>
      </c>
      <c r="U35" s="28" t="s">
        <v>225</v>
      </c>
      <c r="V35" s="28">
        <v>5.0</v>
      </c>
      <c r="W35" s="28" t="s">
        <v>266</v>
      </c>
      <c r="X35" s="28">
        <v>1.0</v>
      </c>
      <c r="Y35" s="28" t="s">
        <v>225</v>
      </c>
      <c r="Z35" s="28">
        <v>6.0</v>
      </c>
      <c r="AA35" s="28" t="s">
        <v>225</v>
      </c>
      <c r="AB35" s="28">
        <v>5.0</v>
      </c>
      <c r="AC35" s="28" t="s">
        <v>225</v>
      </c>
      <c r="AD35" s="28">
        <v>5.0</v>
      </c>
      <c r="AE35" s="28" t="s">
        <v>225</v>
      </c>
      <c r="AF35" s="28">
        <v>8.0</v>
      </c>
      <c r="AG35" s="28" t="s">
        <v>230</v>
      </c>
      <c r="AH35" s="28">
        <v>7.0</v>
      </c>
      <c r="AI35" s="28" t="s">
        <v>466</v>
      </c>
      <c r="AJ35" s="28">
        <v>1.0</v>
      </c>
      <c r="AK35" s="28" t="s">
        <v>473</v>
      </c>
      <c r="AL35" s="28">
        <v>1.0</v>
      </c>
      <c r="AM35" s="28" t="s">
        <v>241</v>
      </c>
      <c r="AN35" s="28">
        <v>1.0</v>
      </c>
      <c r="AO35" s="28" t="s">
        <v>225</v>
      </c>
      <c r="AP35" s="28">
        <v>7.0</v>
      </c>
    </row>
    <row r="36">
      <c r="A36" s="28" t="s">
        <v>216</v>
      </c>
      <c r="B36" s="28">
        <v>5.0</v>
      </c>
      <c r="C36" s="28" t="s">
        <v>466</v>
      </c>
      <c r="D36" s="28">
        <v>1.0</v>
      </c>
      <c r="E36" s="28" t="s">
        <v>466</v>
      </c>
      <c r="F36" s="28">
        <v>1.0</v>
      </c>
      <c r="G36" s="28" t="s">
        <v>216</v>
      </c>
      <c r="H36" s="28">
        <v>2.0</v>
      </c>
      <c r="I36" s="28" t="s">
        <v>472</v>
      </c>
      <c r="J36" s="28">
        <v>1.0</v>
      </c>
      <c r="K36" s="28" t="s">
        <v>236</v>
      </c>
      <c r="L36" s="28">
        <v>3.0</v>
      </c>
      <c r="M36" s="28" t="s">
        <v>230</v>
      </c>
      <c r="N36" s="28">
        <v>11.0</v>
      </c>
      <c r="O36" s="28" t="s">
        <v>225</v>
      </c>
      <c r="P36" s="28">
        <v>5.0</v>
      </c>
      <c r="Q36" s="28" t="s">
        <v>236</v>
      </c>
      <c r="R36" s="28">
        <v>2.0</v>
      </c>
      <c r="S36" s="28" t="s">
        <v>472</v>
      </c>
      <c r="T36" s="28">
        <v>1.0</v>
      </c>
      <c r="U36" s="28" t="s">
        <v>230</v>
      </c>
      <c r="V36" s="28">
        <v>4.0</v>
      </c>
      <c r="W36" s="28" t="s">
        <v>471</v>
      </c>
      <c r="X36" s="28">
        <v>1.0</v>
      </c>
      <c r="Y36" s="28" t="s">
        <v>230</v>
      </c>
      <c r="Z36" s="28">
        <v>2.0</v>
      </c>
      <c r="AA36" s="28" t="s">
        <v>230</v>
      </c>
      <c r="AB36" s="28">
        <v>5.0</v>
      </c>
      <c r="AC36" s="28" t="s">
        <v>230</v>
      </c>
      <c r="AD36" s="28">
        <v>3.0</v>
      </c>
      <c r="AE36" s="28" t="s">
        <v>230</v>
      </c>
      <c r="AF36" s="28">
        <v>6.0</v>
      </c>
      <c r="AG36" s="28" t="s">
        <v>236</v>
      </c>
      <c r="AH36" s="28">
        <v>1.0</v>
      </c>
      <c r="AI36" s="28" t="s">
        <v>216</v>
      </c>
      <c r="AJ36" s="28">
        <v>3.0</v>
      </c>
      <c r="AK36" s="28" t="s">
        <v>230</v>
      </c>
      <c r="AL36" s="28">
        <v>4.0</v>
      </c>
      <c r="AM36" s="28" t="s">
        <v>276</v>
      </c>
      <c r="AN36" s="28">
        <v>2.0</v>
      </c>
      <c r="AO36" s="28" t="s">
        <v>230</v>
      </c>
      <c r="AP36" s="28">
        <v>3.0</v>
      </c>
    </row>
    <row r="37">
      <c r="A37" s="28" t="s">
        <v>569</v>
      </c>
      <c r="B37" s="28">
        <v>1.0</v>
      </c>
      <c r="C37" s="28" t="s">
        <v>216</v>
      </c>
      <c r="D37" s="28">
        <v>4.0</v>
      </c>
      <c r="E37" s="28" t="s">
        <v>216</v>
      </c>
      <c r="F37" s="28">
        <v>1.0</v>
      </c>
      <c r="G37" s="28" t="s">
        <v>225</v>
      </c>
      <c r="H37" s="28">
        <v>5.0</v>
      </c>
      <c r="I37" s="28" t="s">
        <v>246</v>
      </c>
      <c r="J37" s="28">
        <v>1.0</v>
      </c>
      <c r="K37" s="28" t="s">
        <v>244</v>
      </c>
      <c r="L37" s="28">
        <v>1.0</v>
      </c>
      <c r="M37" s="28" t="s">
        <v>236</v>
      </c>
      <c r="N37" s="28">
        <v>1.0</v>
      </c>
      <c r="O37" s="28" t="s">
        <v>230</v>
      </c>
      <c r="P37" s="28">
        <v>1.0</v>
      </c>
      <c r="Q37" s="28" t="s">
        <v>244</v>
      </c>
      <c r="R37" s="28">
        <v>1.0</v>
      </c>
      <c r="S37" s="28" t="s">
        <v>246</v>
      </c>
      <c r="T37" s="28">
        <v>1.0</v>
      </c>
      <c r="U37" s="28" t="s">
        <v>570</v>
      </c>
      <c r="V37" s="28">
        <v>1.0</v>
      </c>
      <c r="W37" s="28" t="s">
        <v>258</v>
      </c>
      <c r="X37" s="28">
        <v>2.0</v>
      </c>
      <c r="Y37" s="28" t="s">
        <v>248</v>
      </c>
      <c r="Z37" s="28">
        <v>1.0</v>
      </c>
      <c r="AA37" s="28" t="s">
        <v>236</v>
      </c>
      <c r="AB37" s="28">
        <v>4.0</v>
      </c>
      <c r="AC37" s="28" t="s">
        <v>276</v>
      </c>
      <c r="AD37" s="28">
        <v>1.0</v>
      </c>
      <c r="AE37" s="28" t="s">
        <v>236</v>
      </c>
      <c r="AF37" s="28">
        <v>1.0</v>
      </c>
      <c r="AG37" s="28" t="s">
        <v>246</v>
      </c>
      <c r="AH37" s="28">
        <v>1.0</v>
      </c>
      <c r="AI37" s="28" t="s">
        <v>225</v>
      </c>
      <c r="AJ37" s="28">
        <v>3.0</v>
      </c>
      <c r="AK37" s="28" t="s">
        <v>236</v>
      </c>
      <c r="AL37" s="28">
        <v>1.0</v>
      </c>
      <c r="AM37" s="28" t="s">
        <v>475</v>
      </c>
      <c r="AN37" s="28">
        <v>1.0</v>
      </c>
      <c r="AO37" s="28" t="s">
        <v>246</v>
      </c>
      <c r="AP37" s="28">
        <v>1.0</v>
      </c>
    </row>
    <row r="38">
      <c r="A38" s="28" t="s">
        <v>225</v>
      </c>
      <c r="B38" s="28">
        <v>6.0</v>
      </c>
      <c r="C38" s="28" t="s">
        <v>225</v>
      </c>
      <c r="D38" s="28">
        <v>6.0</v>
      </c>
      <c r="E38" s="28" t="s">
        <v>225</v>
      </c>
      <c r="F38" s="28">
        <v>7.0</v>
      </c>
      <c r="G38" s="28" t="s">
        <v>230</v>
      </c>
      <c r="H38" s="28">
        <v>9.0</v>
      </c>
      <c r="I38" s="28" t="s">
        <v>244</v>
      </c>
      <c r="J38" s="28">
        <v>1.0</v>
      </c>
      <c r="K38" s="28" t="s">
        <v>241</v>
      </c>
      <c r="L38" s="28">
        <v>1.0</v>
      </c>
      <c r="M38" s="28" t="s">
        <v>292</v>
      </c>
      <c r="N38" s="28">
        <v>1.0</v>
      </c>
      <c r="O38" s="28" t="s">
        <v>266</v>
      </c>
      <c r="P38" s="28">
        <v>1.0</v>
      </c>
      <c r="Q38" s="28" t="s">
        <v>276</v>
      </c>
      <c r="R38" s="28">
        <v>1.0</v>
      </c>
      <c r="S38" s="28" t="s">
        <v>273</v>
      </c>
      <c r="T38" s="28">
        <v>1.0</v>
      </c>
      <c r="U38" s="28" t="s">
        <v>236</v>
      </c>
      <c r="V38" s="28">
        <v>2.0</v>
      </c>
      <c r="W38" s="28" t="s">
        <v>255</v>
      </c>
      <c r="X38" s="28">
        <v>2.0</v>
      </c>
      <c r="Y38" s="28" t="s">
        <v>266</v>
      </c>
      <c r="Z38" s="28">
        <v>1.0</v>
      </c>
      <c r="AA38" s="28" t="s">
        <v>287</v>
      </c>
      <c r="AB38" s="28">
        <v>1.0</v>
      </c>
      <c r="AC38" s="28" t="s">
        <v>258</v>
      </c>
      <c r="AD38" s="28">
        <v>1.0</v>
      </c>
      <c r="AE38" s="28" t="s">
        <v>241</v>
      </c>
      <c r="AF38" s="28">
        <v>1.0</v>
      </c>
      <c r="AG38" s="28" t="s">
        <v>269</v>
      </c>
      <c r="AH38" s="28">
        <v>1.0</v>
      </c>
      <c r="AI38" s="28" t="s">
        <v>230</v>
      </c>
      <c r="AJ38" s="28">
        <v>4.0</v>
      </c>
      <c r="AK38" s="28" t="s">
        <v>244</v>
      </c>
      <c r="AL38" s="28">
        <v>1.0</v>
      </c>
      <c r="AM38" s="28" t="s">
        <v>258</v>
      </c>
      <c r="AN38" s="28">
        <v>1.0</v>
      </c>
      <c r="AO38" s="28" t="s">
        <v>244</v>
      </c>
      <c r="AP38" s="28">
        <v>1.0</v>
      </c>
    </row>
    <row r="39">
      <c r="A39" s="28" t="s">
        <v>230</v>
      </c>
      <c r="B39" s="28">
        <v>5.0</v>
      </c>
      <c r="C39" s="28" t="s">
        <v>230</v>
      </c>
      <c r="D39" s="28">
        <v>4.0</v>
      </c>
      <c r="E39" s="28" t="s">
        <v>230</v>
      </c>
      <c r="F39" s="28">
        <v>4.0</v>
      </c>
      <c r="G39" s="28" t="s">
        <v>236</v>
      </c>
      <c r="H39" s="28">
        <v>2.0</v>
      </c>
      <c r="I39" s="28" t="s">
        <v>291</v>
      </c>
      <c r="J39" s="28">
        <v>1.0</v>
      </c>
      <c r="K39" s="28" t="s">
        <v>266</v>
      </c>
      <c r="L39" s="28">
        <v>2.0</v>
      </c>
      <c r="M39" s="28" t="s">
        <v>475</v>
      </c>
      <c r="N39" s="28">
        <v>1.0</v>
      </c>
      <c r="O39" s="28" t="s">
        <v>292</v>
      </c>
      <c r="P39" s="28">
        <v>1.0</v>
      </c>
      <c r="Q39" s="28" t="s">
        <v>475</v>
      </c>
      <c r="R39" s="28">
        <v>2.0</v>
      </c>
      <c r="S39" s="28" t="s">
        <v>249</v>
      </c>
      <c r="T39" s="28">
        <v>1.0</v>
      </c>
      <c r="U39" s="28" t="s">
        <v>472</v>
      </c>
      <c r="V39" s="28">
        <v>1.0</v>
      </c>
      <c r="W39" s="28" t="s">
        <v>283</v>
      </c>
      <c r="X39" s="28">
        <v>1.0</v>
      </c>
      <c r="Y39" s="28" t="s">
        <v>288</v>
      </c>
      <c r="Z39" s="28">
        <v>1.0</v>
      </c>
      <c r="AA39" s="28" t="s">
        <v>471</v>
      </c>
      <c r="AB39" s="28">
        <v>1.0</v>
      </c>
      <c r="AC39" s="28" t="s">
        <v>261</v>
      </c>
      <c r="AD39" s="28">
        <v>2.0</v>
      </c>
      <c r="AE39" s="28" t="s">
        <v>266</v>
      </c>
      <c r="AF39" s="28">
        <v>3.0</v>
      </c>
      <c r="AG39" s="28" t="s">
        <v>288</v>
      </c>
      <c r="AH39" s="28">
        <v>1.0</v>
      </c>
      <c r="AI39" s="28" t="s">
        <v>236</v>
      </c>
      <c r="AJ39" s="28">
        <v>1.0</v>
      </c>
      <c r="AK39" s="28" t="s">
        <v>479</v>
      </c>
      <c r="AL39" s="28">
        <v>1.0</v>
      </c>
      <c r="AM39" s="28" t="s">
        <v>304</v>
      </c>
      <c r="AN39" s="28">
        <v>1.0</v>
      </c>
      <c r="AO39" s="28" t="s">
        <v>241</v>
      </c>
      <c r="AP39" s="28">
        <v>1.0</v>
      </c>
    </row>
    <row r="40">
      <c r="A40" s="28" t="s">
        <v>236</v>
      </c>
      <c r="B40" s="28">
        <v>1.0</v>
      </c>
      <c r="C40" s="28" t="s">
        <v>236</v>
      </c>
      <c r="D40" s="28">
        <v>1.0</v>
      </c>
      <c r="E40" s="28" t="s">
        <v>236</v>
      </c>
      <c r="F40" s="28">
        <v>2.0</v>
      </c>
      <c r="G40" s="28" t="s">
        <v>273</v>
      </c>
      <c r="H40" s="28">
        <v>1.0</v>
      </c>
      <c r="I40" s="28" t="s">
        <v>276</v>
      </c>
      <c r="J40" s="28">
        <v>1.0</v>
      </c>
      <c r="K40" s="28" t="s">
        <v>292</v>
      </c>
      <c r="L40" s="28">
        <v>1.0</v>
      </c>
      <c r="M40" s="28" t="s">
        <v>258</v>
      </c>
      <c r="N40" s="28">
        <v>1.0</v>
      </c>
      <c r="O40" s="28" t="s">
        <v>276</v>
      </c>
      <c r="P40" s="28">
        <v>1.0</v>
      </c>
      <c r="Q40" s="28" t="s">
        <v>263</v>
      </c>
      <c r="R40" s="28">
        <v>1.0</v>
      </c>
      <c r="S40" s="28" t="s">
        <v>475</v>
      </c>
      <c r="T40" s="28">
        <v>1.0</v>
      </c>
      <c r="U40" s="28" t="s">
        <v>246</v>
      </c>
      <c r="V40" s="28">
        <v>1.0</v>
      </c>
      <c r="W40" s="28" t="s">
        <v>299</v>
      </c>
      <c r="X40" s="28">
        <v>1.0</v>
      </c>
      <c r="Y40" s="28" t="s">
        <v>276</v>
      </c>
      <c r="Z40" s="28">
        <v>1.0</v>
      </c>
      <c r="AA40" s="28" t="s">
        <v>255</v>
      </c>
      <c r="AB40" s="28">
        <v>1.0</v>
      </c>
      <c r="AC40" s="28" t="s">
        <v>294</v>
      </c>
      <c r="AD40" s="28">
        <v>2.0</v>
      </c>
      <c r="AE40" s="28" t="s">
        <v>258</v>
      </c>
      <c r="AF40" s="28">
        <v>1.0</v>
      </c>
      <c r="AG40" s="28" t="s">
        <v>292</v>
      </c>
      <c r="AH40" s="28">
        <v>1.0</v>
      </c>
      <c r="AI40" s="28" t="s">
        <v>276</v>
      </c>
      <c r="AJ40" s="28">
        <v>1.0</v>
      </c>
      <c r="AK40" s="28" t="s">
        <v>283</v>
      </c>
      <c r="AL40" s="28">
        <v>2.0</v>
      </c>
      <c r="AM40" s="28" t="s">
        <v>261</v>
      </c>
      <c r="AN40" s="28">
        <v>1.0</v>
      </c>
      <c r="AO40" s="28" t="s">
        <v>266</v>
      </c>
      <c r="AP40" s="28">
        <v>1.0</v>
      </c>
    </row>
    <row r="41">
      <c r="A41" s="28" t="s">
        <v>246</v>
      </c>
      <c r="B41" s="28">
        <v>1.0</v>
      </c>
      <c r="C41" s="28" t="s">
        <v>273</v>
      </c>
      <c r="D41" s="28">
        <v>1.0</v>
      </c>
      <c r="E41" s="28" t="s">
        <v>241</v>
      </c>
      <c r="F41" s="28">
        <v>1.0</v>
      </c>
      <c r="G41" s="28" t="s">
        <v>276</v>
      </c>
      <c r="H41" s="28">
        <v>1.0</v>
      </c>
      <c r="I41" s="28" t="s">
        <v>302</v>
      </c>
      <c r="J41" s="28">
        <v>1.0</v>
      </c>
      <c r="K41" s="28" t="s">
        <v>258</v>
      </c>
      <c r="L41" s="28">
        <v>1.0</v>
      </c>
      <c r="M41" s="28" t="s">
        <v>255</v>
      </c>
      <c r="N41" s="28">
        <v>1.0</v>
      </c>
      <c r="O41" s="28" t="s">
        <v>257</v>
      </c>
      <c r="P41" s="28">
        <v>2.0</v>
      </c>
      <c r="Q41" s="28" t="s">
        <v>261</v>
      </c>
      <c r="R41" s="28">
        <v>2.0</v>
      </c>
      <c r="S41" s="28" t="s">
        <v>479</v>
      </c>
      <c r="T41" s="28">
        <v>1.0</v>
      </c>
      <c r="U41" s="28" t="s">
        <v>273</v>
      </c>
      <c r="V41" s="28">
        <v>1.0</v>
      </c>
      <c r="W41" s="28" t="s">
        <v>261</v>
      </c>
      <c r="X41" s="28">
        <v>4.0</v>
      </c>
      <c r="Y41" s="28" t="s">
        <v>257</v>
      </c>
      <c r="Z41" s="28">
        <v>1.0</v>
      </c>
      <c r="AA41" s="28" t="s">
        <v>261</v>
      </c>
      <c r="AB41" s="28">
        <v>2.0</v>
      </c>
      <c r="AC41" s="28" t="s">
        <v>317</v>
      </c>
      <c r="AD41" s="28">
        <v>1.0</v>
      </c>
      <c r="AE41" s="28" t="s">
        <v>255</v>
      </c>
      <c r="AF41" s="28">
        <v>1.0</v>
      </c>
      <c r="AG41" s="28" t="s">
        <v>263</v>
      </c>
      <c r="AH41" s="28">
        <v>1.0</v>
      </c>
      <c r="AI41" s="28" t="s">
        <v>257</v>
      </c>
      <c r="AJ41" s="28">
        <v>1.0</v>
      </c>
      <c r="AK41" s="28" t="s">
        <v>261</v>
      </c>
      <c r="AL41" s="28">
        <v>6.0</v>
      </c>
      <c r="AM41" s="28" t="s">
        <v>285</v>
      </c>
      <c r="AN41" s="28">
        <v>1.0</v>
      </c>
      <c r="AO41" s="28" t="s">
        <v>276</v>
      </c>
      <c r="AP41" s="28">
        <v>1.0</v>
      </c>
    </row>
    <row r="42">
      <c r="A42" s="28" t="s">
        <v>273</v>
      </c>
      <c r="B42" s="28">
        <v>1.0</v>
      </c>
      <c r="C42" s="28" t="s">
        <v>471</v>
      </c>
      <c r="D42" s="28">
        <v>1.0</v>
      </c>
      <c r="E42" s="28" t="s">
        <v>266</v>
      </c>
      <c r="F42" s="28">
        <v>1.0</v>
      </c>
      <c r="G42" s="28" t="s">
        <v>249</v>
      </c>
      <c r="H42" s="28">
        <v>1.0</v>
      </c>
      <c r="I42" s="28" t="s">
        <v>271</v>
      </c>
      <c r="J42" s="28">
        <v>1.0</v>
      </c>
      <c r="K42" s="28" t="s">
        <v>302</v>
      </c>
      <c r="L42" s="28">
        <v>1.0</v>
      </c>
      <c r="M42" s="28" t="s">
        <v>283</v>
      </c>
      <c r="N42" s="28">
        <v>1.0</v>
      </c>
      <c r="O42" s="28" t="s">
        <v>475</v>
      </c>
      <c r="P42" s="28">
        <v>2.0</v>
      </c>
      <c r="Q42" s="28" t="s">
        <v>285</v>
      </c>
      <c r="R42" s="28">
        <v>3.0</v>
      </c>
      <c r="S42" s="28" t="s">
        <v>255</v>
      </c>
      <c r="T42" s="28">
        <v>2.0</v>
      </c>
      <c r="U42" s="28" t="s">
        <v>241</v>
      </c>
      <c r="V42" s="28">
        <v>1.0</v>
      </c>
      <c r="W42" s="28" t="s">
        <v>285</v>
      </c>
      <c r="X42" s="28">
        <v>1.0</v>
      </c>
      <c r="Y42" s="28" t="s">
        <v>475</v>
      </c>
      <c r="Z42" s="28">
        <v>1.0</v>
      </c>
      <c r="AA42" s="28" t="s">
        <v>281</v>
      </c>
      <c r="AB42" s="28">
        <v>1.0</v>
      </c>
      <c r="AC42" s="28" t="s">
        <v>319</v>
      </c>
      <c r="AD42" s="28">
        <v>1.0</v>
      </c>
      <c r="AE42" s="28" t="s">
        <v>283</v>
      </c>
      <c r="AF42" s="28">
        <v>1.0</v>
      </c>
      <c r="AG42" s="28" t="s">
        <v>302</v>
      </c>
      <c r="AH42" s="28">
        <v>2.0</v>
      </c>
      <c r="AI42" s="28" t="s">
        <v>475</v>
      </c>
      <c r="AJ42" s="28">
        <v>1.0</v>
      </c>
      <c r="AK42" s="28" t="s">
        <v>271</v>
      </c>
      <c r="AL42" s="28">
        <v>1.0</v>
      </c>
      <c r="AM42" s="28" t="s">
        <v>281</v>
      </c>
      <c r="AN42" s="28">
        <v>3.0</v>
      </c>
      <c r="AO42" s="28" t="s">
        <v>249</v>
      </c>
      <c r="AP42" s="28">
        <v>1.0</v>
      </c>
    </row>
    <row r="43">
      <c r="A43" s="28" t="s">
        <v>287</v>
      </c>
      <c r="B43" s="28">
        <v>1.0</v>
      </c>
      <c r="C43" s="28" t="s">
        <v>475</v>
      </c>
      <c r="D43" s="28">
        <v>1.0</v>
      </c>
      <c r="E43" s="28" t="s">
        <v>304</v>
      </c>
      <c r="F43" s="28">
        <v>1.0</v>
      </c>
      <c r="G43" s="28" t="s">
        <v>258</v>
      </c>
      <c r="H43" s="28">
        <v>2.0</v>
      </c>
      <c r="I43" s="28" t="s">
        <v>285</v>
      </c>
      <c r="J43" s="28">
        <v>1.0</v>
      </c>
      <c r="K43" s="28" t="s">
        <v>261</v>
      </c>
      <c r="L43" s="28">
        <v>8.0</v>
      </c>
      <c r="M43" s="28" t="s">
        <v>263</v>
      </c>
      <c r="N43" s="28">
        <v>1.0</v>
      </c>
      <c r="O43" s="28" t="s">
        <v>263</v>
      </c>
      <c r="P43" s="28">
        <v>1.0</v>
      </c>
      <c r="Q43" s="28" t="s">
        <v>281</v>
      </c>
      <c r="R43" s="28">
        <v>2.0</v>
      </c>
      <c r="S43" s="28" t="s">
        <v>261</v>
      </c>
      <c r="T43" s="28">
        <v>3.0</v>
      </c>
      <c r="U43" s="28" t="s">
        <v>266</v>
      </c>
      <c r="V43" s="28">
        <v>2.0</v>
      </c>
      <c r="W43" s="28" t="s">
        <v>301</v>
      </c>
      <c r="X43" s="28">
        <v>2.0</v>
      </c>
      <c r="Y43" s="28" t="s">
        <v>261</v>
      </c>
      <c r="Z43" s="28">
        <v>2.0</v>
      </c>
      <c r="AA43" s="28" t="s">
        <v>294</v>
      </c>
      <c r="AB43" s="28">
        <v>1.0</v>
      </c>
      <c r="AC43" s="28" t="s">
        <v>297</v>
      </c>
      <c r="AD43" s="28">
        <v>1.0</v>
      </c>
      <c r="AE43" s="28" t="s">
        <v>261</v>
      </c>
      <c r="AF43" s="28">
        <v>6.0</v>
      </c>
      <c r="AG43" s="28" t="s">
        <v>311</v>
      </c>
      <c r="AH43" s="28">
        <v>1.0</v>
      </c>
      <c r="AI43" s="28" t="s">
        <v>263</v>
      </c>
      <c r="AJ43" s="28">
        <v>1.0</v>
      </c>
      <c r="AK43" s="28" t="s">
        <v>285</v>
      </c>
      <c r="AL43" s="28">
        <v>1.0</v>
      </c>
      <c r="AM43" s="28" t="s">
        <v>294</v>
      </c>
      <c r="AN43" s="28">
        <v>3.0</v>
      </c>
      <c r="AO43" s="28" t="s">
        <v>475</v>
      </c>
      <c r="AP43" s="28">
        <v>1.0</v>
      </c>
    </row>
    <row r="44">
      <c r="A44" s="28" t="s">
        <v>291</v>
      </c>
      <c r="B44" s="28">
        <v>2.0</v>
      </c>
      <c r="C44" s="28" t="s">
        <v>255</v>
      </c>
      <c r="D44" s="28">
        <v>1.0</v>
      </c>
      <c r="E44" s="28" t="s">
        <v>302</v>
      </c>
      <c r="F44" s="28">
        <v>1.0</v>
      </c>
      <c r="G44" s="28" t="s">
        <v>283</v>
      </c>
      <c r="H44" s="28">
        <v>1.0</v>
      </c>
      <c r="I44" s="28" t="s">
        <v>281</v>
      </c>
      <c r="J44" s="28">
        <v>3.0</v>
      </c>
      <c r="K44" s="28" t="s">
        <v>285</v>
      </c>
      <c r="L44" s="28">
        <v>1.0</v>
      </c>
      <c r="M44" s="28" t="s">
        <v>261</v>
      </c>
      <c r="N44" s="28">
        <v>1.0</v>
      </c>
      <c r="O44" s="28" t="s">
        <v>261</v>
      </c>
      <c r="P44" s="28">
        <v>1.0</v>
      </c>
      <c r="Q44" s="28" t="s">
        <v>317</v>
      </c>
      <c r="R44" s="28">
        <v>3.0</v>
      </c>
      <c r="S44" s="28" t="s">
        <v>271</v>
      </c>
      <c r="T44" s="28">
        <v>1.0</v>
      </c>
      <c r="U44" s="28" t="s">
        <v>283</v>
      </c>
      <c r="V44" s="28">
        <v>1.0</v>
      </c>
      <c r="W44" s="28" t="s">
        <v>315</v>
      </c>
      <c r="X44" s="28">
        <v>1.0</v>
      </c>
      <c r="Y44" s="28" t="s">
        <v>271</v>
      </c>
      <c r="Z44" s="28">
        <v>1.0</v>
      </c>
      <c r="AA44" s="28" t="s">
        <v>319</v>
      </c>
      <c r="AB44" s="28">
        <v>1.0</v>
      </c>
      <c r="AC44" s="28" t="s">
        <v>315</v>
      </c>
      <c r="AD44" s="28">
        <v>1.0</v>
      </c>
      <c r="AE44" s="28" t="s">
        <v>285</v>
      </c>
      <c r="AF44" s="28">
        <v>3.0</v>
      </c>
      <c r="AG44" s="28" t="s">
        <v>261</v>
      </c>
      <c r="AH44" s="28">
        <v>1.0</v>
      </c>
      <c r="AI44" s="28" t="s">
        <v>304</v>
      </c>
      <c r="AJ44" s="28">
        <v>2.0</v>
      </c>
      <c r="AK44" s="28" t="s">
        <v>281</v>
      </c>
      <c r="AL44" s="28">
        <v>1.0</v>
      </c>
      <c r="AM44" s="28" t="s">
        <v>319</v>
      </c>
      <c r="AN44" s="28">
        <v>2.0</v>
      </c>
      <c r="AO44" s="28" t="s">
        <v>258</v>
      </c>
      <c r="AP44" s="28">
        <v>1.0</v>
      </c>
    </row>
    <row r="45">
      <c r="A45" s="28" t="s">
        <v>241</v>
      </c>
      <c r="B45" s="28">
        <v>1.0</v>
      </c>
      <c r="C45" s="28" t="s">
        <v>476</v>
      </c>
      <c r="D45" s="28">
        <v>1.0</v>
      </c>
      <c r="E45" s="28" t="s">
        <v>261</v>
      </c>
      <c r="F45" s="28">
        <v>2.0</v>
      </c>
      <c r="G45" s="28" t="s">
        <v>263</v>
      </c>
      <c r="H45" s="28">
        <v>2.0</v>
      </c>
      <c r="I45" s="28" t="s">
        <v>294</v>
      </c>
      <c r="J45" s="28">
        <v>3.0</v>
      </c>
      <c r="K45" s="28" t="s">
        <v>281</v>
      </c>
      <c r="L45" s="28">
        <v>2.0</v>
      </c>
      <c r="M45" s="28" t="s">
        <v>285</v>
      </c>
      <c r="N45" s="28">
        <v>1.0</v>
      </c>
      <c r="O45" s="28" t="s">
        <v>271</v>
      </c>
      <c r="P45" s="28">
        <v>1.0</v>
      </c>
      <c r="Q45" s="28" t="s">
        <v>319</v>
      </c>
      <c r="R45" s="28">
        <v>2.0</v>
      </c>
      <c r="S45" s="28" t="s">
        <v>281</v>
      </c>
      <c r="T45" s="28">
        <v>1.0</v>
      </c>
      <c r="U45" s="28" t="s">
        <v>302</v>
      </c>
      <c r="V45" s="28">
        <v>2.0</v>
      </c>
      <c r="W45" s="28" t="s">
        <v>300</v>
      </c>
      <c r="X45" s="28">
        <v>1.0</v>
      </c>
      <c r="Y45" s="28" t="s">
        <v>285</v>
      </c>
      <c r="Z45" s="28">
        <v>1.0</v>
      </c>
      <c r="AA45" s="28" t="s">
        <v>301</v>
      </c>
      <c r="AB45" s="28">
        <v>2.0</v>
      </c>
      <c r="AC45" s="28" t="s">
        <v>307</v>
      </c>
      <c r="AD45" s="28">
        <v>1.0</v>
      </c>
      <c r="AE45" s="28" t="s">
        <v>281</v>
      </c>
      <c r="AF45" s="28">
        <v>1.0</v>
      </c>
      <c r="AG45" s="28" t="s">
        <v>301</v>
      </c>
      <c r="AH45" s="28">
        <v>2.0</v>
      </c>
      <c r="AI45" s="28" t="s">
        <v>302</v>
      </c>
      <c r="AJ45" s="28">
        <v>2.0</v>
      </c>
      <c r="AK45" s="28" t="s">
        <v>319</v>
      </c>
      <c r="AL45" s="28">
        <v>1.0</v>
      </c>
      <c r="AM45" s="28" t="s">
        <v>297</v>
      </c>
      <c r="AN45" s="28">
        <v>1.0</v>
      </c>
      <c r="AO45" s="28" t="s">
        <v>283</v>
      </c>
      <c r="AP45" s="28">
        <v>1.0</v>
      </c>
    </row>
    <row r="46">
      <c r="A46" s="28" t="s">
        <v>248</v>
      </c>
      <c r="B46" s="28">
        <v>1.0</v>
      </c>
      <c r="C46" s="28" t="s">
        <v>263</v>
      </c>
      <c r="D46" s="28">
        <v>1.0</v>
      </c>
      <c r="E46" s="28" t="s">
        <v>281</v>
      </c>
      <c r="F46" s="28">
        <v>2.0</v>
      </c>
      <c r="G46" s="28" t="s">
        <v>261</v>
      </c>
      <c r="H46" s="28">
        <v>1.0</v>
      </c>
      <c r="I46" s="28" t="s">
        <v>317</v>
      </c>
      <c r="J46" s="28">
        <v>1.0</v>
      </c>
      <c r="K46" s="28" t="s">
        <v>294</v>
      </c>
      <c r="L46" s="28">
        <v>2.0</v>
      </c>
      <c r="M46" s="28" t="s">
        <v>281</v>
      </c>
      <c r="N46" s="28">
        <v>1.0</v>
      </c>
      <c r="O46" s="28" t="s">
        <v>281</v>
      </c>
      <c r="P46" s="28">
        <v>3.0</v>
      </c>
      <c r="Q46" s="28" t="s">
        <v>306</v>
      </c>
      <c r="R46" s="28">
        <v>1.0</v>
      </c>
      <c r="S46" s="28" t="s">
        <v>294</v>
      </c>
      <c r="T46" s="28">
        <v>4.0</v>
      </c>
      <c r="U46" s="28" t="s">
        <v>311</v>
      </c>
      <c r="V46" s="28">
        <v>1.0</v>
      </c>
      <c r="W46" s="28" t="s">
        <v>307</v>
      </c>
      <c r="X46" s="28">
        <v>1.0</v>
      </c>
      <c r="Y46" s="28" t="s">
        <v>281</v>
      </c>
      <c r="Z46" s="28">
        <v>3.0</v>
      </c>
      <c r="AA46" s="28" t="s">
        <v>297</v>
      </c>
      <c r="AB46" s="28">
        <v>3.0</v>
      </c>
      <c r="AC46" s="28" t="s">
        <v>348</v>
      </c>
      <c r="AD46" s="28">
        <v>1.0</v>
      </c>
      <c r="AE46" s="28" t="s">
        <v>294</v>
      </c>
      <c r="AF46" s="28">
        <v>3.0</v>
      </c>
      <c r="AG46" s="28" t="s">
        <v>315</v>
      </c>
      <c r="AH46" s="28">
        <v>1.0</v>
      </c>
      <c r="AI46" s="28" t="s">
        <v>285</v>
      </c>
      <c r="AJ46" s="28">
        <v>2.0</v>
      </c>
      <c r="AK46" s="28" t="s">
        <v>306</v>
      </c>
      <c r="AL46" s="28">
        <v>1.0</v>
      </c>
      <c r="AM46" s="28" t="s">
        <v>300</v>
      </c>
      <c r="AN46" s="28">
        <v>1.0</v>
      </c>
      <c r="AO46" s="28" t="s">
        <v>302</v>
      </c>
      <c r="AP46" s="28">
        <v>1.0</v>
      </c>
    </row>
    <row r="47">
      <c r="A47" s="28" t="s">
        <v>292</v>
      </c>
      <c r="B47" s="28">
        <v>2.0</v>
      </c>
      <c r="C47" s="28" t="s">
        <v>261</v>
      </c>
      <c r="D47" s="28">
        <v>2.0</v>
      </c>
      <c r="E47" s="28" t="s">
        <v>294</v>
      </c>
      <c r="F47" s="28">
        <v>1.0</v>
      </c>
      <c r="G47" s="28" t="s">
        <v>285</v>
      </c>
      <c r="H47" s="28">
        <v>2.0</v>
      </c>
      <c r="I47" s="28" t="s">
        <v>297</v>
      </c>
      <c r="J47" s="28">
        <v>1.0</v>
      </c>
      <c r="K47" s="28" t="s">
        <v>319</v>
      </c>
      <c r="L47" s="28">
        <v>1.0</v>
      </c>
      <c r="M47" s="28" t="s">
        <v>301</v>
      </c>
      <c r="N47" s="28">
        <v>3.0</v>
      </c>
      <c r="O47" s="28" t="s">
        <v>319</v>
      </c>
      <c r="P47" s="28">
        <v>4.0</v>
      </c>
      <c r="Q47" s="28" t="s">
        <v>301</v>
      </c>
      <c r="R47" s="28">
        <v>2.0</v>
      </c>
      <c r="S47" s="28" t="s">
        <v>301</v>
      </c>
      <c r="T47" s="28">
        <v>1.0</v>
      </c>
      <c r="U47" s="28" t="s">
        <v>261</v>
      </c>
      <c r="V47" s="28">
        <v>8.0</v>
      </c>
      <c r="W47" s="28" t="s">
        <v>331</v>
      </c>
      <c r="X47" s="28">
        <v>2.0</v>
      </c>
      <c r="Y47" s="28" t="s">
        <v>319</v>
      </c>
      <c r="Z47" s="28">
        <v>1.0</v>
      </c>
      <c r="AA47" s="28" t="s">
        <v>315</v>
      </c>
      <c r="AB47" s="28">
        <v>1.0</v>
      </c>
      <c r="AC47" s="28" t="s">
        <v>343</v>
      </c>
      <c r="AD47" s="28">
        <v>1.0</v>
      </c>
      <c r="AE47" s="28" t="s">
        <v>301</v>
      </c>
      <c r="AF47" s="28">
        <v>3.0</v>
      </c>
      <c r="AG47" s="28" t="s">
        <v>300</v>
      </c>
      <c r="AH47" s="28">
        <v>2.0</v>
      </c>
      <c r="AI47" s="28" t="s">
        <v>281</v>
      </c>
      <c r="AJ47" s="28">
        <v>1.0</v>
      </c>
      <c r="AK47" s="28" t="s">
        <v>301</v>
      </c>
      <c r="AL47" s="28">
        <v>2.0</v>
      </c>
      <c r="AM47" s="28" t="s">
        <v>331</v>
      </c>
      <c r="AN47" s="28">
        <v>1.0</v>
      </c>
      <c r="AO47" s="28" t="s">
        <v>261</v>
      </c>
      <c r="AP47" s="28">
        <v>9.0</v>
      </c>
    </row>
    <row r="48">
      <c r="A48" s="28" t="s">
        <v>276</v>
      </c>
      <c r="B48" s="28">
        <v>1.0</v>
      </c>
      <c r="C48" s="28" t="s">
        <v>285</v>
      </c>
      <c r="D48" s="28">
        <v>1.0</v>
      </c>
      <c r="E48" s="28" t="s">
        <v>319</v>
      </c>
      <c r="F48" s="28">
        <v>3.0</v>
      </c>
      <c r="G48" s="28" t="s">
        <v>281</v>
      </c>
      <c r="H48" s="28">
        <v>1.0</v>
      </c>
      <c r="I48" s="28" t="s">
        <v>323</v>
      </c>
      <c r="J48" s="28">
        <v>1.0</v>
      </c>
      <c r="K48" s="28" t="s">
        <v>301</v>
      </c>
      <c r="L48" s="28">
        <v>5.0</v>
      </c>
      <c r="M48" s="28" t="s">
        <v>297</v>
      </c>
      <c r="N48" s="28">
        <v>1.0</v>
      </c>
      <c r="O48" s="28" t="s">
        <v>301</v>
      </c>
      <c r="P48" s="28">
        <v>1.0</v>
      </c>
      <c r="Q48" s="28" t="s">
        <v>315</v>
      </c>
      <c r="R48" s="28">
        <v>1.0</v>
      </c>
      <c r="S48" s="28" t="s">
        <v>297</v>
      </c>
      <c r="T48" s="28">
        <v>1.0</v>
      </c>
      <c r="U48" s="28" t="s">
        <v>271</v>
      </c>
      <c r="V48" s="28">
        <v>1.0</v>
      </c>
      <c r="W48" s="28" t="s">
        <v>348</v>
      </c>
      <c r="X48" s="28">
        <v>1.0</v>
      </c>
      <c r="Y48" s="28" t="s">
        <v>306</v>
      </c>
      <c r="Z48" s="28">
        <v>1.0</v>
      </c>
      <c r="AA48" s="28" t="s">
        <v>323</v>
      </c>
      <c r="AB48" s="28">
        <v>1.0</v>
      </c>
      <c r="AC48" s="28" t="s">
        <v>375</v>
      </c>
      <c r="AD48" s="28">
        <v>1.0</v>
      </c>
      <c r="AE48" s="28" t="s">
        <v>297</v>
      </c>
      <c r="AF48" s="28">
        <v>4.0</v>
      </c>
      <c r="AG48" s="28" t="s">
        <v>307</v>
      </c>
      <c r="AH48" s="28">
        <v>1.0</v>
      </c>
      <c r="AI48" s="28" t="s">
        <v>319</v>
      </c>
      <c r="AJ48" s="28">
        <v>1.0</v>
      </c>
      <c r="AK48" s="28" t="s">
        <v>297</v>
      </c>
      <c r="AL48" s="28">
        <v>3.0</v>
      </c>
      <c r="AM48" s="28" t="s">
        <v>341</v>
      </c>
      <c r="AN48" s="28">
        <v>2.0</v>
      </c>
      <c r="AO48" s="28" t="s">
        <v>285</v>
      </c>
      <c r="AP48" s="28">
        <v>1.0</v>
      </c>
    </row>
    <row r="49">
      <c r="A49" s="28" t="s">
        <v>257</v>
      </c>
      <c r="B49" s="28">
        <v>1.0</v>
      </c>
      <c r="C49" s="28" t="s">
        <v>281</v>
      </c>
      <c r="D49" s="28">
        <v>1.0</v>
      </c>
      <c r="E49" s="28" t="s">
        <v>297</v>
      </c>
      <c r="F49" s="28">
        <v>1.0</v>
      </c>
      <c r="G49" s="28" t="s">
        <v>317</v>
      </c>
      <c r="H49" s="28">
        <v>1.0</v>
      </c>
      <c r="I49" s="28" t="s">
        <v>336</v>
      </c>
      <c r="J49" s="28">
        <v>1.0</v>
      </c>
      <c r="K49" s="28" t="s">
        <v>297</v>
      </c>
      <c r="L49" s="28">
        <v>1.0</v>
      </c>
      <c r="M49" s="28" t="s">
        <v>300</v>
      </c>
      <c r="N49" s="28">
        <v>1.0</v>
      </c>
      <c r="O49" s="28" t="s">
        <v>300</v>
      </c>
      <c r="P49" s="28">
        <v>2.0</v>
      </c>
      <c r="Q49" s="28" t="s">
        <v>300</v>
      </c>
      <c r="R49" s="28">
        <v>3.0</v>
      </c>
      <c r="S49" s="28" t="s">
        <v>315</v>
      </c>
      <c r="T49" s="28">
        <v>1.0</v>
      </c>
      <c r="U49" s="28" t="s">
        <v>281</v>
      </c>
      <c r="V49" s="28">
        <v>1.0</v>
      </c>
      <c r="W49" s="28" t="s">
        <v>347</v>
      </c>
      <c r="X49" s="28">
        <v>1.0</v>
      </c>
      <c r="Y49" s="28" t="s">
        <v>301</v>
      </c>
      <c r="Z49" s="28">
        <v>1.0</v>
      </c>
      <c r="AA49" s="28" t="s">
        <v>300</v>
      </c>
      <c r="AB49" s="28">
        <v>2.0</v>
      </c>
      <c r="AC49" s="28" t="s">
        <v>344</v>
      </c>
      <c r="AD49" s="28">
        <v>1.0</v>
      </c>
      <c r="AE49" s="28" t="s">
        <v>300</v>
      </c>
      <c r="AF49" s="28">
        <v>2.0</v>
      </c>
      <c r="AG49" s="28" t="s">
        <v>331</v>
      </c>
      <c r="AH49" s="28">
        <v>2.0</v>
      </c>
      <c r="AI49" s="28" t="s">
        <v>306</v>
      </c>
      <c r="AJ49" s="28">
        <v>1.0</v>
      </c>
      <c r="AK49" s="28" t="s">
        <v>315</v>
      </c>
      <c r="AL49" s="28">
        <v>1.0</v>
      </c>
      <c r="AM49" s="28" t="s">
        <v>363</v>
      </c>
      <c r="AN49" s="28">
        <v>1.0</v>
      </c>
      <c r="AO49" s="28" t="s">
        <v>281</v>
      </c>
      <c r="AP49" s="28">
        <v>3.0</v>
      </c>
    </row>
    <row r="50">
      <c r="A50" s="28" t="s">
        <v>255</v>
      </c>
      <c r="B50" s="28">
        <v>1.0</v>
      </c>
      <c r="C50" s="28" t="s">
        <v>319</v>
      </c>
      <c r="D50" s="28">
        <v>1.0</v>
      </c>
      <c r="E50" s="28" t="s">
        <v>336</v>
      </c>
      <c r="F50" s="28">
        <v>1.0</v>
      </c>
      <c r="G50" s="28" t="s">
        <v>301</v>
      </c>
      <c r="H50" s="28">
        <v>5.0</v>
      </c>
      <c r="I50" s="28" t="s">
        <v>348</v>
      </c>
      <c r="J50" s="28">
        <v>1.0</v>
      </c>
      <c r="K50" s="28" t="s">
        <v>315</v>
      </c>
      <c r="L50" s="28">
        <v>1.0</v>
      </c>
      <c r="M50" s="28" t="s">
        <v>352</v>
      </c>
      <c r="N50" s="28">
        <v>1.0</v>
      </c>
      <c r="O50" s="28" t="s">
        <v>341</v>
      </c>
      <c r="P50" s="28">
        <v>1.0</v>
      </c>
      <c r="Q50" s="28" t="s">
        <v>336</v>
      </c>
      <c r="R50" s="28">
        <v>2.0</v>
      </c>
      <c r="S50" s="28" t="s">
        <v>323</v>
      </c>
      <c r="T50" s="28">
        <v>1.0</v>
      </c>
      <c r="U50" s="28" t="s">
        <v>294</v>
      </c>
      <c r="V50" s="28">
        <v>2.0</v>
      </c>
      <c r="W50" s="28" t="s">
        <v>357</v>
      </c>
      <c r="X50" s="28">
        <v>1.0</v>
      </c>
      <c r="Y50" s="28" t="s">
        <v>359</v>
      </c>
      <c r="Z50" s="28">
        <v>1.0</v>
      </c>
      <c r="AA50" s="28" t="s">
        <v>307</v>
      </c>
      <c r="AB50" s="28">
        <v>1.0</v>
      </c>
      <c r="AC50" s="28" t="s">
        <v>305</v>
      </c>
      <c r="AD50" s="28">
        <v>2.0</v>
      </c>
      <c r="AE50" s="28" t="s">
        <v>331</v>
      </c>
      <c r="AF50" s="28">
        <v>1.0</v>
      </c>
      <c r="AG50" s="28" t="s">
        <v>348</v>
      </c>
      <c r="AH50" s="28">
        <v>1.0</v>
      </c>
      <c r="AI50" s="28" t="s">
        <v>315</v>
      </c>
      <c r="AJ50" s="28">
        <v>1.0</v>
      </c>
      <c r="AK50" s="28" t="s">
        <v>331</v>
      </c>
      <c r="AL50" s="28">
        <v>2.0</v>
      </c>
      <c r="AM50" s="28" t="s">
        <v>312</v>
      </c>
      <c r="AN50" s="28">
        <v>1.0</v>
      </c>
      <c r="AO50" s="28" t="s">
        <v>319</v>
      </c>
      <c r="AP50" s="28">
        <v>1.0</v>
      </c>
    </row>
    <row r="51">
      <c r="A51" s="28" t="s">
        <v>283</v>
      </c>
      <c r="B51" s="28">
        <v>1.0</v>
      </c>
      <c r="C51" s="28" t="s">
        <v>301</v>
      </c>
      <c r="D51" s="28">
        <v>1.0</v>
      </c>
      <c r="E51" s="28" t="s">
        <v>305</v>
      </c>
      <c r="F51" s="28">
        <v>1.0</v>
      </c>
      <c r="G51" s="28" t="s">
        <v>315</v>
      </c>
      <c r="H51" s="28">
        <v>1.0</v>
      </c>
      <c r="I51" s="28" t="s">
        <v>360</v>
      </c>
      <c r="J51" s="28">
        <v>1.0</v>
      </c>
      <c r="K51" s="28" t="s">
        <v>300</v>
      </c>
      <c r="L51" s="28">
        <v>2.0</v>
      </c>
      <c r="M51" s="28" t="s">
        <v>359</v>
      </c>
      <c r="N51" s="28">
        <v>1.0</v>
      </c>
      <c r="O51" s="28" t="s">
        <v>363</v>
      </c>
      <c r="P51" s="28">
        <v>1.0</v>
      </c>
      <c r="Q51" s="28" t="s">
        <v>348</v>
      </c>
      <c r="R51" s="28">
        <v>1.0</v>
      </c>
      <c r="S51" s="28" t="s">
        <v>307</v>
      </c>
      <c r="T51" s="28">
        <v>1.0</v>
      </c>
      <c r="U51" s="28" t="s">
        <v>319</v>
      </c>
      <c r="V51" s="28">
        <v>1.0</v>
      </c>
      <c r="W51" s="28" t="s">
        <v>379</v>
      </c>
      <c r="X51" s="28">
        <v>1.0</v>
      </c>
      <c r="Y51" s="28" t="s">
        <v>305</v>
      </c>
      <c r="Z51" s="28">
        <v>1.0</v>
      </c>
      <c r="AA51" s="28" t="s">
        <v>331</v>
      </c>
      <c r="AB51" s="28">
        <v>2.0</v>
      </c>
      <c r="AC51" s="28" t="s">
        <v>309</v>
      </c>
      <c r="AD51" s="28">
        <v>2.0</v>
      </c>
      <c r="AE51" s="28" t="s">
        <v>340</v>
      </c>
      <c r="AF51" s="28">
        <v>1.0</v>
      </c>
      <c r="AG51" s="28" t="s">
        <v>341</v>
      </c>
      <c r="AH51" s="28">
        <v>2.0</v>
      </c>
      <c r="AI51" s="28" t="s">
        <v>300</v>
      </c>
      <c r="AJ51" s="28">
        <v>1.0</v>
      </c>
      <c r="AK51" s="28" t="s">
        <v>340</v>
      </c>
      <c r="AL51" s="28">
        <v>1.0</v>
      </c>
      <c r="AM51" s="28" t="s">
        <v>366</v>
      </c>
      <c r="AN51" s="28">
        <v>2.0</v>
      </c>
      <c r="AO51" s="28" t="s">
        <v>301</v>
      </c>
      <c r="AP51" s="28">
        <v>3.0</v>
      </c>
    </row>
    <row r="52">
      <c r="A52" s="28" t="s">
        <v>261</v>
      </c>
      <c r="B52" s="28">
        <v>6.0</v>
      </c>
      <c r="C52" s="28" t="s">
        <v>323</v>
      </c>
      <c r="D52" s="28">
        <v>1.0</v>
      </c>
      <c r="E52" s="28" t="s">
        <v>309</v>
      </c>
      <c r="F52" s="28">
        <v>2.0</v>
      </c>
      <c r="G52" s="28" t="s">
        <v>323</v>
      </c>
      <c r="H52" s="28">
        <v>1.0</v>
      </c>
      <c r="I52" s="28" t="s">
        <v>372</v>
      </c>
      <c r="J52" s="28">
        <v>1.0</v>
      </c>
      <c r="K52" s="28" t="s">
        <v>307</v>
      </c>
      <c r="L52" s="28">
        <v>1.0</v>
      </c>
      <c r="M52" s="28" t="s">
        <v>309</v>
      </c>
      <c r="N52" s="28">
        <v>1.0</v>
      </c>
      <c r="O52" s="28" t="s">
        <v>305</v>
      </c>
      <c r="P52" s="28">
        <v>3.0</v>
      </c>
      <c r="Q52" s="28" t="s">
        <v>341</v>
      </c>
      <c r="R52" s="28">
        <v>1.0</v>
      </c>
      <c r="S52" s="28" t="s">
        <v>331</v>
      </c>
      <c r="T52" s="28">
        <v>1.0</v>
      </c>
      <c r="U52" s="28" t="s">
        <v>301</v>
      </c>
      <c r="V52" s="28">
        <v>4.0</v>
      </c>
      <c r="W52" s="28" t="s">
        <v>361</v>
      </c>
      <c r="X52" s="28">
        <v>1.0</v>
      </c>
      <c r="Y52" s="28" t="s">
        <v>309</v>
      </c>
      <c r="Z52" s="28">
        <v>1.0</v>
      </c>
      <c r="AA52" s="28" t="s">
        <v>360</v>
      </c>
      <c r="AB52" s="28">
        <v>1.0</v>
      </c>
      <c r="AC52" s="28" t="s">
        <v>335</v>
      </c>
      <c r="AD52" s="28">
        <v>1.0</v>
      </c>
      <c r="AE52" s="28" t="s">
        <v>341</v>
      </c>
      <c r="AF52" s="28">
        <v>3.0</v>
      </c>
      <c r="AG52" s="28" t="s">
        <v>360</v>
      </c>
      <c r="AH52" s="28">
        <v>1.0</v>
      </c>
      <c r="AI52" s="28" t="s">
        <v>305</v>
      </c>
      <c r="AJ52" s="28">
        <v>1.0</v>
      </c>
      <c r="AK52" s="28" t="s">
        <v>310</v>
      </c>
      <c r="AL52" s="28">
        <v>1.0</v>
      </c>
      <c r="AM52" s="28" t="s">
        <v>385</v>
      </c>
      <c r="AN52" s="28">
        <v>1.0</v>
      </c>
      <c r="AO52" s="28" t="s">
        <v>315</v>
      </c>
      <c r="AP52" s="28">
        <v>1.0</v>
      </c>
    </row>
    <row r="53">
      <c r="A53" s="28" t="s">
        <v>285</v>
      </c>
      <c r="B53" s="28">
        <v>1.0</v>
      </c>
      <c r="C53" s="28" t="s">
        <v>300</v>
      </c>
      <c r="D53" s="28">
        <v>1.0</v>
      </c>
      <c r="E53" s="28" t="s">
        <v>354</v>
      </c>
      <c r="F53" s="28">
        <v>2.0</v>
      </c>
      <c r="G53" s="28" t="s">
        <v>300</v>
      </c>
      <c r="H53" s="28">
        <v>2.0</v>
      </c>
      <c r="I53" s="28" t="s">
        <v>305</v>
      </c>
      <c r="J53" s="28">
        <v>2.0</v>
      </c>
      <c r="K53" s="28" t="s">
        <v>316</v>
      </c>
      <c r="L53" s="28">
        <v>1.0</v>
      </c>
      <c r="M53" s="28" t="s">
        <v>366</v>
      </c>
      <c r="N53" s="28">
        <v>1.0</v>
      </c>
      <c r="O53" s="28" t="s">
        <v>366</v>
      </c>
      <c r="P53" s="28">
        <v>1.0</v>
      </c>
      <c r="Q53" s="28" t="s">
        <v>362</v>
      </c>
      <c r="R53" s="28">
        <v>1.0</v>
      </c>
      <c r="S53" s="28" t="s">
        <v>348</v>
      </c>
      <c r="T53" s="28">
        <v>1.0</v>
      </c>
      <c r="U53" s="28" t="s">
        <v>297</v>
      </c>
      <c r="V53" s="28">
        <v>1.0</v>
      </c>
      <c r="W53" s="28" t="s">
        <v>364</v>
      </c>
      <c r="X53" s="28">
        <v>1.0</v>
      </c>
      <c r="Y53" s="28" t="s">
        <v>367</v>
      </c>
      <c r="Z53" s="28">
        <v>1.0</v>
      </c>
      <c r="AA53" s="28" t="s">
        <v>362</v>
      </c>
      <c r="AB53" s="28">
        <v>1.0</v>
      </c>
      <c r="AC53" s="28" t="s">
        <v>366</v>
      </c>
      <c r="AD53" s="28">
        <v>3.0</v>
      </c>
      <c r="AE53" s="28" t="s">
        <v>352</v>
      </c>
      <c r="AF53" s="28">
        <v>1.0</v>
      </c>
      <c r="AG53" s="28" t="s">
        <v>362</v>
      </c>
      <c r="AH53" s="28">
        <v>1.0</v>
      </c>
      <c r="AI53" s="28" t="s">
        <v>320</v>
      </c>
      <c r="AJ53" s="28">
        <v>1.0</v>
      </c>
      <c r="AK53" s="28" t="s">
        <v>348</v>
      </c>
      <c r="AL53" s="28">
        <v>1.0</v>
      </c>
      <c r="AM53" s="28" t="s">
        <v>356</v>
      </c>
      <c r="AN53" s="28">
        <v>2.0</v>
      </c>
      <c r="AO53" s="28" t="s">
        <v>323</v>
      </c>
      <c r="AP53" s="28">
        <v>1.0</v>
      </c>
    </row>
    <row r="54">
      <c r="A54" s="28" t="s">
        <v>281</v>
      </c>
      <c r="B54" s="28">
        <v>1.0</v>
      </c>
      <c r="C54" s="28" t="s">
        <v>331</v>
      </c>
      <c r="D54" s="28">
        <v>1.0</v>
      </c>
      <c r="E54" s="28" t="s">
        <v>366</v>
      </c>
      <c r="F54" s="28">
        <v>1.0</v>
      </c>
      <c r="G54" s="28" t="s">
        <v>331</v>
      </c>
      <c r="H54" s="28">
        <v>1.0</v>
      </c>
      <c r="I54" s="28" t="s">
        <v>357</v>
      </c>
      <c r="J54" s="28">
        <v>1.0</v>
      </c>
      <c r="K54" s="28" t="s">
        <v>331</v>
      </c>
      <c r="L54" s="28">
        <v>1.0</v>
      </c>
      <c r="M54" s="28" t="s">
        <v>314</v>
      </c>
      <c r="N54" s="28">
        <v>1.0</v>
      </c>
      <c r="O54" s="28" t="s">
        <v>314</v>
      </c>
      <c r="P54" s="28">
        <v>1.0</v>
      </c>
      <c r="Q54" s="28" t="s">
        <v>372</v>
      </c>
      <c r="R54" s="28">
        <v>1.0</v>
      </c>
      <c r="S54" s="28" t="s">
        <v>355</v>
      </c>
      <c r="T54" s="28">
        <v>1.0</v>
      </c>
      <c r="U54" s="28" t="s">
        <v>300</v>
      </c>
      <c r="V54" s="28">
        <v>1.0</v>
      </c>
      <c r="W54" s="28" t="s">
        <v>383</v>
      </c>
      <c r="X54" s="28">
        <v>1.0</v>
      </c>
      <c r="Y54" s="28" t="s">
        <v>314</v>
      </c>
      <c r="Z54" s="28">
        <v>2.0</v>
      </c>
      <c r="AA54" s="28" t="s">
        <v>344</v>
      </c>
      <c r="AB54" s="28">
        <v>1.0</v>
      </c>
      <c r="AC54" s="28" t="s">
        <v>314</v>
      </c>
      <c r="AD54" s="28">
        <v>1.0</v>
      </c>
      <c r="AE54" s="28" t="s">
        <v>360</v>
      </c>
      <c r="AF54" s="28">
        <v>1.0</v>
      </c>
      <c r="AG54" s="28" t="s">
        <v>305</v>
      </c>
      <c r="AH54" s="28">
        <v>1.0</v>
      </c>
      <c r="AI54" s="28" t="s">
        <v>309</v>
      </c>
      <c r="AJ54" s="28">
        <v>1.0</v>
      </c>
      <c r="AK54" s="28" t="s">
        <v>360</v>
      </c>
      <c r="AL54" s="28">
        <v>1.0</v>
      </c>
      <c r="AM54" s="28" t="s">
        <v>364</v>
      </c>
      <c r="AN54" s="28">
        <v>1.0</v>
      </c>
      <c r="AO54" s="28" t="s">
        <v>307</v>
      </c>
      <c r="AP54" s="28">
        <v>1.0</v>
      </c>
    </row>
    <row r="55">
      <c r="A55" s="28" t="s">
        <v>294</v>
      </c>
      <c r="B55" s="28">
        <v>1.0</v>
      </c>
      <c r="C55" s="28" t="s">
        <v>348</v>
      </c>
      <c r="D55" s="28">
        <v>1.0</v>
      </c>
      <c r="E55" s="28" t="s">
        <v>314</v>
      </c>
      <c r="F55" s="28">
        <v>1.0</v>
      </c>
      <c r="G55" s="28" t="s">
        <v>336</v>
      </c>
      <c r="H55" s="28">
        <v>1.0</v>
      </c>
      <c r="I55" s="28" t="s">
        <v>309</v>
      </c>
      <c r="J55" s="28">
        <v>2.0</v>
      </c>
      <c r="K55" s="28" t="s">
        <v>341</v>
      </c>
      <c r="L55" s="28">
        <v>2.0</v>
      </c>
      <c r="M55" s="28" t="s">
        <v>327</v>
      </c>
      <c r="N55" s="28">
        <v>1.0</v>
      </c>
      <c r="O55" s="28" t="s">
        <v>322</v>
      </c>
      <c r="P55" s="28">
        <v>1.0</v>
      </c>
      <c r="Q55" s="28" t="s">
        <v>305</v>
      </c>
      <c r="R55" s="28">
        <v>2.0</v>
      </c>
      <c r="S55" s="28" t="s">
        <v>360</v>
      </c>
      <c r="T55" s="28">
        <v>1.0</v>
      </c>
      <c r="U55" s="28" t="s">
        <v>336</v>
      </c>
      <c r="V55" s="28">
        <v>1.0</v>
      </c>
      <c r="W55" s="28" t="s">
        <v>486</v>
      </c>
      <c r="X55" s="28">
        <v>1.0</v>
      </c>
      <c r="Y55" s="28" t="s">
        <v>327</v>
      </c>
      <c r="Z55" s="28">
        <v>1.0</v>
      </c>
      <c r="AA55" s="28" t="s">
        <v>305</v>
      </c>
      <c r="AB55" s="28">
        <v>1.0</v>
      </c>
      <c r="AC55" s="28" t="s">
        <v>356</v>
      </c>
      <c r="AD55" s="28">
        <v>1.0</v>
      </c>
      <c r="AE55" s="28" t="s">
        <v>375</v>
      </c>
      <c r="AF55" s="28">
        <v>1.0</v>
      </c>
      <c r="AG55" s="28" t="s">
        <v>312</v>
      </c>
      <c r="AH55" s="28">
        <v>1.0</v>
      </c>
      <c r="AI55" s="28" t="s">
        <v>314</v>
      </c>
      <c r="AJ55" s="28">
        <v>1.0</v>
      </c>
      <c r="AK55" s="28" t="s">
        <v>362</v>
      </c>
      <c r="AL55" s="28">
        <v>2.0</v>
      </c>
      <c r="AM55" s="28" t="s">
        <v>329</v>
      </c>
      <c r="AN55" s="28">
        <v>1.0</v>
      </c>
      <c r="AO55" s="28" t="s">
        <v>331</v>
      </c>
      <c r="AP55" s="28">
        <v>1.0</v>
      </c>
    </row>
    <row r="56">
      <c r="A56" s="28" t="s">
        <v>319</v>
      </c>
      <c r="B56" s="28">
        <v>2.0</v>
      </c>
      <c r="C56" s="28" t="s">
        <v>305</v>
      </c>
      <c r="D56" s="28">
        <v>2.0</v>
      </c>
      <c r="E56" s="28" t="s">
        <v>383</v>
      </c>
      <c r="F56" s="28">
        <v>1.0</v>
      </c>
      <c r="G56" s="28" t="s">
        <v>348</v>
      </c>
      <c r="H56" s="28">
        <v>1.0</v>
      </c>
      <c r="I56" s="28" t="s">
        <v>335</v>
      </c>
      <c r="J56" s="28">
        <v>1.0</v>
      </c>
      <c r="K56" s="28" t="s">
        <v>343</v>
      </c>
      <c r="L56" s="28">
        <v>1.0</v>
      </c>
      <c r="M56" s="28" t="s">
        <v>361</v>
      </c>
      <c r="N56" s="28">
        <v>3.0</v>
      </c>
      <c r="O56" s="28" t="s">
        <v>327</v>
      </c>
      <c r="P56" s="28">
        <v>1.0</v>
      </c>
      <c r="Q56" s="28" t="s">
        <v>320</v>
      </c>
      <c r="R56" s="28">
        <v>2.0</v>
      </c>
      <c r="S56" s="28" t="s">
        <v>305</v>
      </c>
      <c r="T56" s="28">
        <v>1.0</v>
      </c>
      <c r="U56" s="28" t="s">
        <v>348</v>
      </c>
      <c r="V56" s="28">
        <v>1.0</v>
      </c>
      <c r="W56" s="28" t="s">
        <v>334</v>
      </c>
      <c r="X56" s="28">
        <v>1.0</v>
      </c>
      <c r="Y56" s="28" t="s">
        <v>361</v>
      </c>
      <c r="Z56" s="28">
        <v>1.0</v>
      </c>
      <c r="AA56" s="28" t="s">
        <v>320</v>
      </c>
      <c r="AB56" s="28">
        <v>1.0</v>
      </c>
      <c r="AC56" s="28" t="s">
        <v>378</v>
      </c>
      <c r="AD56" s="28">
        <v>1.0</v>
      </c>
      <c r="AE56" s="28" t="s">
        <v>305</v>
      </c>
      <c r="AF56" s="28">
        <v>1.0</v>
      </c>
      <c r="AG56" s="28" t="s">
        <v>354</v>
      </c>
      <c r="AH56" s="28">
        <v>1.0</v>
      </c>
      <c r="AI56" s="28" t="s">
        <v>327</v>
      </c>
      <c r="AJ56" s="28">
        <v>1.0</v>
      </c>
      <c r="AK56" s="28" t="s">
        <v>305</v>
      </c>
      <c r="AL56" s="28">
        <v>2.0</v>
      </c>
      <c r="AM56" s="28" t="s">
        <v>368</v>
      </c>
      <c r="AN56" s="28">
        <v>1.0</v>
      </c>
      <c r="AO56" s="28" t="s">
        <v>340</v>
      </c>
      <c r="AP56" s="28">
        <v>1.0</v>
      </c>
    </row>
    <row r="57">
      <c r="A57" s="28" t="s">
        <v>301</v>
      </c>
      <c r="B57" s="28">
        <v>3.0</v>
      </c>
      <c r="C57" s="28" t="s">
        <v>309</v>
      </c>
      <c r="D57" s="28">
        <v>1.0</v>
      </c>
      <c r="E57" s="28" t="s">
        <v>486</v>
      </c>
      <c r="F57" s="28">
        <v>1.0</v>
      </c>
      <c r="G57" s="28" t="s">
        <v>343</v>
      </c>
      <c r="H57" s="28">
        <v>1.0</v>
      </c>
      <c r="I57" s="28" t="s">
        <v>366</v>
      </c>
      <c r="J57" s="28">
        <v>1.0</v>
      </c>
      <c r="K57" s="28" t="s">
        <v>355</v>
      </c>
      <c r="L57" s="28">
        <v>1.0</v>
      </c>
      <c r="M57" s="28" t="s">
        <v>488</v>
      </c>
      <c r="N57" s="28">
        <v>1.0</v>
      </c>
      <c r="O57" s="28" t="s">
        <v>361</v>
      </c>
      <c r="P57" s="28">
        <v>1.0</v>
      </c>
      <c r="Q57" s="28" t="s">
        <v>309</v>
      </c>
      <c r="R57" s="28">
        <v>1.0</v>
      </c>
      <c r="S57" s="28" t="s">
        <v>320</v>
      </c>
      <c r="T57" s="28">
        <v>3.0</v>
      </c>
      <c r="U57" s="28" t="s">
        <v>343</v>
      </c>
      <c r="V57" s="28">
        <v>2.0</v>
      </c>
      <c r="W57" s="28" t="s">
        <v>353</v>
      </c>
      <c r="X57" s="28">
        <v>2.0</v>
      </c>
      <c r="Y57" s="28" t="s">
        <v>488</v>
      </c>
      <c r="Z57" s="28">
        <v>1.0</v>
      </c>
      <c r="AA57" s="28" t="s">
        <v>309</v>
      </c>
      <c r="AB57" s="28">
        <v>2.0</v>
      </c>
      <c r="AC57" s="28" t="s">
        <v>327</v>
      </c>
      <c r="AD57" s="28">
        <v>1.0</v>
      </c>
      <c r="AE57" s="28" t="s">
        <v>357</v>
      </c>
      <c r="AF57" s="28">
        <v>1.0</v>
      </c>
      <c r="AG57" s="28" t="s">
        <v>361</v>
      </c>
      <c r="AH57" s="28">
        <v>1.0</v>
      </c>
      <c r="AI57" s="28" t="s">
        <v>334</v>
      </c>
      <c r="AJ57" s="28">
        <v>1.0</v>
      </c>
      <c r="AK57" s="28" t="s">
        <v>320</v>
      </c>
      <c r="AL57" s="28">
        <v>1.0</v>
      </c>
      <c r="AM57" s="28" t="s">
        <v>346</v>
      </c>
      <c r="AN57" s="28">
        <v>1.0</v>
      </c>
      <c r="AO57" s="28" t="s">
        <v>310</v>
      </c>
      <c r="AP57" s="28">
        <v>1.0</v>
      </c>
    </row>
    <row r="58">
      <c r="A58" s="28" t="s">
        <v>315</v>
      </c>
      <c r="B58" s="28">
        <v>1.0</v>
      </c>
      <c r="C58" s="28" t="s">
        <v>335</v>
      </c>
      <c r="D58" s="28">
        <v>1.0</v>
      </c>
      <c r="E58" s="28" t="s">
        <v>370</v>
      </c>
      <c r="F58" s="28">
        <v>2.0</v>
      </c>
      <c r="G58" s="28" t="s">
        <v>352</v>
      </c>
      <c r="H58" s="28">
        <v>1.0</v>
      </c>
      <c r="I58" s="28" t="s">
        <v>379</v>
      </c>
      <c r="J58" s="28">
        <v>1.0</v>
      </c>
      <c r="K58" s="28" t="s">
        <v>359</v>
      </c>
      <c r="L58" s="28">
        <v>2.0</v>
      </c>
      <c r="M58" s="28" t="s">
        <v>383</v>
      </c>
      <c r="N58" s="28">
        <v>1.0</v>
      </c>
      <c r="O58" s="28" t="s">
        <v>486</v>
      </c>
      <c r="P58" s="28">
        <v>1.0</v>
      </c>
      <c r="Q58" s="28" t="s">
        <v>335</v>
      </c>
      <c r="R58" s="28">
        <v>2.0</v>
      </c>
      <c r="S58" s="28" t="s">
        <v>309</v>
      </c>
      <c r="T58" s="28">
        <v>1.0</v>
      </c>
      <c r="U58" s="28" t="s">
        <v>347</v>
      </c>
      <c r="V58" s="28">
        <v>1.0</v>
      </c>
      <c r="W58" s="76"/>
      <c r="X58" s="76"/>
      <c r="Y58" s="28" t="s">
        <v>486</v>
      </c>
      <c r="Z58" s="28">
        <v>1.0</v>
      </c>
      <c r="AA58" s="28" t="s">
        <v>335</v>
      </c>
      <c r="AB58" s="28">
        <v>2.0</v>
      </c>
      <c r="AC58" s="28" t="s">
        <v>374</v>
      </c>
      <c r="AD58" s="28">
        <v>1.0</v>
      </c>
      <c r="AE58" s="28" t="s">
        <v>320</v>
      </c>
      <c r="AF58" s="28">
        <v>2.0</v>
      </c>
      <c r="AG58" s="28" t="s">
        <v>364</v>
      </c>
      <c r="AH58" s="28">
        <v>1.0</v>
      </c>
      <c r="AI58" s="28" t="s">
        <v>368</v>
      </c>
      <c r="AJ58" s="28">
        <v>2.0</v>
      </c>
      <c r="AK58" s="28" t="s">
        <v>309</v>
      </c>
      <c r="AL58" s="28">
        <v>2.0</v>
      </c>
      <c r="AM58" s="28"/>
      <c r="AN58" s="28"/>
      <c r="AO58" s="28" t="s">
        <v>348</v>
      </c>
      <c r="AP58" s="28">
        <v>1.0</v>
      </c>
    </row>
    <row r="59">
      <c r="A59" s="28" t="s">
        <v>300</v>
      </c>
      <c r="B59" s="28">
        <v>1.0</v>
      </c>
      <c r="C59" s="28" t="s">
        <v>354</v>
      </c>
      <c r="D59" s="28">
        <v>1.0</v>
      </c>
      <c r="E59" s="28" t="s">
        <v>334</v>
      </c>
      <c r="F59" s="28">
        <v>1.0</v>
      </c>
      <c r="G59" s="28" t="s">
        <v>362</v>
      </c>
      <c r="H59" s="28">
        <v>1.0</v>
      </c>
      <c r="I59" s="28" t="s">
        <v>374</v>
      </c>
      <c r="J59" s="28">
        <v>1.0</v>
      </c>
      <c r="K59" s="28" t="s">
        <v>320</v>
      </c>
      <c r="L59" s="28">
        <v>2.0</v>
      </c>
      <c r="M59" s="28" t="s">
        <v>486</v>
      </c>
      <c r="N59" s="28">
        <v>1.0</v>
      </c>
      <c r="O59" s="28" t="s">
        <v>334</v>
      </c>
      <c r="P59" s="28">
        <v>1.0</v>
      </c>
      <c r="Q59" s="28" t="s">
        <v>366</v>
      </c>
      <c r="R59" s="28">
        <v>1.0</v>
      </c>
      <c r="S59" s="28" t="s">
        <v>335</v>
      </c>
      <c r="T59" s="28">
        <v>1.0</v>
      </c>
      <c r="U59" s="28" t="s">
        <v>352</v>
      </c>
      <c r="V59" s="28">
        <v>1.0</v>
      </c>
      <c r="W59" s="76"/>
      <c r="X59" s="79">
        <v>67.0</v>
      </c>
      <c r="Y59" s="28" t="s">
        <v>374</v>
      </c>
      <c r="Z59" s="28">
        <v>1.0</v>
      </c>
      <c r="AA59" s="28" t="s">
        <v>366</v>
      </c>
      <c r="AB59" s="28">
        <v>1.0</v>
      </c>
      <c r="AC59" s="28" t="s">
        <v>353</v>
      </c>
      <c r="AD59" s="28">
        <v>2.0</v>
      </c>
      <c r="AE59" s="28" t="s">
        <v>309</v>
      </c>
      <c r="AF59" s="28">
        <v>3.0</v>
      </c>
      <c r="AG59" s="28" t="s">
        <v>486</v>
      </c>
      <c r="AH59" s="28">
        <v>1.0</v>
      </c>
      <c r="AI59" s="28" t="s">
        <v>346</v>
      </c>
      <c r="AJ59" s="28">
        <v>1.0</v>
      </c>
      <c r="AK59" s="28" t="s">
        <v>335</v>
      </c>
      <c r="AL59" s="28">
        <v>2.0</v>
      </c>
      <c r="AM59" s="28"/>
      <c r="AN59" s="126">
        <v>60.0</v>
      </c>
      <c r="AO59" s="28" t="s">
        <v>341</v>
      </c>
      <c r="AP59" s="28">
        <v>3.0</v>
      </c>
    </row>
    <row r="60">
      <c r="A60" s="28" t="s">
        <v>307</v>
      </c>
      <c r="B60" s="28">
        <v>2.0</v>
      </c>
      <c r="C60" s="28" t="s">
        <v>366</v>
      </c>
      <c r="D60" s="28">
        <v>1.0</v>
      </c>
      <c r="E60" s="28" t="s">
        <v>368</v>
      </c>
      <c r="F60" s="28">
        <v>1.0</v>
      </c>
      <c r="G60" s="28" t="s">
        <v>372</v>
      </c>
      <c r="H60" s="28">
        <v>2.0</v>
      </c>
      <c r="I60" s="28" t="s">
        <v>368</v>
      </c>
      <c r="J60" s="28">
        <v>1.0</v>
      </c>
      <c r="K60" s="28" t="s">
        <v>309</v>
      </c>
      <c r="L60" s="28">
        <v>1.0</v>
      </c>
      <c r="M60" s="28" t="s">
        <v>370</v>
      </c>
      <c r="N60" s="28">
        <v>1.0</v>
      </c>
      <c r="O60" s="28" t="s">
        <v>368</v>
      </c>
      <c r="P60" s="28">
        <v>2.0</v>
      </c>
      <c r="Q60" s="28" t="s">
        <v>314</v>
      </c>
      <c r="R60" s="28">
        <v>2.0</v>
      </c>
      <c r="S60" s="28" t="s">
        <v>366</v>
      </c>
      <c r="T60" s="28">
        <v>4.0</v>
      </c>
      <c r="U60" s="28" t="s">
        <v>355</v>
      </c>
      <c r="V60" s="28">
        <v>2.0</v>
      </c>
      <c r="Y60" s="28" t="s">
        <v>368</v>
      </c>
      <c r="Z60" s="28">
        <v>2.0</v>
      </c>
      <c r="AA60" s="28" t="s">
        <v>314</v>
      </c>
      <c r="AB60" s="28">
        <v>2.0</v>
      </c>
      <c r="AC60" s="28" t="s">
        <v>346</v>
      </c>
      <c r="AD60" s="28">
        <v>1.0</v>
      </c>
      <c r="AE60" s="28" t="s">
        <v>335</v>
      </c>
      <c r="AF60" s="28">
        <v>1.0</v>
      </c>
      <c r="AG60" s="28" t="s">
        <v>370</v>
      </c>
      <c r="AH60" s="28">
        <v>1.0</v>
      </c>
      <c r="AI60" s="28"/>
      <c r="AJ60" s="28"/>
      <c r="AK60" s="28" t="s">
        <v>354</v>
      </c>
      <c r="AL60" s="28">
        <v>1.0</v>
      </c>
      <c r="AM60" s="127"/>
      <c r="AN60" s="127"/>
      <c r="AO60" s="28" t="s">
        <v>352</v>
      </c>
      <c r="AP60" s="28">
        <v>1.0</v>
      </c>
    </row>
    <row r="61">
      <c r="A61" s="28" t="s">
        <v>331</v>
      </c>
      <c r="B61" s="28">
        <v>1.0</v>
      </c>
      <c r="C61" s="28" t="s">
        <v>314</v>
      </c>
      <c r="D61" s="28">
        <v>1.0</v>
      </c>
      <c r="E61" s="28" t="s">
        <v>353</v>
      </c>
      <c r="F61" s="28">
        <v>1.0</v>
      </c>
      <c r="G61" s="28" t="s">
        <v>305</v>
      </c>
      <c r="H61" s="28">
        <v>1.0</v>
      </c>
      <c r="I61" s="28" t="s">
        <v>353</v>
      </c>
      <c r="J61" s="28">
        <v>1.0</v>
      </c>
      <c r="K61" s="28" t="s">
        <v>312</v>
      </c>
      <c r="L61" s="28">
        <v>1.0</v>
      </c>
      <c r="M61" s="28" t="s">
        <v>368</v>
      </c>
      <c r="N61" s="28">
        <v>1.0</v>
      </c>
      <c r="O61" s="28" t="s">
        <v>346</v>
      </c>
      <c r="P61" s="28">
        <v>1.0</v>
      </c>
      <c r="Q61" s="28" t="s">
        <v>379</v>
      </c>
      <c r="R61" s="28">
        <v>1.0</v>
      </c>
      <c r="S61" s="28" t="s">
        <v>356</v>
      </c>
      <c r="T61" s="28">
        <v>1.0</v>
      </c>
      <c r="U61" s="28" t="s">
        <v>375</v>
      </c>
      <c r="V61" s="28">
        <v>1.0</v>
      </c>
      <c r="Y61" s="28" t="s">
        <v>346</v>
      </c>
      <c r="Z61" s="28">
        <v>1.0</v>
      </c>
      <c r="AA61" s="28" t="s">
        <v>379</v>
      </c>
      <c r="AB61" s="28">
        <v>1.0</v>
      </c>
      <c r="AC61" s="28"/>
      <c r="AD61" s="28"/>
      <c r="AE61" s="28" t="s">
        <v>354</v>
      </c>
      <c r="AF61" s="28">
        <v>2.0</v>
      </c>
      <c r="AG61" s="28" t="s">
        <v>368</v>
      </c>
      <c r="AH61" s="28">
        <v>1.0</v>
      </c>
      <c r="AI61" s="28"/>
      <c r="AJ61" s="126">
        <v>56.0</v>
      </c>
      <c r="AK61" s="28" t="s">
        <v>367</v>
      </c>
      <c r="AL61" s="28">
        <v>1.0</v>
      </c>
      <c r="AM61" s="127"/>
      <c r="AN61" s="127"/>
      <c r="AO61" s="28" t="s">
        <v>360</v>
      </c>
      <c r="AP61" s="28">
        <v>1.0</v>
      </c>
    </row>
    <row r="62">
      <c r="A62" s="28" t="s">
        <v>340</v>
      </c>
      <c r="B62" s="28">
        <v>1.0</v>
      </c>
      <c r="C62" s="28" t="s">
        <v>356</v>
      </c>
      <c r="D62" s="28">
        <v>1.0</v>
      </c>
      <c r="E62" s="28" t="s">
        <v>346</v>
      </c>
      <c r="F62" s="28">
        <v>1.0</v>
      </c>
      <c r="G62" s="28" t="s">
        <v>320</v>
      </c>
      <c r="H62" s="28">
        <v>3.0</v>
      </c>
      <c r="I62" s="76"/>
      <c r="J62" s="76"/>
      <c r="K62" s="28" t="s">
        <v>354</v>
      </c>
      <c r="L62" s="28">
        <v>3.0</v>
      </c>
      <c r="M62" s="76"/>
      <c r="N62" s="76"/>
      <c r="O62" s="76"/>
      <c r="P62" s="76"/>
      <c r="Q62" s="28" t="s">
        <v>327</v>
      </c>
      <c r="R62" s="28">
        <v>1.0</v>
      </c>
      <c r="S62" s="28" t="s">
        <v>322</v>
      </c>
      <c r="T62" s="28">
        <v>1.0</v>
      </c>
      <c r="U62" s="28" t="s">
        <v>359</v>
      </c>
      <c r="V62" s="28">
        <v>1.0</v>
      </c>
      <c r="Y62" s="76"/>
      <c r="Z62" s="76"/>
      <c r="AA62" s="28" t="s">
        <v>356</v>
      </c>
      <c r="AB62" s="28">
        <v>3.0</v>
      </c>
      <c r="AC62" s="28"/>
      <c r="AD62" s="126">
        <v>68.0</v>
      </c>
      <c r="AE62" s="28" t="s">
        <v>366</v>
      </c>
      <c r="AF62" s="28">
        <v>2.0</v>
      </c>
      <c r="AG62" s="28" t="s">
        <v>346</v>
      </c>
      <c r="AH62" s="28">
        <v>1.0</v>
      </c>
      <c r="AI62" s="127"/>
      <c r="AJ62" s="127"/>
      <c r="AK62" s="28" t="s">
        <v>379</v>
      </c>
      <c r="AL62" s="28">
        <v>1.0</v>
      </c>
      <c r="AM62" s="127"/>
      <c r="AN62" s="127"/>
      <c r="AO62" s="28" t="s">
        <v>372</v>
      </c>
      <c r="AP62" s="28">
        <v>1.0</v>
      </c>
    </row>
    <row r="63">
      <c r="A63" s="28" t="s">
        <v>348</v>
      </c>
      <c r="B63" s="28">
        <v>1.0</v>
      </c>
      <c r="C63" s="28" t="s">
        <v>361</v>
      </c>
      <c r="D63" s="28">
        <v>1.0</v>
      </c>
      <c r="E63" s="76"/>
      <c r="F63" s="76"/>
      <c r="G63" s="28" t="s">
        <v>385</v>
      </c>
      <c r="H63" s="28">
        <v>1.0</v>
      </c>
      <c r="I63" s="76"/>
      <c r="J63" s="79">
        <v>64.0</v>
      </c>
      <c r="K63" s="28" t="s">
        <v>366</v>
      </c>
      <c r="L63" s="28">
        <v>3.0</v>
      </c>
      <c r="M63" s="76"/>
      <c r="N63" s="79">
        <v>68.0</v>
      </c>
      <c r="O63" s="76"/>
      <c r="P63" s="79">
        <v>59.0</v>
      </c>
      <c r="Q63" s="28" t="s">
        <v>361</v>
      </c>
      <c r="R63" s="28">
        <v>4.0</v>
      </c>
      <c r="S63" s="28" t="s">
        <v>486</v>
      </c>
      <c r="T63" s="28">
        <v>1.0</v>
      </c>
      <c r="U63" s="28" t="s">
        <v>305</v>
      </c>
      <c r="V63" s="28">
        <v>1.0</v>
      </c>
      <c r="Y63" s="76"/>
      <c r="Z63" s="79">
        <v>62.0</v>
      </c>
      <c r="AA63" s="28" t="s">
        <v>322</v>
      </c>
      <c r="AB63" s="28">
        <v>2.0</v>
      </c>
      <c r="AC63" s="127"/>
      <c r="AD63" s="127"/>
      <c r="AE63" s="28" t="s">
        <v>571</v>
      </c>
      <c r="AF63" s="28">
        <v>1.0</v>
      </c>
      <c r="AG63" s="28"/>
      <c r="AH63" s="28"/>
      <c r="AI63" s="127"/>
      <c r="AJ63" s="127"/>
      <c r="AK63" s="28" t="s">
        <v>356</v>
      </c>
      <c r="AL63" s="28">
        <v>1.0</v>
      </c>
      <c r="AM63" s="127"/>
      <c r="AN63" s="127"/>
      <c r="AO63" s="28" t="s">
        <v>357</v>
      </c>
      <c r="AP63" s="28">
        <v>1.0</v>
      </c>
    </row>
    <row r="64">
      <c r="A64" s="28" t="s">
        <v>341</v>
      </c>
      <c r="B64" s="28">
        <v>3.0</v>
      </c>
      <c r="C64" s="28" t="s">
        <v>383</v>
      </c>
      <c r="D64" s="28">
        <v>1.0</v>
      </c>
      <c r="E64" s="76"/>
      <c r="F64" s="79">
        <v>61.0</v>
      </c>
      <c r="G64" s="28" t="s">
        <v>379</v>
      </c>
      <c r="H64" s="28">
        <v>1.0</v>
      </c>
      <c r="K64" s="28" t="s">
        <v>314</v>
      </c>
      <c r="L64" s="28">
        <v>4.0</v>
      </c>
      <c r="Q64" s="28" t="s">
        <v>383</v>
      </c>
      <c r="R64" s="28">
        <v>1.0</v>
      </c>
      <c r="S64" s="28" t="s">
        <v>370</v>
      </c>
      <c r="T64" s="28">
        <v>1.0</v>
      </c>
      <c r="U64" s="28" t="s">
        <v>320</v>
      </c>
      <c r="V64" s="28">
        <v>3.0</v>
      </c>
      <c r="AA64" s="28" t="s">
        <v>378</v>
      </c>
      <c r="AB64" s="28">
        <v>1.0</v>
      </c>
      <c r="AC64" s="127"/>
      <c r="AD64" s="127"/>
      <c r="AE64" s="28" t="s">
        <v>385</v>
      </c>
      <c r="AF64" s="28">
        <v>1.0</v>
      </c>
      <c r="AG64" s="28"/>
      <c r="AH64" s="126">
        <v>62.0</v>
      </c>
      <c r="AI64" s="133"/>
      <c r="AJ64" s="133"/>
      <c r="AK64" s="28" t="s">
        <v>322</v>
      </c>
      <c r="AL64" s="28">
        <v>2.0</v>
      </c>
      <c r="AM64" s="127"/>
      <c r="AN64" s="127"/>
      <c r="AO64" s="28" t="s">
        <v>320</v>
      </c>
      <c r="AP64" s="28">
        <v>1.0</v>
      </c>
    </row>
    <row r="65">
      <c r="A65" s="28" t="s">
        <v>343</v>
      </c>
      <c r="B65" s="28">
        <v>1.0</v>
      </c>
      <c r="C65" s="28" t="s">
        <v>486</v>
      </c>
      <c r="D65" s="28">
        <v>1.0</v>
      </c>
      <c r="G65" s="28" t="s">
        <v>356</v>
      </c>
      <c r="H65" s="28">
        <v>3.0</v>
      </c>
      <c r="K65" s="28" t="s">
        <v>379</v>
      </c>
      <c r="L65" s="28">
        <v>3.0</v>
      </c>
      <c r="Q65" s="28" t="s">
        <v>370</v>
      </c>
      <c r="R65" s="28">
        <v>1.0</v>
      </c>
      <c r="S65" s="28" t="s">
        <v>489</v>
      </c>
      <c r="T65" s="28">
        <v>1.0</v>
      </c>
      <c r="U65" s="28" t="s">
        <v>309</v>
      </c>
      <c r="V65" s="28">
        <v>1.0</v>
      </c>
      <c r="AA65" s="28" t="s">
        <v>361</v>
      </c>
      <c r="AB65" s="28">
        <v>1.0</v>
      </c>
      <c r="AC65" s="127"/>
      <c r="AD65" s="127"/>
      <c r="AE65" s="28" t="s">
        <v>379</v>
      </c>
      <c r="AF65" s="28">
        <v>2.0</v>
      </c>
      <c r="AG65" s="127"/>
      <c r="AH65" s="127"/>
      <c r="AI65" s="127"/>
      <c r="AJ65" s="127"/>
      <c r="AK65" s="28" t="s">
        <v>378</v>
      </c>
      <c r="AL65" s="28">
        <v>1.0</v>
      </c>
      <c r="AM65" s="127"/>
      <c r="AN65" s="127"/>
      <c r="AO65" s="28" t="s">
        <v>354</v>
      </c>
      <c r="AP65" s="28">
        <v>3.0</v>
      </c>
    </row>
    <row r="66">
      <c r="A66" s="28" t="s">
        <v>344</v>
      </c>
      <c r="B66" s="28">
        <v>1.0</v>
      </c>
      <c r="C66" s="28" t="s">
        <v>370</v>
      </c>
      <c r="D66" s="28">
        <v>1.0</v>
      </c>
      <c r="G66" s="28" t="s">
        <v>322</v>
      </c>
      <c r="H66" s="28">
        <v>1.0</v>
      </c>
      <c r="K66" s="28" t="s">
        <v>356</v>
      </c>
      <c r="L66" s="28">
        <v>3.0</v>
      </c>
      <c r="Q66" s="28" t="s">
        <v>374</v>
      </c>
      <c r="R66" s="28">
        <v>1.0</v>
      </c>
      <c r="S66" s="28" t="s">
        <v>374</v>
      </c>
      <c r="T66" s="28">
        <v>1.0</v>
      </c>
      <c r="U66" s="28" t="s">
        <v>335</v>
      </c>
      <c r="V66" s="28">
        <v>2.0</v>
      </c>
      <c r="AA66" s="28" t="s">
        <v>383</v>
      </c>
      <c r="AB66" s="28">
        <v>1.0</v>
      </c>
      <c r="AC66" s="127"/>
      <c r="AD66" s="127"/>
      <c r="AE66" s="28" t="s">
        <v>322</v>
      </c>
      <c r="AF66" s="28">
        <v>1.0</v>
      </c>
      <c r="AG66" s="127"/>
      <c r="AH66" s="127"/>
      <c r="AI66" s="127"/>
      <c r="AJ66" s="127"/>
      <c r="AK66" s="28" t="s">
        <v>361</v>
      </c>
      <c r="AL66" s="28">
        <v>1.0</v>
      </c>
      <c r="AM66" s="127"/>
      <c r="AN66" s="127"/>
      <c r="AO66" s="28" t="s">
        <v>367</v>
      </c>
      <c r="AP66" s="28">
        <v>1.0</v>
      </c>
    </row>
    <row r="67">
      <c r="A67" s="28" t="s">
        <v>305</v>
      </c>
      <c r="B67" s="28">
        <v>2.0</v>
      </c>
      <c r="C67" s="28" t="s">
        <v>489</v>
      </c>
      <c r="D67" s="28">
        <v>1.0</v>
      </c>
      <c r="G67" s="28" t="s">
        <v>378</v>
      </c>
      <c r="H67" s="28">
        <v>1.0</v>
      </c>
      <c r="K67" s="28" t="s">
        <v>322</v>
      </c>
      <c r="L67" s="28">
        <v>1.0</v>
      </c>
      <c r="Q67" s="28" t="s">
        <v>368</v>
      </c>
      <c r="R67" s="28">
        <v>1.0</v>
      </c>
      <c r="S67" s="28" t="s">
        <v>353</v>
      </c>
      <c r="T67" s="28">
        <v>1.0</v>
      </c>
      <c r="U67" s="28" t="s">
        <v>354</v>
      </c>
      <c r="V67" s="28">
        <v>1.0</v>
      </c>
      <c r="AA67" s="28" t="s">
        <v>370</v>
      </c>
      <c r="AB67" s="28">
        <v>1.0</v>
      </c>
      <c r="AC67" s="127"/>
      <c r="AD67" s="127"/>
      <c r="AE67" s="28" t="s">
        <v>378</v>
      </c>
      <c r="AF67" s="28">
        <v>1.0</v>
      </c>
      <c r="AG67" s="127"/>
      <c r="AH67" s="127"/>
      <c r="AI67" s="127"/>
      <c r="AJ67" s="127"/>
      <c r="AK67" s="28" t="s">
        <v>383</v>
      </c>
      <c r="AL67" s="28">
        <v>1.0</v>
      </c>
      <c r="AM67" s="127"/>
      <c r="AN67" s="127"/>
      <c r="AO67" s="28" t="s">
        <v>366</v>
      </c>
      <c r="AP67" s="28">
        <v>1.0</v>
      </c>
    </row>
    <row r="68">
      <c r="A68" s="28" t="s">
        <v>320</v>
      </c>
      <c r="B68" s="28">
        <v>2.0</v>
      </c>
      <c r="C68" s="28" t="s">
        <v>374</v>
      </c>
      <c r="D68" s="28">
        <v>1.0</v>
      </c>
      <c r="G68" s="28" t="s">
        <v>383</v>
      </c>
      <c r="H68" s="28">
        <v>2.0</v>
      </c>
      <c r="K68" s="28" t="s">
        <v>327</v>
      </c>
      <c r="L68" s="28">
        <v>1.0</v>
      </c>
      <c r="Q68" s="76"/>
      <c r="R68" s="76"/>
      <c r="S68" s="76"/>
      <c r="T68" s="76"/>
      <c r="U68" s="28" t="s">
        <v>367</v>
      </c>
      <c r="V68" s="28">
        <v>1.0</v>
      </c>
      <c r="AA68" s="28" t="s">
        <v>374</v>
      </c>
      <c r="AB68" s="28">
        <v>1.0</v>
      </c>
      <c r="AC68" s="127"/>
      <c r="AD68" s="127"/>
      <c r="AE68" s="28" t="s">
        <v>349</v>
      </c>
      <c r="AF68" s="28">
        <v>1.0</v>
      </c>
      <c r="AG68" s="127"/>
      <c r="AH68" s="127"/>
      <c r="AI68" s="127"/>
      <c r="AJ68" s="127"/>
      <c r="AK68" s="28" t="s">
        <v>353</v>
      </c>
      <c r="AL68" s="28">
        <v>1.0</v>
      </c>
      <c r="AM68" s="127"/>
      <c r="AN68" s="127"/>
      <c r="AO68" s="28" t="s">
        <v>314</v>
      </c>
      <c r="AP68" s="28">
        <v>2.0</v>
      </c>
    </row>
    <row r="69">
      <c r="A69" s="28" t="s">
        <v>309</v>
      </c>
      <c r="B69" s="28">
        <v>1.0</v>
      </c>
      <c r="C69" s="28" t="s">
        <v>353</v>
      </c>
      <c r="D69" s="28">
        <v>1.0</v>
      </c>
      <c r="G69" s="28" t="s">
        <v>392</v>
      </c>
      <c r="H69" s="28">
        <v>1.0</v>
      </c>
      <c r="K69" s="28" t="s">
        <v>361</v>
      </c>
      <c r="L69" s="28">
        <v>2.0</v>
      </c>
      <c r="Q69" s="76"/>
      <c r="R69" s="79">
        <v>93.0</v>
      </c>
      <c r="S69" s="76"/>
      <c r="T69" s="79">
        <v>66.0</v>
      </c>
      <c r="U69" s="28" t="s">
        <v>366</v>
      </c>
      <c r="V69" s="28">
        <v>4.0</v>
      </c>
      <c r="AA69" s="28" t="s">
        <v>334</v>
      </c>
      <c r="AB69" s="28">
        <v>1.0</v>
      </c>
      <c r="AC69" s="127"/>
      <c r="AD69" s="127"/>
      <c r="AE69" s="28" t="s">
        <v>361</v>
      </c>
      <c r="AF69" s="28">
        <v>2.0</v>
      </c>
      <c r="AG69" s="127"/>
      <c r="AH69" s="127"/>
      <c r="AI69" s="127"/>
      <c r="AJ69" s="127"/>
      <c r="AK69" s="28" t="s">
        <v>339</v>
      </c>
      <c r="AL69" s="28">
        <v>2.0</v>
      </c>
      <c r="AM69" s="127"/>
      <c r="AN69" s="127"/>
      <c r="AO69" s="28" t="s">
        <v>379</v>
      </c>
      <c r="AP69" s="28">
        <v>3.0</v>
      </c>
    </row>
    <row r="70">
      <c r="A70" s="28" t="s">
        <v>354</v>
      </c>
      <c r="B70" s="28">
        <v>1.0</v>
      </c>
      <c r="C70" s="76"/>
      <c r="D70" s="76"/>
      <c r="G70" s="28" t="s">
        <v>329</v>
      </c>
      <c r="H70" s="28">
        <v>2.0</v>
      </c>
      <c r="K70" s="28" t="s">
        <v>383</v>
      </c>
      <c r="L70" s="28">
        <v>1.0</v>
      </c>
      <c r="U70" s="28" t="s">
        <v>314</v>
      </c>
      <c r="V70" s="28">
        <v>1.0</v>
      </c>
      <c r="AA70" s="28" t="s">
        <v>368</v>
      </c>
      <c r="AB70" s="28">
        <v>1.0</v>
      </c>
      <c r="AC70" s="127"/>
      <c r="AD70" s="127"/>
      <c r="AE70" s="28" t="s">
        <v>370</v>
      </c>
      <c r="AF70" s="28">
        <v>1.0</v>
      </c>
      <c r="AG70" s="127"/>
      <c r="AH70" s="127"/>
      <c r="AI70" s="127"/>
      <c r="AJ70" s="127"/>
      <c r="AK70" s="28"/>
      <c r="AL70" s="28"/>
      <c r="AM70" s="127"/>
      <c r="AN70" s="127"/>
      <c r="AO70" s="28" t="s">
        <v>327</v>
      </c>
      <c r="AP70" s="28">
        <v>1.0</v>
      </c>
    </row>
    <row r="71">
      <c r="A71" s="28" t="s">
        <v>366</v>
      </c>
      <c r="B71" s="28">
        <v>2.0</v>
      </c>
      <c r="C71" s="76"/>
      <c r="D71" s="79">
        <v>69.0</v>
      </c>
      <c r="G71" s="28" t="s">
        <v>374</v>
      </c>
      <c r="H71" s="28">
        <v>1.0</v>
      </c>
      <c r="K71" s="28" t="s">
        <v>392</v>
      </c>
      <c r="L71" s="28">
        <v>1.0</v>
      </c>
      <c r="U71" s="28" t="s">
        <v>379</v>
      </c>
      <c r="V71" s="28">
        <v>3.0</v>
      </c>
      <c r="AA71" s="28" t="s">
        <v>339</v>
      </c>
      <c r="AB71" s="28">
        <v>1.0</v>
      </c>
      <c r="AC71" s="127"/>
      <c r="AD71" s="127"/>
      <c r="AE71" s="28" t="s">
        <v>346</v>
      </c>
      <c r="AF71" s="28">
        <v>2.0</v>
      </c>
      <c r="AG71" s="127"/>
      <c r="AH71" s="127"/>
      <c r="AI71" s="127"/>
      <c r="AJ71" s="127"/>
      <c r="AK71" s="28"/>
      <c r="AL71" s="126">
        <v>82.0</v>
      </c>
      <c r="AM71" s="133"/>
      <c r="AN71" s="133"/>
      <c r="AO71" s="28" t="s">
        <v>361</v>
      </c>
      <c r="AP71" s="28">
        <v>4.0</v>
      </c>
    </row>
    <row r="72">
      <c r="A72" s="28" t="s">
        <v>314</v>
      </c>
      <c r="B72" s="28">
        <v>2.0</v>
      </c>
      <c r="G72" s="28" t="s">
        <v>368</v>
      </c>
      <c r="H72" s="28">
        <v>1.0</v>
      </c>
      <c r="K72" s="28" t="s">
        <v>334</v>
      </c>
      <c r="L72" s="28">
        <v>1.0</v>
      </c>
      <c r="U72" s="28" t="s">
        <v>322</v>
      </c>
      <c r="V72" s="28">
        <v>1.0</v>
      </c>
      <c r="AA72" s="28" t="s">
        <v>346</v>
      </c>
      <c r="AB72" s="28">
        <v>1.0</v>
      </c>
      <c r="AC72" s="127"/>
      <c r="AD72" s="127"/>
      <c r="AE72" s="28"/>
      <c r="AF72" s="28"/>
      <c r="AG72" s="127"/>
      <c r="AH72" s="127"/>
      <c r="AI72" s="127"/>
      <c r="AJ72" s="127"/>
      <c r="AK72" s="127"/>
      <c r="AL72" s="127"/>
      <c r="AM72" s="127"/>
      <c r="AN72" s="127"/>
      <c r="AO72" s="28" t="s">
        <v>370</v>
      </c>
      <c r="AP72" s="28">
        <v>1.0</v>
      </c>
    </row>
    <row r="73">
      <c r="A73" s="28" t="s">
        <v>379</v>
      </c>
      <c r="B73" s="28">
        <v>3.0</v>
      </c>
      <c r="G73" s="28" t="s">
        <v>339</v>
      </c>
      <c r="H73" s="28">
        <v>2.0</v>
      </c>
      <c r="K73" s="28" t="s">
        <v>368</v>
      </c>
      <c r="L73" s="28">
        <v>1.0</v>
      </c>
      <c r="U73" s="28" t="s">
        <v>378</v>
      </c>
      <c r="V73" s="28">
        <v>1.0</v>
      </c>
      <c r="AA73" s="76"/>
      <c r="AB73" s="76"/>
      <c r="AC73" s="134"/>
      <c r="AD73" s="134"/>
      <c r="AE73" s="76"/>
      <c r="AF73" s="79">
        <v>106.0</v>
      </c>
      <c r="AG73" s="135"/>
      <c r="AH73" s="135"/>
      <c r="AI73" s="135"/>
      <c r="AJ73" s="135"/>
      <c r="AK73" s="135"/>
      <c r="AL73" s="135"/>
      <c r="AM73" s="135"/>
      <c r="AN73" s="135"/>
      <c r="AO73" s="28" t="s">
        <v>334</v>
      </c>
      <c r="AP73" s="28">
        <v>3.0</v>
      </c>
    </row>
    <row r="74">
      <c r="A74" s="28" t="s">
        <v>378</v>
      </c>
      <c r="B74" s="28">
        <v>1.0</v>
      </c>
      <c r="G74" s="76"/>
      <c r="H74" s="76"/>
      <c r="K74" s="28" t="s">
        <v>353</v>
      </c>
      <c r="L74" s="28">
        <v>1.0</v>
      </c>
      <c r="U74" s="28" t="s">
        <v>361</v>
      </c>
      <c r="V74" s="28">
        <v>3.0</v>
      </c>
      <c r="AA74" s="76"/>
      <c r="AB74" s="79">
        <v>88.0</v>
      </c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28" t="s">
        <v>368</v>
      </c>
      <c r="AP74" s="28">
        <v>4.0</v>
      </c>
    </row>
    <row r="75">
      <c r="A75" s="28" t="s">
        <v>327</v>
      </c>
      <c r="B75" s="28">
        <v>2.0</v>
      </c>
      <c r="G75" s="76"/>
      <c r="H75" s="79">
        <v>93.0</v>
      </c>
      <c r="K75" s="28" t="s">
        <v>346</v>
      </c>
      <c r="L75" s="28">
        <v>4.0</v>
      </c>
      <c r="U75" s="28" t="s">
        <v>383</v>
      </c>
      <c r="V75" s="28">
        <v>2.0</v>
      </c>
      <c r="AO75" s="28" t="s">
        <v>353</v>
      </c>
      <c r="AP75" s="28">
        <v>1.0</v>
      </c>
    </row>
    <row r="76">
      <c r="A76" s="28" t="s">
        <v>349</v>
      </c>
      <c r="B76" s="28">
        <v>1.0</v>
      </c>
      <c r="K76" s="76"/>
      <c r="L76" s="76"/>
      <c r="U76" s="28" t="s">
        <v>374</v>
      </c>
      <c r="V76" s="28">
        <v>1.0</v>
      </c>
      <c r="AO76" s="28" t="s">
        <v>346</v>
      </c>
      <c r="AP76" s="28">
        <v>3.0</v>
      </c>
    </row>
    <row r="77">
      <c r="A77" s="28" t="s">
        <v>364</v>
      </c>
      <c r="B77" s="28">
        <v>2.0</v>
      </c>
      <c r="K77" s="76"/>
      <c r="L77" s="79">
        <v>109.0</v>
      </c>
      <c r="U77" s="28" t="s">
        <v>334</v>
      </c>
      <c r="V77" s="28">
        <v>1.0</v>
      </c>
      <c r="AO77" s="76"/>
      <c r="AP77" s="76"/>
    </row>
    <row r="78">
      <c r="A78" s="28" t="s">
        <v>383</v>
      </c>
      <c r="B78" s="28">
        <v>2.0</v>
      </c>
      <c r="U78" s="28" t="s">
        <v>368</v>
      </c>
      <c r="V78" s="28">
        <v>1.0</v>
      </c>
      <c r="AO78" s="76"/>
      <c r="AP78" s="79">
        <v>112.0</v>
      </c>
    </row>
    <row r="79">
      <c r="A79" s="28" t="s">
        <v>486</v>
      </c>
      <c r="B79" s="28">
        <v>1.0</v>
      </c>
      <c r="U79" s="28" t="s">
        <v>353</v>
      </c>
      <c r="V79" s="28">
        <v>1.0</v>
      </c>
    </row>
    <row r="80">
      <c r="A80" s="28" t="s">
        <v>334</v>
      </c>
      <c r="B80" s="28">
        <v>1.0</v>
      </c>
      <c r="U80" s="28" t="s">
        <v>346</v>
      </c>
      <c r="V80" s="28">
        <v>3.0</v>
      </c>
    </row>
    <row r="81">
      <c r="A81" s="28" t="s">
        <v>353</v>
      </c>
      <c r="B81" s="28">
        <v>2.0</v>
      </c>
      <c r="U81" s="76"/>
      <c r="V81" s="76"/>
    </row>
    <row r="82">
      <c r="A82" s="28" t="s">
        <v>339</v>
      </c>
      <c r="B82" s="28">
        <v>1.0</v>
      </c>
      <c r="U82" s="76"/>
      <c r="V82" s="79">
        <v>112.0</v>
      </c>
    </row>
    <row r="83">
      <c r="A83" s="28" t="s">
        <v>346</v>
      </c>
      <c r="B83" s="28">
        <v>3.0</v>
      </c>
    </row>
    <row r="84">
      <c r="A84" s="76"/>
      <c r="B84" s="76"/>
    </row>
    <row r="85">
      <c r="A85" s="76"/>
      <c r="B85" s="79">
        <v>111.0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8.63"/>
    <col hidden="1" min="2" max="2" width="12.63"/>
    <col customWidth="1" hidden="1" min="3" max="3" width="38.63"/>
    <col hidden="1" min="4" max="4" width="12.63"/>
    <col customWidth="1" hidden="1" min="5" max="5" width="38.63"/>
    <col hidden="1" min="6" max="6" width="12.63"/>
    <col customWidth="1" hidden="1" min="7" max="7" width="38.63"/>
    <col hidden="1" min="8" max="8" width="12.63"/>
    <col customWidth="1" hidden="1" min="9" max="9" width="38.63"/>
    <col hidden="1" min="10" max="10" width="12.63"/>
    <col customWidth="1" hidden="1" min="11" max="11" width="38.63"/>
    <col hidden="1" min="12" max="12" width="12.63"/>
    <col customWidth="1" hidden="1" min="13" max="13" width="38.63"/>
    <col hidden="1" min="14" max="14" width="12.63"/>
    <col customWidth="1" hidden="1" min="15" max="15" width="38.63"/>
    <col hidden="1" min="16" max="16" width="12.63"/>
    <col customWidth="1" hidden="1" min="17" max="17" width="38.63"/>
    <col hidden="1" min="18" max="18" width="12.63"/>
    <col customWidth="1" hidden="1" min="19" max="19" width="38.63"/>
    <col hidden="1" min="20" max="20" width="12.63"/>
    <col customWidth="1" hidden="1" min="21" max="21" width="38.63"/>
    <col hidden="1" min="22" max="22" width="12.63"/>
    <col customWidth="1" hidden="1" min="23" max="23" width="38.63"/>
    <col hidden="1" min="24" max="24" width="12.63"/>
    <col customWidth="1" hidden="1" min="25" max="25" width="38.63"/>
    <col hidden="1" min="26" max="26" width="12.63"/>
    <col customWidth="1" hidden="1" min="27" max="27" width="38.63"/>
    <col hidden="1" min="28" max="28" width="12.63"/>
    <col customWidth="1" hidden="1" min="29" max="29" width="38.63"/>
    <col hidden="1" min="30" max="30" width="12.63"/>
    <col customWidth="1" hidden="1" min="31" max="31" width="38.63"/>
    <col hidden="1" min="32" max="32" width="12.63"/>
    <col customWidth="1" hidden="1" min="33" max="33" width="38.63"/>
    <col hidden="1" min="34" max="34" width="12.63"/>
    <col customWidth="1" hidden="1" min="35" max="35" width="38.63"/>
    <col hidden="1" min="36" max="36" width="12.63"/>
    <col customWidth="1" hidden="1" min="37" max="37" width="38.63"/>
    <col hidden="1" min="38" max="38" width="12.63"/>
    <col customWidth="1" hidden="1" min="39" max="39" width="38.63"/>
    <col hidden="1" min="40" max="40" width="12.63"/>
    <col customWidth="1" min="41" max="41" width="38.63"/>
    <col customWidth="1" min="43" max="43" width="38.63"/>
  </cols>
  <sheetData>
    <row r="1" ht="25.5" customHeight="1">
      <c r="A1" s="7" t="s">
        <v>547</v>
      </c>
      <c r="B1" s="9"/>
      <c r="C1" s="7" t="s">
        <v>548</v>
      </c>
      <c r="D1" s="9"/>
      <c r="E1" s="7" t="s">
        <v>549</v>
      </c>
      <c r="F1" s="9"/>
      <c r="G1" s="7" t="s">
        <v>550</v>
      </c>
      <c r="H1" s="9"/>
      <c r="I1" s="7" t="s">
        <v>551</v>
      </c>
      <c r="J1" s="9"/>
      <c r="K1" s="7" t="s">
        <v>552</v>
      </c>
      <c r="L1" s="9"/>
      <c r="M1" s="7" t="s">
        <v>553</v>
      </c>
      <c r="N1" s="9"/>
      <c r="O1" s="7" t="s">
        <v>554</v>
      </c>
      <c r="P1" s="9"/>
      <c r="Q1" s="7" t="s">
        <v>555</v>
      </c>
      <c r="R1" s="9"/>
      <c r="S1" s="7" t="s">
        <v>556</v>
      </c>
      <c r="T1" s="9"/>
      <c r="U1" s="7" t="s">
        <v>557</v>
      </c>
      <c r="V1" s="9"/>
      <c r="W1" s="7" t="s">
        <v>558</v>
      </c>
      <c r="X1" s="9"/>
      <c r="Y1" s="7" t="s">
        <v>559</v>
      </c>
      <c r="Z1" s="9"/>
      <c r="AA1" s="7" t="s">
        <v>560</v>
      </c>
      <c r="AB1" s="9"/>
      <c r="AC1" s="7" t="s">
        <v>561</v>
      </c>
      <c r="AD1" s="9"/>
      <c r="AE1" s="7" t="s">
        <v>562</v>
      </c>
      <c r="AF1" s="9"/>
      <c r="AG1" s="7" t="s">
        <v>563</v>
      </c>
      <c r="AH1" s="9"/>
      <c r="AI1" s="7" t="s">
        <v>564</v>
      </c>
      <c r="AJ1" s="9"/>
      <c r="AK1" s="7" t="s">
        <v>565</v>
      </c>
      <c r="AL1" s="9"/>
      <c r="AM1" s="7" t="s">
        <v>566</v>
      </c>
      <c r="AN1" s="9"/>
      <c r="AO1" s="7" t="s">
        <v>567</v>
      </c>
      <c r="AP1" s="9"/>
      <c r="AQ1" s="7" t="s">
        <v>568</v>
      </c>
      <c r="AR1" s="9"/>
    </row>
    <row r="2">
      <c r="A2" s="28" t="s">
        <v>20</v>
      </c>
      <c r="B2" s="28">
        <v>5.0</v>
      </c>
      <c r="C2" s="28" t="s">
        <v>20</v>
      </c>
      <c r="D2" s="28">
        <v>4.0</v>
      </c>
      <c r="E2" s="28" t="s">
        <v>20</v>
      </c>
      <c r="F2" s="28">
        <v>7.0</v>
      </c>
      <c r="G2" s="28" t="s">
        <v>20</v>
      </c>
      <c r="H2" s="28">
        <v>12.0</v>
      </c>
      <c r="I2" s="28" t="s">
        <v>20</v>
      </c>
      <c r="J2" s="28">
        <v>12.0</v>
      </c>
      <c r="K2" s="28" t="s">
        <v>20</v>
      </c>
      <c r="L2" s="28">
        <v>4.0</v>
      </c>
      <c r="M2" s="31" t="s">
        <v>20</v>
      </c>
      <c r="N2" s="28">
        <v>4.0</v>
      </c>
      <c r="O2" s="28" t="s">
        <v>20</v>
      </c>
      <c r="P2" s="28">
        <v>4.0</v>
      </c>
      <c r="Q2" s="28" t="s">
        <v>20</v>
      </c>
      <c r="R2" s="28">
        <v>14.0</v>
      </c>
      <c r="S2" s="28" t="s">
        <v>20</v>
      </c>
      <c r="T2" s="28">
        <v>9.0</v>
      </c>
      <c r="U2" s="28" t="s">
        <v>20</v>
      </c>
      <c r="V2" s="28">
        <v>6.0</v>
      </c>
      <c r="W2" s="31" t="s">
        <v>20</v>
      </c>
      <c r="X2" s="28">
        <v>5.0</v>
      </c>
      <c r="Y2" s="28" t="s">
        <v>20</v>
      </c>
      <c r="Z2" s="28">
        <v>10.0</v>
      </c>
      <c r="AA2" s="28" t="s">
        <v>20</v>
      </c>
      <c r="AB2" s="28">
        <v>7.0</v>
      </c>
      <c r="AC2" s="28" t="s">
        <v>20</v>
      </c>
      <c r="AD2" s="28">
        <v>11.0</v>
      </c>
      <c r="AE2" s="28" t="s">
        <v>20</v>
      </c>
      <c r="AF2" s="28">
        <v>6.0</v>
      </c>
      <c r="AG2" s="28" t="s">
        <v>20</v>
      </c>
      <c r="AH2" s="28">
        <v>3.0</v>
      </c>
      <c r="AI2" s="28" t="s">
        <v>20</v>
      </c>
      <c r="AJ2" s="28">
        <v>9.0</v>
      </c>
      <c r="AK2" s="28" t="s">
        <v>20</v>
      </c>
      <c r="AL2" s="28">
        <v>8.0</v>
      </c>
      <c r="AM2" s="28" t="s">
        <v>20</v>
      </c>
      <c r="AN2" s="28">
        <v>11.0</v>
      </c>
      <c r="AO2" s="28" t="s">
        <v>20</v>
      </c>
      <c r="AP2" s="28">
        <v>7.0</v>
      </c>
      <c r="AQ2" s="31" t="s">
        <v>20</v>
      </c>
      <c r="AR2" s="28">
        <v>3.0</v>
      </c>
    </row>
    <row r="3">
      <c r="A3" s="28" t="s">
        <v>25</v>
      </c>
      <c r="B3" s="28">
        <v>17.0</v>
      </c>
      <c r="C3" s="31" t="s">
        <v>25</v>
      </c>
      <c r="D3" s="28">
        <v>13.0</v>
      </c>
      <c r="E3" s="28" t="s">
        <v>25</v>
      </c>
      <c r="F3" s="28">
        <v>15.0</v>
      </c>
      <c r="G3" s="28" t="s">
        <v>25</v>
      </c>
      <c r="H3" s="28">
        <v>17.0</v>
      </c>
      <c r="I3" s="28" t="s">
        <v>25</v>
      </c>
      <c r="J3" s="28">
        <v>22.0</v>
      </c>
      <c r="K3" s="28" t="s">
        <v>25</v>
      </c>
      <c r="L3" s="28">
        <v>9.0</v>
      </c>
      <c r="M3" s="31" t="s">
        <v>25</v>
      </c>
      <c r="N3" s="28">
        <v>12.0</v>
      </c>
      <c r="O3" s="28" t="s">
        <v>25</v>
      </c>
      <c r="P3" s="28">
        <v>22.0</v>
      </c>
      <c r="Q3" s="28" t="s">
        <v>25</v>
      </c>
      <c r="R3" s="28">
        <v>15.0</v>
      </c>
      <c r="S3" s="28" t="s">
        <v>25</v>
      </c>
      <c r="T3" s="28">
        <v>21.0</v>
      </c>
      <c r="U3" s="28" t="s">
        <v>25</v>
      </c>
      <c r="V3" s="28">
        <v>15.0</v>
      </c>
      <c r="W3" s="31" t="s">
        <v>25</v>
      </c>
      <c r="X3" s="28">
        <v>16.0</v>
      </c>
      <c r="Y3" s="28" t="s">
        <v>25</v>
      </c>
      <c r="Z3" s="28">
        <v>18.0</v>
      </c>
      <c r="AA3" s="28" t="s">
        <v>25</v>
      </c>
      <c r="AB3" s="28">
        <v>21.0</v>
      </c>
      <c r="AC3" s="28" t="s">
        <v>25</v>
      </c>
      <c r="AD3" s="28">
        <v>23.0</v>
      </c>
      <c r="AE3" s="28" t="s">
        <v>25</v>
      </c>
      <c r="AF3" s="28">
        <v>10.0</v>
      </c>
      <c r="AG3" s="31" t="s">
        <v>25</v>
      </c>
      <c r="AH3" s="28">
        <v>13.0</v>
      </c>
      <c r="AI3" s="28" t="s">
        <v>25</v>
      </c>
      <c r="AJ3" s="28">
        <v>18.0</v>
      </c>
      <c r="AK3" s="28" t="s">
        <v>25</v>
      </c>
      <c r="AL3" s="28">
        <v>18.0</v>
      </c>
      <c r="AM3" s="28" t="s">
        <v>25</v>
      </c>
      <c r="AN3" s="28">
        <v>28.0</v>
      </c>
      <c r="AO3" s="28" t="s">
        <v>25</v>
      </c>
      <c r="AP3" s="28">
        <v>15.0</v>
      </c>
      <c r="AQ3" s="31" t="s">
        <v>25</v>
      </c>
      <c r="AR3" s="28">
        <v>8.0</v>
      </c>
    </row>
    <row r="4">
      <c r="A4" s="28" t="s">
        <v>28</v>
      </c>
      <c r="B4" s="28">
        <v>2.0</v>
      </c>
      <c r="C4" s="31" t="s">
        <v>28</v>
      </c>
      <c r="D4" s="28">
        <v>6.0</v>
      </c>
      <c r="E4" s="28" t="s">
        <v>28</v>
      </c>
      <c r="F4" s="28">
        <v>5.0</v>
      </c>
      <c r="G4" s="28" t="s">
        <v>28</v>
      </c>
      <c r="H4" s="28">
        <v>4.0</v>
      </c>
      <c r="I4" s="28" t="s">
        <v>28</v>
      </c>
      <c r="J4" s="28">
        <v>7.0</v>
      </c>
      <c r="K4" s="28" t="s">
        <v>28</v>
      </c>
      <c r="L4" s="28">
        <v>4.0</v>
      </c>
      <c r="M4" s="31" t="s">
        <v>28</v>
      </c>
      <c r="N4" s="28">
        <v>5.0</v>
      </c>
      <c r="O4" s="28" t="s">
        <v>28</v>
      </c>
      <c r="P4" s="28">
        <v>5.0</v>
      </c>
      <c r="Q4" s="28" t="s">
        <v>28</v>
      </c>
      <c r="R4" s="28">
        <v>6.0</v>
      </c>
      <c r="S4" s="28" t="s">
        <v>28</v>
      </c>
      <c r="T4" s="28">
        <v>8.0</v>
      </c>
      <c r="U4" s="28" t="s">
        <v>28</v>
      </c>
      <c r="V4" s="28">
        <v>1.0</v>
      </c>
      <c r="W4" s="31" t="s">
        <v>28</v>
      </c>
      <c r="X4" s="28">
        <v>3.0</v>
      </c>
      <c r="Y4" s="28" t="s">
        <v>28</v>
      </c>
      <c r="Z4" s="28">
        <v>6.0</v>
      </c>
      <c r="AA4" s="28" t="s">
        <v>28</v>
      </c>
      <c r="AB4" s="28">
        <v>6.0</v>
      </c>
      <c r="AC4" s="28" t="s">
        <v>28</v>
      </c>
      <c r="AD4" s="28">
        <v>5.0</v>
      </c>
      <c r="AE4" s="28" t="s">
        <v>28</v>
      </c>
      <c r="AF4" s="28">
        <v>1.0</v>
      </c>
      <c r="AG4" s="31" t="s">
        <v>28</v>
      </c>
      <c r="AH4" s="28">
        <v>6.0</v>
      </c>
      <c r="AI4" s="28" t="s">
        <v>28</v>
      </c>
      <c r="AJ4" s="28">
        <v>8.0</v>
      </c>
      <c r="AK4" s="28" t="s">
        <v>28</v>
      </c>
      <c r="AL4" s="28">
        <v>2.0</v>
      </c>
      <c r="AM4" s="28" t="s">
        <v>28</v>
      </c>
      <c r="AN4" s="28">
        <v>8.0</v>
      </c>
      <c r="AO4" s="28" t="s">
        <v>28</v>
      </c>
      <c r="AP4" s="28">
        <v>4.0</v>
      </c>
      <c r="AQ4" s="31" t="s">
        <v>28</v>
      </c>
      <c r="AR4" s="28">
        <v>3.0</v>
      </c>
    </row>
    <row r="5">
      <c r="A5" s="28" t="s">
        <v>33</v>
      </c>
      <c r="B5" s="28">
        <v>8.0</v>
      </c>
      <c r="C5" s="31" t="s">
        <v>33</v>
      </c>
      <c r="D5" s="28">
        <v>8.0</v>
      </c>
      <c r="E5" s="28" t="s">
        <v>33</v>
      </c>
      <c r="F5" s="28">
        <v>11.0</v>
      </c>
      <c r="G5" s="28" t="s">
        <v>33</v>
      </c>
      <c r="H5" s="28">
        <v>1.0</v>
      </c>
      <c r="I5" s="28" t="s">
        <v>33</v>
      </c>
      <c r="J5" s="28">
        <v>9.0</v>
      </c>
      <c r="K5" s="28" t="s">
        <v>33</v>
      </c>
      <c r="L5" s="28">
        <v>5.0</v>
      </c>
      <c r="M5" s="31" t="s">
        <v>33</v>
      </c>
      <c r="N5" s="28">
        <v>10.0</v>
      </c>
      <c r="O5" s="28" t="s">
        <v>33</v>
      </c>
      <c r="P5" s="28">
        <v>9.0</v>
      </c>
      <c r="Q5" s="28" t="s">
        <v>33</v>
      </c>
      <c r="R5" s="28">
        <v>3.0</v>
      </c>
      <c r="S5" s="28" t="s">
        <v>33</v>
      </c>
      <c r="T5" s="28">
        <v>9.0</v>
      </c>
      <c r="U5" s="28" t="s">
        <v>33</v>
      </c>
      <c r="V5" s="28">
        <v>9.0</v>
      </c>
      <c r="W5" s="31" t="s">
        <v>33</v>
      </c>
      <c r="X5" s="28">
        <v>6.0</v>
      </c>
      <c r="Y5" s="28" t="s">
        <v>33</v>
      </c>
      <c r="Z5" s="28">
        <v>6.0</v>
      </c>
      <c r="AA5" s="28" t="s">
        <v>33</v>
      </c>
      <c r="AB5" s="28">
        <v>2.0</v>
      </c>
      <c r="AC5" s="28" t="s">
        <v>33</v>
      </c>
      <c r="AD5" s="28">
        <v>10.0</v>
      </c>
      <c r="AE5" s="28" t="s">
        <v>33</v>
      </c>
      <c r="AF5" s="28">
        <v>10.0</v>
      </c>
      <c r="AG5" s="31" t="s">
        <v>33</v>
      </c>
      <c r="AH5" s="28">
        <v>10.0</v>
      </c>
      <c r="AI5" s="28" t="s">
        <v>33</v>
      </c>
      <c r="AJ5" s="28">
        <v>10.0</v>
      </c>
      <c r="AK5" s="28" t="s">
        <v>33</v>
      </c>
      <c r="AL5" s="28">
        <v>5.0</v>
      </c>
      <c r="AM5" s="28" t="s">
        <v>33</v>
      </c>
      <c r="AN5" s="28">
        <v>10.0</v>
      </c>
      <c r="AO5" s="28" t="s">
        <v>33</v>
      </c>
      <c r="AP5" s="28">
        <v>9.0</v>
      </c>
      <c r="AQ5" s="28" t="s">
        <v>33</v>
      </c>
      <c r="AR5" s="28">
        <v>6.0</v>
      </c>
    </row>
    <row r="6">
      <c r="A6" s="28" t="s">
        <v>35</v>
      </c>
      <c r="B6" s="28">
        <v>9.0</v>
      </c>
      <c r="C6" s="28" t="s">
        <v>35</v>
      </c>
      <c r="D6" s="28">
        <v>7.0</v>
      </c>
      <c r="E6" s="28" t="s">
        <v>35</v>
      </c>
      <c r="F6" s="28">
        <v>15.0</v>
      </c>
      <c r="G6" s="28" t="s">
        <v>35</v>
      </c>
      <c r="H6" s="28">
        <v>4.0</v>
      </c>
      <c r="I6" s="28" t="s">
        <v>35</v>
      </c>
      <c r="J6" s="28">
        <v>15.0</v>
      </c>
      <c r="K6" s="28" t="s">
        <v>35</v>
      </c>
      <c r="L6" s="28">
        <v>15.0</v>
      </c>
      <c r="M6" s="28" t="s">
        <v>35</v>
      </c>
      <c r="N6" s="28">
        <v>5.0</v>
      </c>
      <c r="O6" s="28" t="s">
        <v>35</v>
      </c>
      <c r="P6" s="28">
        <v>13.0</v>
      </c>
      <c r="Q6" s="28" t="s">
        <v>35</v>
      </c>
      <c r="R6" s="28">
        <v>5.0</v>
      </c>
      <c r="S6" s="28" t="s">
        <v>35</v>
      </c>
      <c r="T6" s="28">
        <v>13.0</v>
      </c>
      <c r="U6" s="28" t="s">
        <v>35</v>
      </c>
      <c r="V6" s="28">
        <v>16.0</v>
      </c>
      <c r="W6" s="28" t="s">
        <v>35</v>
      </c>
      <c r="X6" s="28">
        <v>7.0</v>
      </c>
      <c r="Y6" s="28" t="s">
        <v>35</v>
      </c>
      <c r="Z6" s="28">
        <v>15.0</v>
      </c>
      <c r="AA6" s="28" t="s">
        <v>35</v>
      </c>
      <c r="AB6" s="28">
        <v>4.0</v>
      </c>
      <c r="AC6" s="28" t="s">
        <v>35</v>
      </c>
      <c r="AD6" s="28">
        <v>14.0</v>
      </c>
      <c r="AE6" s="28" t="s">
        <v>35</v>
      </c>
      <c r="AF6" s="28">
        <v>10.0</v>
      </c>
      <c r="AG6" s="31" t="s">
        <v>35</v>
      </c>
      <c r="AH6" s="28">
        <v>6.0</v>
      </c>
      <c r="AI6" s="28" t="s">
        <v>35</v>
      </c>
      <c r="AJ6" s="28">
        <v>11.0</v>
      </c>
      <c r="AK6" s="28" t="s">
        <v>35</v>
      </c>
      <c r="AL6" s="28">
        <v>4.0</v>
      </c>
      <c r="AM6" s="28" t="s">
        <v>35</v>
      </c>
      <c r="AN6" s="28">
        <v>13.0</v>
      </c>
      <c r="AO6" s="28" t="s">
        <v>35</v>
      </c>
      <c r="AP6" s="28">
        <v>15.0</v>
      </c>
      <c r="AQ6" s="28" t="s">
        <v>35</v>
      </c>
      <c r="AR6" s="28">
        <v>6.0</v>
      </c>
    </row>
    <row r="7">
      <c r="A7" s="28" t="s">
        <v>40</v>
      </c>
      <c r="B7" s="28">
        <v>8.0</v>
      </c>
      <c r="C7" s="28" t="s">
        <v>40</v>
      </c>
      <c r="D7" s="28">
        <v>5.0</v>
      </c>
      <c r="E7" s="28" t="s">
        <v>40</v>
      </c>
      <c r="F7" s="28">
        <v>15.0</v>
      </c>
      <c r="G7" s="28" t="s">
        <v>40</v>
      </c>
      <c r="H7" s="28">
        <v>11.0</v>
      </c>
      <c r="I7" s="28" t="s">
        <v>40</v>
      </c>
      <c r="J7" s="28">
        <v>19.0</v>
      </c>
      <c r="K7" s="28" t="s">
        <v>40</v>
      </c>
      <c r="L7" s="28">
        <v>10.0</v>
      </c>
      <c r="M7" s="28" t="s">
        <v>40</v>
      </c>
      <c r="N7" s="28">
        <v>11.0</v>
      </c>
      <c r="O7" s="28" t="s">
        <v>40</v>
      </c>
      <c r="P7" s="28">
        <v>17.0</v>
      </c>
      <c r="Q7" s="28" t="s">
        <v>40</v>
      </c>
      <c r="R7" s="28">
        <v>12.0</v>
      </c>
      <c r="S7" s="28" t="s">
        <v>40</v>
      </c>
      <c r="T7" s="28">
        <v>18.0</v>
      </c>
      <c r="U7" s="28" t="s">
        <v>40</v>
      </c>
      <c r="V7" s="28">
        <v>6.0</v>
      </c>
      <c r="W7" s="28" t="s">
        <v>40</v>
      </c>
      <c r="X7" s="28">
        <v>7.0</v>
      </c>
      <c r="Y7" s="28" t="s">
        <v>40</v>
      </c>
      <c r="Z7" s="28">
        <v>16.0</v>
      </c>
      <c r="AA7" s="28" t="s">
        <v>40</v>
      </c>
      <c r="AB7" s="28">
        <v>12.0</v>
      </c>
      <c r="AC7" s="28" t="s">
        <v>40</v>
      </c>
      <c r="AD7" s="28">
        <v>24.0</v>
      </c>
      <c r="AE7" s="28" t="s">
        <v>40</v>
      </c>
      <c r="AF7" s="28">
        <v>9.0</v>
      </c>
      <c r="AG7" s="28" t="s">
        <v>40</v>
      </c>
      <c r="AH7" s="28">
        <v>10.0</v>
      </c>
      <c r="AI7" s="28" t="s">
        <v>40</v>
      </c>
      <c r="AJ7" s="28">
        <v>15.0</v>
      </c>
      <c r="AK7" s="28" t="s">
        <v>40</v>
      </c>
      <c r="AL7" s="28">
        <v>13.0</v>
      </c>
      <c r="AM7" s="28" t="s">
        <v>40</v>
      </c>
      <c r="AN7" s="28">
        <v>25.0</v>
      </c>
      <c r="AO7" s="28" t="s">
        <v>40</v>
      </c>
      <c r="AP7" s="28">
        <v>9.0</v>
      </c>
      <c r="AQ7" s="31" t="s">
        <v>40</v>
      </c>
      <c r="AR7" s="28">
        <v>14.0</v>
      </c>
    </row>
    <row r="8">
      <c r="A8" s="28" t="s">
        <v>45</v>
      </c>
      <c r="B8" s="28">
        <v>4.0</v>
      </c>
      <c r="C8" s="31" t="s">
        <v>45</v>
      </c>
      <c r="D8" s="28">
        <v>8.0</v>
      </c>
      <c r="E8" s="28" t="s">
        <v>45</v>
      </c>
      <c r="F8" s="28">
        <v>5.0</v>
      </c>
      <c r="G8" s="28" t="s">
        <v>45</v>
      </c>
      <c r="H8" s="28">
        <v>4.0</v>
      </c>
      <c r="I8" s="28" t="s">
        <v>45</v>
      </c>
      <c r="J8" s="28">
        <v>9.0</v>
      </c>
      <c r="K8" s="28" t="s">
        <v>45</v>
      </c>
      <c r="L8" s="28">
        <v>2.0</v>
      </c>
      <c r="M8" s="31" t="s">
        <v>45</v>
      </c>
      <c r="N8" s="28">
        <v>4.0</v>
      </c>
      <c r="O8" s="28" t="s">
        <v>45</v>
      </c>
      <c r="P8" s="28">
        <v>7.0</v>
      </c>
      <c r="Q8" s="28" t="s">
        <v>45</v>
      </c>
      <c r="R8" s="28">
        <v>3.0</v>
      </c>
      <c r="S8" s="28" t="s">
        <v>45</v>
      </c>
      <c r="T8" s="28">
        <v>9.0</v>
      </c>
      <c r="U8" s="28" t="s">
        <v>45</v>
      </c>
      <c r="V8" s="28">
        <v>1.0</v>
      </c>
      <c r="W8" s="31" t="s">
        <v>45</v>
      </c>
      <c r="X8" s="28">
        <v>7.0</v>
      </c>
      <c r="Y8" s="28" t="s">
        <v>45</v>
      </c>
      <c r="Z8" s="28">
        <v>8.0</v>
      </c>
      <c r="AA8" s="28" t="s">
        <v>45</v>
      </c>
      <c r="AB8" s="28">
        <v>3.0</v>
      </c>
      <c r="AC8" s="28" t="s">
        <v>45</v>
      </c>
      <c r="AD8" s="28">
        <v>6.0</v>
      </c>
      <c r="AE8" s="28" t="s">
        <v>45</v>
      </c>
      <c r="AF8" s="28">
        <v>2.0</v>
      </c>
      <c r="AG8" s="28" t="s">
        <v>45</v>
      </c>
      <c r="AH8" s="28">
        <v>7.0</v>
      </c>
      <c r="AI8" s="28" t="s">
        <v>45</v>
      </c>
      <c r="AJ8" s="28">
        <v>8.0</v>
      </c>
      <c r="AK8" s="28" t="s">
        <v>45</v>
      </c>
      <c r="AL8" s="28">
        <v>6.0</v>
      </c>
      <c r="AM8" s="28" t="s">
        <v>45</v>
      </c>
      <c r="AN8" s="28">
        <v>9.0</v>
      </c>
      <c r="AO8" s="28" t="s">
        <v>45</v>
      </c>
      <c r="AP8" s="28">
        <v>2.0</v>
      </c>
      <c r="AQ8" s="31" t="s">
        <v>45</v>
      </c>
      <c r="AR8" s="28">
        <v>5.0</v>
      </c>
    </row>
    <row r="9">
      <c r="A9" s="28" t="s">
        <v>16</v>
      </c>
      <c r="B9" s="28">
        <v>8.0</v>
      </c>
      <c r="C9" s="31" t="s">
        <v>16</v>
      </c>
      <c r="D9" s="28">
        <v>3.0</v>
      </c>
      <c r="E9" s="31" t="s">
        <v>16</v>
      </c>
      <c r="F9" s="28">
        <v>7.0</v>
      </c>
      <c r="G9" s="28" t="s">
        <v>16</v>
      </c>
      <c r="H9" s="28">
        <v>5.0</v>
      </c>
      <c r="I9" s="28" t="s">
        <v>16</v>
      </c>
      <c r="J9" s="28">
        <v>9.0</v>
      </c>
      <c r="K9" s="28" t="s">
        <v>16</v>
      </c>
      <c r="L9" s="28">
        <v>4.0</v>
      </c>
      <c r="M9" s="31" t="s">
        <v>16</v>
      </c>
      <c r="N9" s="28">
        <v>4.0</v>
      </c>
      <c r="O9" s="31" t="s">
        <v>16</v>
      </c>
      <c r="P9" s="28">
        <v>5.0</v>
      </c>
      <c r="Q9" s="28" t="s">
        <v>16</v>
      </c>
      <c r="R9" s="28">
        <v>3.0</v>
      </c>
      <c r="S9" s="28" t="s">
        <v>16</v>
      </c>
      <c r="T9" s="28">
        <v>11.0</v>
      </c>
      <c r="U9" s="28" t="s">
        <v>16</v>
      </c>
      <c r="V9" s="28">
        <v>9.0</v>
      </c>
      <c r="W9" s="31" t="s">
        <v>16</v>
      </c>
      <c r="X9" s="28">
        <v>2.0</v>
      </c>
      <c r="Y9" s="28" t="s">
        <v>16</v>
      </c>
      <c r="Z9" s="28">
        <v>7.0</v>
      </c>
      <c r="AA9" s="28" t="s">
        <v>16</v>
      </c>
      <c r="AB9" s="28">
        <v>4.0</v>
      </c>
      <c r="AC9" s="28" t="s">
        <v>16</v>
      </c>
      <c r="AD9" s="28">
        <v>7.0</v>
      </c>
      <c r="AE9" s="28" t="s">
        <v>16</v>
      </c>
      <c r="AF9" s="28">
        <v>7.0</v>
      </c>
      <c r="AG9" s="31" t="s">
        <v>16</v>
      </c>
      <c r="AH9" s="28">
        <v>3.0</v>
      </c>
      <c r="AI9" s="31" t="s">
        <v>16</v>
      </c>
      <c r="AJ9" s="28">
        <v>8.0</v>
      </c>
      <c r="AK9" s="28" t="s">
        <v>16</v>
      </c>
      <c r="AL9" s="28">
        <v>7.0</v>
      </c>
      <c r="AM9" s="28" t="s">
        <v>16</v>
      </c>
      <c r="AN9" s="28">
        <v>9.0</v>
      </c>
      <c r="AO9" s="28" t="s">
        <v>16</v>
      </c>
      <c r="AP9" s="28">
        <v>2.0</v>
      </c>
      <c r="AQ9" s="28" t="s">
        <v>16</v>
      </c>
      <c r="AR9" s="28">
        <v>3.0</v>
      </c>
    </row>
    <row r="10">
      <c r="A10" s="28" t="s">
        <v>31</v>
      </c>
      <c r="B10" s="28">
        <v>4.0</v>
      </c>
      <c r="C10" s="31" t="s">
        <v>31</v>
      </c>
      <c r="D10" s="28">
        <v>5.0</v>
      </c>
      <c r="E10" s="31" t="s">
        <v>31</v>
      </c>
      <c r="F10" s="28">
        <v>8.0</v>
      </c>
      <c r="G10" s="28" t="s">
        <v>31</v>
      </c>
      <c r="H10" s="28">
        <v>6.0</v>
      </c>
      <c r="I10" s="28" t="s">
        <v>31</v>
      </c>
      <c r="J10" s="28">
        <v>13.0</v>
      </c>
      <c r="K10" s="28" t="s">
        <v>31</v>
      </c>
      <c r="L10" s="28">
        <v>8.0</v>
      </c>
      <c r="M10" s="31" t="s">
        <v>31</v>
      </c>
      <c r="N10" s="28">
        <v>6.0</v>
      </c>
      <c r="O10" s="31" t="s">
        <v>31</v>
      </c>
      <c r="P10" s="28">
        <v>7.0</v>
      </c>
      <c r="Q10" s="28" t="s">
        <v>31</v>
      </c>
      <c r="R10" s="28">
        <v>5.0</v>
      </c>
      <c r="S10" s="28" t="s">
        <v>31</v>
      </c>
      <c r="T10" s="28">
        <v>12.0</v>
      </c>
      <c r="U10" s="28" t="s">
        <v>31</v>
      </c>
      <c r="V10" s="28">
        <v>5.0</v>
      </c>
      <c r="W10" s="31" t="s">
        <v>31</v>
      </c>
      <c r="X10" s="28">
        <v>6.0</v>
      </c>
      <c r="Y10" s="31" t="s">
        <v>31</v>
      </c>
      <c r="Z10" s="28">
        <v>5.0</v>
      </c>
      <c r="AA10" s="28" t="s">
        <v>31</v>
      </c>
      <c r="AB10" s="28">
        <v>5.0</v>
      </c>
      <c r="AC10" s="28" t="s">
        <v>31</v>
      </c>
      <c r="AD10" s="28">
        <v>10.0</v>
      </c>
      <c r="AE10" s="28" t="s">
        <v>31</v>
      </c>
      <c r="AF10" s="28">
        <v>11.0</v>
      </c>
      <c r="AG10" s="31" t="s">
        <v>31</v>
      </c>
      <c r="AH10" s="28">
        <v>4.0</v>
      </c>
      <c r="AI10" s="31" t="s">
        <v>31</v>
      </c>
      <c r="AJ10" s="28">
        <v>2.0</v>
      </c>
      <c r="AK10" s="28" t="s">
        <v>31</v>
      </c>
      <c r="AL10" s="28">
        <v>3.0</v>
      </c>
      <c r="AM10" s="28" t="s">
        <v>31</v>
      </c>
      <c r="AN10" s="28">
        <v>3.0</v>
      </c>
      <c r="AO10" s="28" t="s">
        <v>31</v>
      </c>
      <c r="AP10" s="28">
        <v>5.0</v>
      </c>
      <c r="AQ10" s="28" t="s">
        <v>31</v>
      </c>
      <c r="AR10" s="28">
        <v>8.0</v>
      </c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</row>
    <row r="12">
      <c r="A12" s="76"/>
      <c r="B12" s="79">
        <v>65.0</v>
      </c>
      <c r="C12" s="76"/>
      <c r="D12" s="79">
        <v>59.0</v>
      </c>
      <c r="E12" s="76"/>
      <c r="F12" s="79">
        <v>88.0</v>
      </c>
      <c r="G12" s="76"/>
      <c r="H12" s="79">
        <v>64.0</v>
      </c>
      <c r="I12" s="76"/>
      <c r="J12" s="79">
        <v>115.0</v>
      </c>
      <c r="K12" s="76"/>
      <c r="L12" s="79">
        <v>61.0</v>
      </c>
      <c r="M12" s="76"/>
      <c r="N12" s="79">
        <v>61.0</v>
      </c>
      <c r="O12" s="76"/>
      <c r="P12" s="79">
        <v>89.0</v>
      </c>
      <c r="Q12" s="76"/>
      <c r="R12" s="79">
        <v>66.0</v>
      </c>
      <c r="S12" s="76"/>
      <c r="T12" s="79">
        <v>110.0</v>
      </c>
      <c r="U12" s="76"/>
      <c r="V12" s="79">
        <v>68.0</v>
      </c>
      <c r="W12" s="76"/>
      <c r="X12" s="79">
        <v>59.0</v>
      </c>
      <c r="Y12" s="76"/>
      <c r="Z12" s="79">
        <v>91.0</v>
      </c>
      <c r="AA12" s="79"/>
      <c r="AB12" s="79">
        <v>64.0</v>
      </c>
      <c r="AC12" s="79"/>
      <c r="AD12" s="79">
        <v>110.0</v>
      </c>
      <c r="AE12" s="79"/>
      <c r="AF12" s="79">
        <v>66.0</v>
      </c>
      <c r="AG12" s="79"/>
      <c r="AH12" s="79">
        <v>62.0</v>
      </c>
      <c r="AI12" s="79"/>
      <c r="AJ12" s="79">
        <v>89.0</v>
      </c>
      <c r="AK12" s="79"/>
      <c r="AL12" s="79">
        <v>66.0</v>
      </c>
      <c r="AM12" s="79"/>
      <c r="AN12" s="79">
        <v>116.0</v>
      </c>
      <c r="AO12" s="79"/>
      <c r="AP12" s="79">
        <v>68.0</v>
      </c>
      <c r="AQ12" s="79"/>
      <c r="AR12" s="79">
        <v>56.0</v>
      </c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</row>
    <row r="14">
      <c r="A14" s="28" t="s">
        <v>48</v>
      </c>
      <c r="B14" s="28">
        <v>10.0</v>
      </c>
      <c r="C14" s="28" t="s">
        <v>48</v>
      </c>
      <c r="D14" s="28">
        <v>19.0</v>
      </c>
      <c r="E14" s="28" t="s">
        <v>48</v>
      </c>
      <c r="F14" s="28">
        <v>9.0</v>
      </c>
      <c r="G14" s="28" t="s">
        <v>48</v>
      </c>
      <c r="H14" s="28">
        <v>6.0</v>
      </c>
      <c r="I14" s="28" t="s">
        <v>48</v>
      </c>
      <c r="J14" s="28">
        <v>10.0</v>
      </c>
      <c r="K14" s="28" t="s">
        <v>48</v>
      </c>
      <c r="L14" s="28">
        <v>10.0</v>
      </c>
      <c r="M14" s="28" t="s">
        <v>48</v>
      </c>
      <c r="N14" s="28">
        <v>20.0</v>
      </c>
      <c r="O14" s="28" t="s">
        <v>48</v>
      </c>
      <c r="P14" s="28">
        <v>15.0</v>
      </c>
      <c r="Q14" s="28" t="s">
        <v>48</v>
      </c>
      <c r="R14" s="28">
        <v>7.0</v>
      </c>
      <c r="S14" s="28" t="s">
        <v>48</v>
      </c>
      <c r="T14" s="28">
        <v>15.0</v>
      </c>
      <c r="U14" s="28" t="s">
        <v>48</v>
      </c>
      <c r="V14" s="28">
        <v>13.0</v>
      </c>
      <c r="W14" s="28" t="s">
        <v>48</v>
      </c>
      <c r="X14" s="28">
        <v>16.0</v>
      </c>
      <c r="Y14" s="28" t="s">
        <v>48</v>
      </c>
      <c r="Z14" s="28">
        <v>3.0</v>
      </c>
      <c r="AA14" s="28" t="s">
        <v>48</v>
      </c>
      <c r="AB14" s="28">
        <v>2.0</v>
      </c>
      <c r="AC14" s="28" t="s">
        <v>48</v>
      </c>
      <c r="AD14" s="28">
        <v>7.0</v>
      </c>
      <c r="AE14" s="28" t="s">
        <v>48</v>
      </c>
      <c r="AF14" s="28">
        <v>9.0</v>
      </c>
      <c r="AG14" s="28" t="s">
        <v>48</v>
      </c>
      <c r="AH14" s="28">
        <v>23.0</v>
      </c>
      <c r="AI14" s="28" t="s">
        <v>48</v>
      </c>
      <c r="AJ14" s="28">
        <v>12.0</v>
      </c>
      <c r="AK14" s="28" t="s">
        <v>48</v>
      </c>
      <c r="AL14" s="28">
        <v>5.0</v>
      </c>
      <c r="AM14" s="28" t="s">
        <v>48</v>
      </c>
      <c r="AN14" s="28">
        <v>6.0</v>
      </c>
      <c r="AO14" s="28" t="s">
        <v>48</v>
      </c>
      <c r="AP14" s="28">
        <v>13.0</v>
      </c>
      <c r="AQ14" s="28" t="s">
        <v>48</v>
      </c>
      <c r="AR14" s="28">
        <v>16.0</v>
      </c>
    </row>
    <row r="15">
      <c r="A15" s="28" t="s">
        <v>50</v>
      </c>
      <c r="B15" s="28">
        <v>23.0</v>
      </c>
      <c r="C15" s="28" t="s">
        <v>50</v>
      </c>
      <c r="D15" s="28">
        <v>14.0</v>
      </c>
      <c r="E15" s="28" t="s">
        <v>50</v>
      </c>
      <c r="F15" s="28">
        <v>14.0</v>
      </c>
      <c r="G15" s="28" t="s">
        <v>50</v>
      </c>
      <c r="H15" s="28">
        <v>21.0</v>
      </c>
      <c r="I15" s="28" t="s">
        <v>50</v>
      </c>
      <c r="J15" s="28">
        <v>25.0</v>
      </c>
      <c r="K15" s="28" t="s">
        <v>50</v>
      </c>
      <c r="L15" s="28">
        <v>26.0</v>
      </c>
      <c r="M15" s="28" t="s">
        <v>50</v>
      </c>
      <c r="N15" s="28">
        <v>15.0</v>
      </c>
      <c r="O15" s="28" t="s">
        <v>50</v>
      </c>
      <c r="P15" s="28">
        <v>14.0</v>
      </c>
      <c r="Q15" s="28" t="s">
        <v>50</v>
      </c>
      <c r="R15" s="28">
        <v>19.0</v>
      </c>
      <c r="S15" s="28" t="s">
        <v>50</v>
      </c>
      <c r="T15" s="28">
        <v>28.0</v>
      </c>
      <c r="U15" s="28" t="s">
        <v>50</v>
      </c>
      <c r="V15" s="28">
        <v>24.0</v>
      </c>
      <c r="W15" s="28" t="s">
        <v>50</v>
      </c>
      <c r="X15" s="28">
        <v>21.0</v>
      </c>
      <c r="Y15" s="28" t="s">
        <v>50</v>
      </c>
      <c r="Z15" s="28">
        <v>21.0</v>
      </c>
      <c r="AA15" s="28" t="s">
        <v>50</v>
      </c>
      <c r="AB15" s="28">
        <v>21.0</v>
      </c>
      <c r="AC15" s="28" t="s">
        <v>50</v>
      </c>
      <c r="AD15" s="28">
        <v>28.0</v>
      </c>
      <c r="AE15" s="28" t="s">
        <v>50</v>
      </c>
      <c r="AF15" s="28">
        <v>22.0</v>
      </c>
      <c r="AG15" s="28" t="s">
        <v>50</v>
      </c>
      <c r="AH15" s="28">
        <v>15.0</v>
      </c>
      <c r="AI15" s="28" t="s">
        <v>50</v>
      </c>
      <c r="AJ15" s="28">
        <v>20.0</v>
      </c>
      <c r="AK15" s="28" t="s">
        <v>50</v>
      </c>
      <c r="AL15" s="28">
        <v>17.0</v>
      </c>
      <c r="AM15" s="28" t="s">
        <v>50</v>
      </c>
      <c r="AN15" s="28">
        <v>30.0</v>
      </c>
      <c r="AO15" s="28" t="s">
        <v>50</v>
      </c>
      <c r="AP15" s="28">
        <v>25.0</v>
      </c>
      <c r="AQ15" s="28" t="s">
        <v>50</v>
      </c>
      <c r="AR15" s="28">
        <v>18.0</v>
      </c>
    </row>
    <row r="16">
      <c r="A16" s="28" t="s">
        <v>52</v>
      </c>
      <c r="B16" s="28">
        <v>12.0</v>
      </c>
      <c r="C16" s="28" t="s">
        <v>52</v>
      </c>
      <c r="D16" s="28">
        <v>8.0</v>
      </c>
      <c r="E16" s="28" t="s">
        <v>52</v>
      </c>
      <c r="F16" s="28">
        <v>23.0</v>
      </c>
      <c r="G16" s="28" t="s">
        <v>52</v>
      </c>
      <c r="H16" s="28">
        <v>7.0</v>
      </c>
      <c r="I16" s="28" t="s">
        <v>52</v>
      </c>
      <c r="J16" s="28">
        <v>12.0</v>
      </c>
      <c r="K16" s="28" t="s">
        <v>52</v>
      </c>
      <c r="L16" s="28">
        <v>6.0</v>
      </c>
      <c r="M16" s="28" t="s">
        <v>52</v>
      </c>
      <c r="N16" s="28">
        <v>9.0</v>
      </c>
      <c r="O16" s="28" t="s">
        <v>52</v>
      </c>
      <c r="P16" s="28">
        <v>20.0</v>
      </c>
      <c r="Q16" s="28" t="s">
        <v>52</v>
      </c>
      <c r="R16" s="28">
        <v>9.0</v>
      </c>
      <c r="S16" s="28" t="s">
        <v>52</v>
      </c>
      <c r="T16" s="28">
        <v>13.0</v>
      </c>
      <c r="U16" s="28" t="s">
        <v>52</v>
      </c>
      <c r="V16" s="28">
        <v>9.0</v>
      </c>
      <c r="W16" s="28" t="s">
        <v>52</v>
      </c>
      <c r="X16" s="28">
        <v>7.0</v>
      </c>
      <c r="Y16" s="28" t="s">
        <v>52</v>
      </c>
      <c r="Z16" s="28">
        <v>20.0</v>
      </c>
      <c r="AA16" s="28" t="s">
        <v>52</v>
      </c>
      <c r="AB16" s="28">
        <v>10.0</v>
      </c>
      <c r="AC16" s="28" t="s">
        <v>52</v>
      </c>
      <c r="AD16" s="28">
        <v>15.0</v>
      </c>
      <c r="AE16" s="28" t="s">
        <v>52</v>
      </c>
      <c r="AF16" s="28">
        <v>11.0</v>
      </c>
      <c r="AG16" s="28" t="s">
        <v>52</v>
      </c>
      <c r="AH16" s="28">
        <v>9.0</v>
      </c>
      <c r="AI16" s="28" t="s">
        <v>52</v>
      </c>
      <c r="AJ16" s="28">
        <v>18.0</v>
      </c>
      <c r="AK16" s="28" t="s">
        <v>52</v>
      </c>
      <c r="AL16" s="28">
        <v>10.0</v>
      </c>
      <c r="AM16" s="28" t="s">
        <v>52</v>
      </c>
      <c r="AN16" s="28">
        <v>16.0</v>
      </c>
      <c r="AO16" s="28" t="s">
        <v>52</v>
      </c>
      <c r="AP16" s="28">
        <v>9.0</v>
      </c>
      <c r="AQ16" s="28" t="s">
        <v>52</v>
      </c>
      <c r="AR16" s="28">
        <v>7.0</v>
      </c>
    </row>
    <row r="17">
      <c r="A17" s="28" t="s">
        <v>55</v>
      </c>
      <c r="B17" s="28">
        <v>7.0</v>
      </c>
      <c r="C17" s="28" t="s">
        <v>55</v>
      </c>
      <c r="D17" s="28">
        <v>4.0</v>
      </c>
      <c r="E17" s="28" t="s">
        <v>55</v>
      </c>
      <c r="F17" s="28">
        <v>8.0</v>
      </c>
      <c r="G17" s="28" t="s">
        <v>55</v>
      </c>
      <c r="H17" s="28">
        <v>10.0</v>
      </c>
      <c r="I17" s="28" t="s">
        <v>55</v>
      </c>
      <c r="J17" s="28">
        <v>13.0</v>
      </c>
      <c r="K17" s="28" t="s">
        <v>55</v>
      </c>
      <c r="L17" s="28">
        <v>4.0</v>
      </c>
      <c r="M17" s="28" t="s">
        <v>55</v>
      </c>
      <c r="N17" s="28">
        <v>4.0</v>
      </c>
      <c r="O17" s="28" t="s">
        <v>55</v>
      </c>
      <c r="P17" s="28">
        <v>8.0</v>
      </c>
      <c r="Q17" s="28" t="s">
        <v>55</v>
      </c>
      <c r="R17" s="28">
        <v>11.0</v>
      </c>
      <c r="S17" s="28" t="s">
        <v>55</v>
      </c>
      <c r="T17" s="28">
        <v>9.0</v>
      </c>
      <c r="U17" s="28" t="s">
        <v>55</v>
      </c>
      <c r="V17" s="28">
        <v>7.0</v>
      </c>
      <c r="W17" s="28" t="s">
        <v>55</v>
      </c>
      <c r="X17" s="28">
        <v>4.0</v>
      </c>
      <c r="Y17" s="28" t="s">
        <v>55</v>
      </c>
      <c r="Z17" s="28">
        <v>7.0</v>
      </c>
      <c r="AA17" s="28" t="s">
        <v>55</v>
      </c>
      <c r="AB17" s="28">
        <v>7.0</v>
      </c>
      <c r="AC17" s="28" t="s">
        <v>55</v>
      </c>
      <c r="AD17" s="28">
        <v>9.0</v>
      </c>
      <c r="AE17" s="28" t="s">
        <v>55</v>
      </c>
      <c r="AF17" s="28">
        <v>7.0</v>
      </c>
      <c r="AG17" s="28" t="s">
        <v>55</v>
      </c>
      <c r="AH17" s="28">
        <v>3.0</v>
      </c>
      <c r="AI17" s="28" t="s">
        <v>55</v>
      </c>
      <c r="AJ17" s="28">
        <v>5.0</v>
      </c>
      <c r="AK17" s="28" t="s">
        <v>55</v>
      </c>
      <c r="AL17" s="28">
        <v>11.0</v>
      </c>
      <c r="AM17" s="28" t="s">
        <v>55</v>
      </c>
      <c r="AN17" s="28">
        <v>11.0</v>
      </c>
      <c r="AO17" s="28" t="s">
        <v>55</v>
      </c>
      <c r="AP17" s="28">
        <v>5.0</v>
      </c>
      <c r="AQ17" s="28" t="s">
        <v>55</v>
      </c>
      <c r="AR17" s="28">
        <v>3.0</v>
      </c>
    </row>
    <row r="18">
      <c r="A18" s="28" t="s">
        <v>57</v>
      </c>
      <c r="B18" s="28">
        <v>5.0</v>
      </c>
      <c r="C18" s="28" t="s">
        <v>57</v>
      </c>
      <c r="D18" s="28">
        <v>8.0</v>
      </c>
      <c r="E18" s="28" t="s">
        <v>57</v>
      </c>
      <c r="F18" s="28">
        <v>21.0</v>
      </c>
      <c r="G18" s="28" t="s">
        <v>57</v>
      </c>
      <c r="H18" s="28">
        <v>12.0</v>
      </c>
      <c r="I18" s="28" t="s">
        <v>57</v>
      </c>
      <c r="J18" s="28">
        <v>30.0</v>
      </c>
      <c r="K18" s="28" t="s">
        <v>57</v>
      </c>
      <c r="L18" s="28">
        <v>9.0</v>
      </c>
      <c r="M18" s="28" t="s">
        <v>57</v>
      </c>
      <c r="N18" s="28">
        <v>4.0</v>
      </c>
      <c r="O18" s="28" t="s">
        <v>57</v>
      </c>
      <c r="P18" s="28">
        <v>21.0</v>
      </c>
      <c r="Q18" s="28" t="s">
        <v>57</v>
      </c>
      <c r="R18" s="28">
        <v>13.0</v>
      </c>
      <c r="S18" s="28" t="s">
        <v>57</v>
      </c>
      <c r="T18" s="28">
        <v>29.0</v>
      </c>
      <c r="U18" s="28" t="s">
        <v>57</v>
      </c>
      <c r="V18" s="28">
        <v>6.0</v>
      </c>
      <c r="W18" s="28" t="s">
        <v>57</v>
      </c>
      <c r="X18" s="28">
        <v>6.0</v>
      </c>
      <c r="Y18" s="28" t="s">
        <v>57</v>
      </c>
      <c r="Z18" s="28">
        <v>24.0</v>
      </c>
      <c r="AA18" s="28" t="s">
        <v>57</v>
      </c>
      <c r="AB18" s="28">
        <v>13.0</v>
      </c>
      <c r="AC18" s="28" t="s">
        <v>57</v>
      </c>
      <c r="AD18" s="28">
        <v>25.0</v>
      </c>
      <c r="AE18" s="28" t="s">
        <v>57</v>
      </c>
      <c r="AF18" s="28">
        <v>4.0</v>
      </c>
      <c r="AG18" s="28" t="s">
        <v>57</v>
      </c>
      <c r="AH18" s="28">
        <v>8.0</v>
      </c>
      <c r="AI18" s="28" t="s">
        <v>57</v>
      </c>
      <c r="AJ18" s="28">
        <v>21.0</v>
      </c>
      <c r="AK18" s="28" t="s">
        <v>57</v>
      </c>
      <c r="AL18" s="28">
        <v>16.0</v>
      </c>
      <c r="AM18" s="28" t="s">
        <v>57</v>
      </c>
      <c r="AN18" s="28">
        <v>25.0</v>
      </c>
      <c r="AO18" s="28" t="s">
        <v>57</v>
      </c>
      <c r="AP18" s="28">
        <v>5.0</v>
      </c>
      <c r="AQ18" s="28" t="s">
        <v>57</v>
      </c>
      <c r="AR18" s="28">
        <v>7.0</v>
      </c>
    </row>
    <row r="19">
      <c r="A19" s="28" t="s">
        <v>59</v>
      </c>
      <c r="B19" s="28">
        <v>4.0</v>
      </c>
      <c r="C19" s="28" t="s">
        <v>59</v>
      </c>
      <c r="D19" s="28">
        <v>2.0</v>
      </c>
      <c r="E19" s="28" t="s">
        <v>59</v>
      </c>
      <c r="F19" s="28">
        <v>5.0</v>
      </c>
      <c r="G19" s="28" t="s">
        <v>59</v>
      </c>
      <c r="H19" s="28">
        <v>3.0</v>
      </c>
      <c r="I19" s="28" t="s">
        <v>59</v>
      </c>
      <c r="J19" s="28">
        <v>13.0</v>
      </c>
      <c r="K19" s="28" t="s">
        <v>59</v>
      </c>
      <c r="L19" s="28">
        <v>2.0</v>
      </c>
      <c r="M19" s="28" t="s">
        <v>59</v>
      </c>
      <c r="N19" s="28">
        <v>6.0</v>
      </c>
      <c r="O19" s="28" t="s">
        <v>59</v>
      </c>
      <c r="P19" s="28">
        <v>6.0</v>
      </c>
      <c r="Q19" s="28" t="s">
        <v>59</v>
      </c>
      <c r="R19" s="28">
        <v>3.0</v>
      </c>
      <c r="S19" s="28" t="s">
        <v>59</v>
      </c>
      <c r="T19" s="28">
        <v>9.0</v>
      </c>
      <c r="U19" s="28" t="s">
        <v>59</v>
      </c>
      <c r="V19" s="28">
        <v>2.0</v>
      </c>
      <c r="W19" s="28" t="s">
        <v>59</v>
      </c>
      <c r="X19" s="28">
        <v>3.0</v>
      </c>
      <c r="Y19" s="28" t="s">
        <v>59</v>
      </c>
      <c r="Z19" s="28">
        <v>5.0</v>
      </c>
      <c r="AA19" s="28" t="s">
        <v>59</v>
      </c>
      <c r="AB19" s="28">
        <v>5.0</v>
      </c>
      <c r="AC19" s="28" t="s">
        <v>59</v>
      </c>
      <c r="AD19" s="28">
        <v>14.0</v>
      </c>
      <c r="AE19" s="28" t="s">
        <v>59</v>
      </c>
      <c r="AF19" s="28">
        <v>8.0</v>
      </c>
      <c r="AG19" s="28" t="s">
        <v>59</v>
      </c>
      <c r="AH19" s="28">
        <v>1.0</v>
      </c>
      <c r="AI19" s="28" t="s">
        <v>59</v>
      </c>
      <c r="AJ19" s="28">
        <v>5.0</v>
      </c>
      <c r="AK19" s="28" t="s">
        <v>59</v>
      </c>
      <c r="AL19" s="28">
        <v>3.0</v>
      </c>
      <c r="AM19" s="28" t="s">
        <v>59</v>
      </c>
      <c r="AN19" s="28">
        <v>12.0</v>
      </c>
      <c r="AO19" s="28" t="s">
        <v>59</v>
      </c>
      <c r="AP19" s="28">
        <v>8.0</v>
      </c>
      <c r="AQ19" s="28" t="s">
        <v>59</v>
      </c>
      <c r="AR19" s="28">
        <v>4.0</v>
      </c>
    </row>
    <row r="20">
      <c r="A20" s="28" t="s">
        <v>61</v>
      </c>
      <c r="B20" s="28">
        <v>3.0</v>
      </c>
      <c r="C20" s="28" t="s">
        <v>61</v>
      </c>
      <c r="D20" s="90">
        <v>3.0</v>
      </c>
      <c r="E20" s="28" t="s">
        <v>61</v>
      </c>
      <c r="F20" s="28">
        <v>7.0</v>
      </c>
      <c r="G20" s="28" t="s">
        <v>61</v>
      </c>
      <c r="H20" s="28">
        <v>4.0</v>
      </c>
      <c r="I20" s="28" t="s">
        <v>61</v>
      </c>
      <c r="J20" s="28">
        <v>10.0</v>
      </c>
      <c r="K20" s="28" t="s">
        <v>61</v>
      </c>
      <c r="L20" s="28">
        <v>4.0</v>
      </c>
      <c r="M20" s="28" t="s">
        <v>61</v>
      </c>
      <c r="N20" s="28">
        <v>3.0</v>
      </c>
      <c r="O20" s="28" t="s">
        <v>61</v>
      </c>
      <c r="P20" s="28">
        <v>6.0</v>
      </c>
      <c r="Q20" s="28" t="s">
        <v>61</v>
      </c>
      <c r="R20" s="28">
        <v>3.0</v>
      </c>
      <c r="S20" s="28" t="s">
        <v>61</v>
      </c>
      <c r="T20" s="28">
        <v>8.0</v>
      </c>
      <c r="U20" s="28" t="s">
        <v>61</v>
      </c>
      <c r="V20" s="28">
        <v>6.0</v>
      </c>
      <c r="W20" s="28" t="s">
        <v>61</v>
      </c>
      <c r="X20" s="28">
        <v>2.0</v>
      </c>
      <c r="Y20" s="28" t="s">
        <v>61</v>
      </c>
      <c r="Z20" s="28">
        <v>9.0</v>
      </c>
      <c r="AA20" s="28" t="s">
        <v>61</v>
      </c>
      <c r="AB20" s="28">
        <v>6.0</v>
      </c>
      <c r="AC20" s="28" t="s">
        <v>61</v>
      </c>
      <c r="AD20" s="28">
        <v>12.0</v>
      </c>
      <c r="AE20" s="28" t="s">
        <v>61</v>
      </c>
      <c r="AF20" s="28">
        <v>5.0</v>
      </c>
      <c r="AG20" s="28" t="s">
        <v>61</v>
      </c>
      <c r="AH20" s="28">
        <v>3.0</v>
      </c>
      <c r="AI20" s="28" t="s">
        <v>61</v>
      </c>
      <c r="AJ20" s="28">
        <v>7.0</v>
      </c>
      <c r="AK20" s="28" t="s">
        <v>61</v>
      </c>
      <c r="AL20" s="28">
        <v>4.0</v>
      </c>
      <c r="AM20" s="28" t="s">
        <v>61</v>
      </c>
      <c r="AN20" s="28">
        <v>15.0</v>
      </c>
      <c r="AO20" s="28" t="s">
        <v>61</v>
      </c>
      <c r="AP20" s="28">
        <v>4.0</v>
      </c>
      <c r="AQ20" s="28" t="s">
        <v>61</v>
      </c>
      <c r="AR20" s="28">
        <v>2.0</v>
      </c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</row>
    <row r="22">
      <c r="A22" s="76"/>
      <c r="B22" s="79">
        <v>64.0</v>
      </c>
      <c r="C22" s="76"/>
      <c r="D22" s="79">
        <v>58.0</v>
      </c>
      <c r="E22" s="76"/>
      <c r="F22" s="79">
        <v>87.0</v>
      </c>
      <c r="G22" s="76"/>
      <c r="H22" s="79">
        <v>63.0</v>
      </c>
      <c r="I22" s="76"/>
      <c r="J22" s="79">
        <v>113.0</v>
      </c>
      <c r="K22" s="76"/>
      <c r="L22" s="79">
        <v>61.0</v>
      </c>
      <c r="M22" s="76"/>
      <c r="N22" s="79">
        <v>61.0</v>
      </c>
      <c r="O22" s="76"/>
      <c r="P22" s="79">
        <v>90.0</v>
      </c>
      <c r="Q22" s="76"/>
      <c r="R22" s="79">
        <v>65.0</v>
      </c>
      <c r="S22" s="76"/>
      <c r="T22" s="79">
        <v>111.0</v>
      </c>
      <c r="U22" s="76"/>
      <c r="V22" s="79">
        <v>67.0</v>
      </c>
      <c r="W22" s="76"/>
      <c r="X22" s="79">
        <v>59.0</v>
      </c>
      <c r="Y22" s="76"/>
      <c r="Z22" s="79">
        <v>89.0</v>
      </c>
      <c r="AA22" s="79"/>
      <c r="AB22" s="79">
        <v>64.0</v>
      </c>
      <c r="AC22" s="79"/>
      <c r="AD22" s="79">
        <v>110.0</v>
      </c>
      <c r="AE22" s="79"/>
      <c r="AF22" s="79">
        <v>66.0</v>
      </c>
      <c r="AG22" s="79"/>
      <c r="AH22" s="79">
        <v>62.0</v>
      </c>
      <c r="AI22" s="79"/>
      <c r="AJ22" s="79">
        <v>88.0</v>
      </c>
      <c r="AK22" s="79"/>
      <c r="AL22" s="79">
        <v>66.0</v>
      </c>
      <c r="AM22" s="79"/>
      <c r="AN22" s="79">
        <v>115.0</v>
      </c>
      <c r="AO22" s="79"/>
      <c r="AP22" s="79">
        <v>69.0</v>
      </c>
      <c r="AQ22" s="79"/>
      <c r="AR22" s="79">
        <v>57.0</v>
      </c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</row>
    <row r="24">
      <c r="A24" s="28" t="s">
        <v>176</v>
      </c>
      <c r="B24" s="28">
        <v>1.0</v>
      </c>
      <c r="C24" s="28" t="s">
        <v>183</v>
      </c>
      <c r="D24" s="28">
        <v>1.0</v>
      </c>
      <c r="E24" s="95" t="s">
        <v>176</v>
      </c>
      <c r="F24" s="28">
        <v>1.0</v>
      </c>
      <c r="G24" s="28" t="s">
        <v>183</v>
      </c>
      <c r="H24" s="28">
        <v>2.0</v>
      </c>
      <c r="I24" s="28" t="s">
        <v>176</v>
      </c>
      <c r="J24" s="28">
        <v>4.0</v>
      </c>
      <c r="K24" s="28" t="s">
        <v>176</v>
      </c>
      <c r="L24" s="28">
        <v>2.0</v>
      </c>
      <c r="M24" s="28" t="s">
        <v>183</v>
      </c>
      <c r="N24" s="28">
        <v>1.0</v>
      </c>
      <c r="O24" s="95" t="s">
        <v>176</v>
      </c>
      <c r="P24" s="28">
        <v>4.0</v>
      </c>
      <c r="Q24" s="28" t="s">
        <v>176</v>
      </c>
      <c r="R24" s="28">
        <v>1.0</v>
      </c>
      <c r="S24" s="28" t="s">
        <v>176</v>
      </c>
      <c r="T24" s="28">
        <v>4.0</v>
      </c>
      <c r="U24" s="28" t="s">
        <v>183</v>
      </c>
      <c r="V24" s="28">
        <v>1.0</v>
      </c>
      <c r="W24" s="31" t="s">
        <v>176</v>
      </c>
      <c r="X24" s="28">
        <v>1.0</v>
      </c>
      <c r="Y24" s="95" t="s">
        <v>176</v>
      </c>
      <c r="Z24" s="28">
        <v>3.0</v>
      </c>
      <c r="AA24" s="28" t="s">
        <v>176</v>
      </c>
      <c r="AB24" s="28">
        <v>1.0</v>
      </c>
      <c r="AC24" s="28" t="s">
        <v>174</v>
      </c>
      <c r="AD24" s="28">
        <v>1.0</v>
      </c>
      <c r="AE24" s="28" t="s">
        <v>195</v>
      </c>
      <c r="AF24" s="28">
        <v>1.0</v>
      </c>
      <c r="AG24" s="31" t="s">
        <v>183</v>
      </c>
      <c r="AH24" s="28">
        <v>3.0</v>
      </c>
      <c r="AI24" s="95" t="s">
        <v>176</v>
      </c>
      <c r="AJ24" s="28">
        <v>2.0</v>
      </c>
      <c r="AK24" s="28" t="s">
        <v>176</v>
      </c>
      <c r="AL24" s="28">
        <v>1.0</v>
      </c>
      <c r="AM24" s="28" t="s">
        <v>176</v>
      </c>
      <c r="AN24" s="28">
        <v>2.0</v>
      </c>
      <c r="AO24" s="28" t="s">
        <v>176</v>
      </c>
      <c r="AP24" s="28">
        <v>1.0</v>
      </c>
      <c r="AQ24" s="31" t="s">
        <v>183</v>
      </c>
      <c r="AR24" s="28">
        <v>1.0</v>
      </c>
    </row>
    <row r="25">
      <c r="A25" s="28" t="s">
        <v>183</v>
      </c>
      <c r="B25" s="28">
        <v>1.0</v>
      </c>
      <c r="C25" s="28" t="s">
        <v>180</v>
      </c>
      <c r="D25" s="28">
        <v>3.0</v>
      </c>
      <c r="E25" s="95" t="s">
        <v>174</v>
      </c>
      <c r="F25" s="28">
        <v>1.0</v>
      </c>
      <c r="G25" s="28" t="s">
        <v>180</v>
      </c>
      <c r="H25" s="28">
        <v>4.0</v>
      </c>
      <c r="I25" s="28" t="s">
        <v>183</v>
      </c>
      <c r="J25" s="28">
        <v>1.0</v>
      </c>
      <c r="K25" s="28" t="s">
        <v>174</v>
      </c>
      <c r="L25" s="28">
        <v>1.0</v>
      </c>
      <c r="M25" s="28" t="s">
        <v>180</v>
      </c>
      <c r="N25" s="28">
        <v>3.0</v>
      </c>
      <c r="O25" s="95" t="s">
        <v>174</v>
      </c>
      <c r="P25" s="28">
        <v>1.0</v>
      </c>
      <c r="Q25" s="28" t="s">
        <v>174</v>
      </c>
      <c r="R25" s="28">
        <v>1.0</v>
      </c>
      <c r="S25" s="28" t="s">
        <v>174</v>
      </c>
      <c r="T25" s="28">
        <v>1.0</v>
      </c>
      <c r="U25" s="28" t="s">
        <v>195</v>
      </c>
      <c r="V25" s="28">
        <v>1.0</v>
      </c>
      <c r="W25" s="31" t="s">
        <v>183</v>
      </c>
      <c r="X25" s="28">
        <v>2.0</v>
      </c>
      <c r="Y25" s="95" t="s">
        <v>174</v>
      </c>
      <c r="Z25" s="28">
        <v>1.0</v>
      </c>
      <c r="AA25" s="28" t="s">
        <v>183</v>
      </c>
      <c r="AB25" s="28">
        <v>3.0</v>
      </c>
      <c r="AC25" s="28" t="s">
        <v>183</v>
      </c>
      <c r="AD25" s="28">
        <v>3.0</v>
      </c>
      <c r="AE25" s="28" t="s">
        <v>186</v>
      </c>
      <c r="AF25" s="28">
        <v>1.0</v>
      </c>
      <c r="AG25" s="31" t="s">
        <v>180</v>
      </c>
      <c r="AH25" s="28">
        <v>4.0</v>
      </c>
      <c r="AI25" s="95" t="s">
        <v>183</v>
      </c>
      <c r="AJ25" s="28">
        <v>6.0</v>
      </c>
      <c r="AK25" s="28" t="s">
        <v>183</v>
      </c>
      <c r="AL25" s="28">
        <v>1.0</v>
      </c>
      <c r="AM25" s="28" t="s">
        <v>183</v>
      </c>
      <c r="AN25" s="28">
        <v>4.0</v>
      </c>
      <c r="AO25" s="28" t="s">
        <v>183</v>
      </c>
      <c r="AP25" s="28">
        <v>1.0</v>
      </c>
      <c r="AQ25" s="31" t="s">
        <v>180</v>
      </c>
      <c r="AR25" s="28">
        <v>1.0</v>
      </c>
    </row>
    <row r="26">
      <c r="A26" s="28" t="s">
        <v>195</v>
      </c>
      <c r="B26" s="28">
        <v>2.0</v>
      </c>
      <c r="C26" s="28" t="s">
        <v>186</v>
      </c>
      <c r="D26" s="28">
        <v>1.0</v>
      </c>
      <c r="E26" s="95" t="s">
        <v>183</v>
      </c>
      <c r="F26" s="28">
        <v>5.0</v>
      </c>
      <c r="G26" s="28" t="s">
        <v>195</v>
      </c>
      <c r="H26" s="28">
        <v>1.0</v>
      </c>
      <c r="I26" s="28" t="s">
        <v>180</v>
      </c>
      <c r="J26" s="28">
        <v>6.0</v>
      </c>
      <c r="K26" s="28" t="s">
        <v>186</v>
      </c>
      <c r="L26" s="28">
        <v>1.0</v>
      </c>
      <c r="M26" s="31" t="s">
        <v>195</v>
      </c>
      <c r="N26" s="28">
        <v>2.0</v>
      </c>
      <c r="O26" s="95" t="s">
        <v>183</v>
      </c>
      <c r="P26" s="28">
        <v>5.0</v>
      </c>
      <c r="Q26" s="28" t="s">
        <v>180</v>
      </c>
      <c r="R26" s="28">
        <v>3.0</v>
      </c>
      <c r="S26" s="28" t="s">
        <v>183</v>
      </c>
      <c r="T26" s="28">
        <v>2.0</v>
      </c>
      <c r="U26" s="28" t="s">
        <v>186</v>
      </c>
      <c r="V26" s="28">
        <v>1.0</v>
      </c>
      <c r="W26" s="28" t="s">
        <v>180</v>
      </c>
      <c r="X26" s="28">
        <v>3.0</v>
      </c>
      <c r="Y26" s="95" t="s">
        <v>183</v>
      </c>
      <c r="Z26" s="28">
        <v>4.0</v>
      </c>
      <c r="AA26" s="28" t="s">
        <v>180</v>
      </c>
      <c r="AB26" s="28">
        <v>2.0</v>
      </c>
      <c r="AC26" s="28" t="s">
        <v>180</v>
      </c>
      <c r="AD26" s="28">
        <v>4.0</v>
      </c>
      <c r="AE26" s="28" t="s">
        <v>192</v>
      </c>
      <c r="AF26" s="28">
        <v>1.0</v>
      </c>
      <c r="AG26" s="28" t="s">
        <v>195</v>
      </c>
      <c r="AH26" s="28">
        <v>1.0</v>
      </c>
      <c r="AI26" s="95" t="s">
        <v>180</v>
      </c>
      <c r="AJ26" s="28">
        <v>1.0</v>
      </c>
      <c r="AK26" s="28" t="s">
        <v>180</v>
      </c>
      <c r="AL26" s="28">
        <v>4.0</v>
      </c>
      <c r="AM26" s="28" t="s">
        <v>180</v>
      </c>
      <c r="AN26" s="28">
        <v>4.0</v>
      </c>
      <c r="AO26" s="28" t="s">
        <v>195</v>
      </c>
      <c r="AP26" s="28">
        <v>1.0</v>
      </c>
      <c r="AQ26" s="28" t="s">
        <v>195</v>
      </c>
      <c r="AR26" s="28">
        <v>1.0</v>
      </c>
    </row>
    <row r="27">
      <c r="A27" s="28" t="s">
        <v>186</v>
      </c>
      <c r="B27" s="28">
        <v>1.0</v>
      </c>
      <c r="C27" s="28" t="s">
        <v>192</v>
      </c>
      <c r="D27" s="28">
        <v>1.0</v>
      </c>
      <c r="E27" s="28" t="s">
        <v>180</v>
      </c>
      <c r="F27" s="28">
        <v>2.0</v>
      </c>
      <c r="G27" s="28" t="s">
        <v>192</v>
      </c>
      <c r="H27" s="28">
        <v>4.0</v>
      </c>
      <c r="I27" s="28" t="s">
        <v>195</v>
      </c>
      <c r="J27" s="28">
        <v>5.0</v>
      </c>
      <c r="K27" s="28" t="s">
        <v>202</v>
      </c>
      <c r="L27" s="28">
        <v>1.0</v>
      </c>
      <c r="M27" s="31" t="s">
        <v>186</v>
      </c>
      <c r="N27" s="28">
        <v>1.0</v>
      </c>
      <c r="O27" s="28" t="s">
        <v>180</v>
      </c>
      <c r="P27" s="28">
        <v>1.0</v>
      </c>
      <c r="Q27" s="28" t="s">
        <v>195</v>
      </c>
      <c r="R27" s="28">
        <v>1.0</v>
      </c>
      <c r="S27" s="28" t="s">
        <v>180</v>
      </c>
      <c r="T27" s="28">
        <v>5.0</v>
      </c>
      <c r="U27" s="28" t="s">
        <v>210</v>
      </c>
      <c r="V27" s="28">
        <v>1.0</v>
      </c>
      <c r="W27" s="28" t="s">
        <v>195</v>
      </c>
      <c r="X27" s="28">
        <v>1.0</v>
      </c>
      <c r="Y27" s="28" t="s">
        <v>180</v>
      </c>
      <c r="Z27" s="28">
        <v>3.0</v>
      </c>
      <c r="AA27" s="28" t="s">
        <v>195</v>
      </c>
      <c r="AB27" s="28">
        <v>4.0</v>
      </c>
      <c r="AC27" s="28" t="s">
        <v>195</v>
      </c>
      <c r="AD27" s="28">
        <v>1.0</v>
      </c>
      <c r="AE27" s="28" t="s">
        <v>202</v>
      </c>
      <c r="AF27" s="28">
        <v>1.0</v>
      </c>
      <c r="AG27" s="28" t="s">
        <v>186</v>
      </c>
      <c r="AH27" s="28">
        <v>1.0</v>
      </c>
      <c r="AI27" s="28" t="s">
        <v>195</v>
      </c>
      <c r="AJ27" s="28">
        <v>3.0</v>
      </c>
      <c r="AK27" s="28" t="s">
        <v>197</v>
      </c>
      <c r="AL27" s="28">
        <v>2.0</v>
      </c>
      <c r="AM27" s="28" t="s">
        <v>195</v>
      </c>
      <c r="AN27" s="28">
        <v>4.0</v>
      </c>
      <c r="AO27" s="28" t="s">
        <v>186</v>
      </c>
      <c r="AP27" s="28">
        <v>1.0</v>
      </c>
      <c r="AQ27" s="28" t="s">
        <v>186</v>
      </c>
      <c r="AR27" s="28">
        <v>1.0</v>
      </c>
    </row>
    <row r="28">
      <c r="A28" s="28" t="s">
        <v>207</v>
      </c>
      <c r="B28" s="28">
        <v>2.0</v>
      </c>
      <c r="C28" s="28" t="s">
        <v>197</v>
      </c>
      <c r="D28" s="28">
        <v>2.0</v>
      </c>
      <c r="E28" s="28" t="s">
        <v>195</v>
      </c>
      <c r="F28" s="28">
        <v>4.0</v>
      </c>
      <c r="G28" s="28" t="s">
        <v>197</v>
      </c>
      <c r="H28" s="28">
        <v>1.0</v>
      </c>
      <c r="I28" s="28" t="s">
        <v>186</v>
      </c>
      <c r="J28" s="28">
        <v>1.0</v>
      </c>
      <c r="K28" s="28" t="s">
        <v>203</v>
      </c>
      <c r="L28" s="28">
        <v>1.0</v>
      </c>
      <c r="M28" s="31" t="s">
        <v>192</v>
      </c>
      <c r="N28" s="28">
        <v>2.0</v>
      </c>
      <c r="O28" s="28" t="s">
        <v>195</v>
      </c>
      <c r="P28" s="28">
        <v>3.0</v>
      </c>
      <c r="Q28" s="28" t="s">
        <v>192</v>
      </c>
      <c r="R28" s="28">
        <v>2.0</v>
      </c>
      <c r="S28" s="28" t="s">
        <v>195</v>
      </c>
      <c r="T28" s="28">
        <v>3.0</v>
      </c>
      <c r="U28" s="28" t="s">
        <v>223</v>
      </c>
      <c r="V28" s="28">
        <v>1.0</v>
      </c>
      <c r="W28" s="28" t="s">
        <v>186</v>
      </c>
      <c r="X28" s="28">
        <v>1.0</v>
      </c>
      <c r="Y28" s="28" t="s">
        <v>195</v>
      </c>
      <c r="Z28" s="28">
        <v>3.0</v>
      </c>
      <c r="AA28" s="28" t="s">
        <v>186</v>
      </c>
      <c r="AB28" s="28">
        <v>1.0</v>
      </c>
      <c r="AC28" s="28" t="s">
        <v>192</v>
      </c>
      <c r="AD28" s="28">
        <v>4.0</v>
      </c>
      <c r="AE28" s="28" t="s">
        <v>207</v>
      </c>
      <c r="AF28" s="28">
        <v>2.0</v>
      </c>
      <c r="AG28" s="28" t="s">
        <v>192</v>
      </c>
      <c r="AH28" s="28">
        <v>2.0</v>
      </c>
      <c r="AI28" s="28" t="s">
        <v>192</v>
      </c>
      <c r="AJ28" s="28">
        <v>3.0</v>
      </c>
      <c r="AK28" s="28" t="s">
        <v>216</v>
      </c>
      <c r="AL28" s="28">
        <v>6.0</v>
      </c>
      <c r="AM28" s="28" t="s">
        <v>192</v>
      </c>
      <c r="AN28" s="28">
        <v>2.0</v>
      </c>
      <c r="AO28" s="28" t="s">
        <v>192</v>
      </c>
      <c r="AP28" s="28">
        <v>2.0</v>
      </c>
      <c r="AQ28" s="28" t="s">
        <v>192</v>
      </c>
      <c r="AR28" s="28">
        <v>2.0</v>
      </c>
    </row>
    <row r="29">
      <c r="A29" s="28" t="s">
        <v>210</v>
      </c>
      <c r="B29" s="28">
        <v>1.0</v>
      </c>
      <c r="C29" s="28" t="s">
        <v>202</v>
      </c>
      <c r="D29" s="28">
        <v>2.0</v>
      </c>
      <c r="E29" s="28" t="s">
        <v>192</v>
      </c>
      <c r="F29" s="28">
        <v>3.0</v>
      </c>
      <c r="G29" s="28" t="s">
        <v>203</v>
      </c>
      <c r="H29" s="28">
        <v>1.0</v>
      </c>
      <c r="I29" s="28" t="s">
        <v>192</v>
      </c>
      <c r="J29" s="28">
        <v>3.0</v>
      </c>
      <c r="K29" s="28" t="s">
        <v>207</v>
      </c>
      <c r="L29" s="28">
        <v>2.0</v>
      </c>
      <c r="M29" s="31" t="s">
        <v>197</v>
      </c>
      <c r="N29" s="28">
        <v>1.0</v>
      </c>
      <c r="O29" s="28" t="s">
        <v>186</v>
      </c>
      <c r="P29" s="28">
        <v>1.0</v>
      </c>
      <c r="Q29" s="28" t="s">
        <v>207</v>
      </c>
      <c r="R29" s="28">
        <v>1.0</v>
      </c>
      <c r="S29" s="28" t="s">
        <v>192</v>
      </c>
      <c r="T29" s="28">
        <v>4.0</v>
      </c>
      <c r="U29" s="28" t="s">
        <v>212</v>
      </c>
      <c r="V29" s="28">
        <v>3.0</v>
      </c>
      <c r="W29" s="28" t="s">
        <v>192</v>
      </c>
      <c r="X29" s="28">
        <v>3.0</v>
      </c>
      <c r="Y29" s="28" t="s">
        <v>186</v>
      </c>
      <c r="Z29" s="28">
        <v>1.0</v>
      </c>
      <c r="AA29" s="28" t="s">
        <v>192</v>
      </c>
      <c r="AB29" s="28">
        <v>1.0</v>
      </c>
      <c r="AC29" s="28" t="s">
        <v>197</v>
      </c>
      <c r="AD29" s="28">
        <v>1.0</v>
      </c>
      <c r="AE29" s="28" t="s">
        <v>210</v>
      </c>
      <c r="AF29" s="28">
        <v>3.0</v>
      </c>
      <c r="AG29" s="28" t="s">
        <v>197</v>
      </c>
      <c r="AH29" s="28">
        <v>2.0</v>
      </c>
      <c r="AI29" s="28" t="s">
        <v>207</v>
      </c>
      <c r="AJ29" s="28">
        <v>1.0</v>
      </c>
      <c r="AK29" s="28" t="s">
        <v>225</v>
      </c>
      <c r="AL29" s="28">
        <v>3.0</v>
      </c>
      <c r="AM29" s="28" t="s">
        <v>197</v>
      </c>
      <c r="AN29" s="28">
        <v>1.0</v>
      </c>
      <c r="AO29" s="28" t="s">
        <v>202</v>
      </c>
      <c r="AP29" s="28">
        <v>3.0</v>
      </c>
      <c r="AQ29" s="28" t="s">
        <v>197</v>
      </c>
      <c r="AR29" s="28">
        <v>1.0</v>
      </c>
    </row>
    <row r="30">
      <c r="A30" s="28" t="s">
        <v>212</v>
      </c>
      <c r="B30" s="28">
        <v>2.0</v>
      </c>
      <c r="C30" s="28" t="s">
        <v>203</v>
      </c>
      <c r="D30" s="28">
        <v>1.0</v>
      </c>
      <c r="E30" s="28" t="s">
        <v>197</v>
      </c>
      <c r="F30" s="28">
        <v>2.0</v>
      </c>
      <c r="G30" s="28" t="s">
        <v>207</v>
      </c>
      <c r="H30" s="28">
        <v>1.0</v>
      </c>
      <c r="I30" s="28" t="s">
        <v>202</v>
      </c>
      <c r="J30" s="28">
        <v>2.0</v>
      </c>
      <c r="K30" s="28" t="s">
        <v>210</v>
      </c>
      <c r="L30" s="28">
        <v>2.0</v>
      </c>
      <c r="M30" s="31" t="s">
        <v>202</v>
      </c>
      <c r="N30" s="28">
        <v>1.0</v>
      </c>
      <c r="O30" s="28" t="s">
        <v>192</v>
      </c>
      <c r="P30" s="28">
        <v>3.0</v>
      </c>
      <c r="Q30" s="28" t="s">
        <v>210</v>
      </c>
      <c r="R30" s="28">
        <v>1.0</v>
      </c>
      <c r="S30" s="28" t="s">
        <v>202</v>
      </c>
      <c r="T30" s="28">
        <v>1.0</v>
      </c>
      <c r="U30" s="28" t="s">
        <v>216</v>
      </c>
      <c r="V30" s="28">
        <v>9.0</v>
      </c>
      <c r="W30" s="28" t="s">
        <v>197</v>
      </c>
      <c r="X30" s="28">
        <v>1.0</v>
      </c>
      <c r="Y30" s="28" t="s">
        <v>192</v>
      </c>
      <c r="Z30" s="28">
        <v>2.0</v>
      </c>
      <c r="AA30" s="28" t="s">
        <v>210</v>
      </c>
      <c r="AB30" s="28">
        <v>1.0</v>
      </c>
      <c r="AC30" s="28" t="s">
        <v>207</v>
      </c>
      <c r="AD30" s="28">
        <v>1.0</v>
      </c>
      <c r="AE30" s="28" t="s">
        <v>212</v>
      </c>
      <c r="AF30" s="28">
        <v>2.0</v>
      </c>
      <c r="AG30" s="28" t="s">
        <v>210</v>
      </c>
      <c r="AH30" s="28">
        <v>1.0</v>
      </c>
      <c r="AI30" s="28" t="s">
        <v>212</v>
      </c>
      <c r="AJ30" s="28">
        <v>1.0</v>
      </c>
      <c r="AK30" s="28" t="s">
        <v>230</v>
      </c>
      <c r="AL30" s="28">
        <v>10.0</v>
      </c>
      <c r="AM30" s="28" t="s">
        <v>207</v>
      </c>
      <c r="AN30" s="28">
        <v>1.0</v>
      </c>
      <c r="AO30" s="28" t="s">
        <v>207</v>
      </c>
      <c r="AP30" s="28">
        <v>3.0</v>
      </c>
      <c r="AQ30" s="28" t="s">
        <v>202</v>
      </c>
      <c r="AR30" s="28">
        <v>1.0</v>
      </c>
    </row>
    <row r="31">
      <c r="A31" s="28" t="s">
        <v>466</v>
      </c>
      <c r="B31" s="28">
        <v>1.0</v>
      </c>
      <c r="C31" s="28" t="s">
        <v>210</v>
      </c>
      <c r="D31" s="28">
        <v>1.0</v>
      </c>
      <c r="E31" s="28" t="s">
        <v>202</v>
      </c>
      <c r="F31" s="28">
        <v>1.0</v>
      </c>
      <c r="G31" s="28" t="s">
        <v>216</v>
      </c>
      <c r="H31" s="28">
        <v>5.0</v>
      </c>
      <c r="I31" s="28" t="s">
        <v>203</v>
      </c>
      <c r="J31" s="28">
        <v>1.0</v>
      </c>
      <c r="K31" s="28" t="s">
        <v>212</v>
      </c>
      <c r="L31" s="28">
        <v>1.0</v>
      </c>
      <c r="M31" s="31" t="s">
        <v>210</v>
      </c>
      <c r="N31" s="28">
        <v>2.0</v>
      </c>
      <c r="O31" s="28" t="s">
        <v>197</v>
      </c>
      <c r="P31" s="28">
        <v>2.0</v>
      </c>
      <c r="Q31" s="28" t="s">
        <v>212</v>
      </c>
      <c r="R31" s="28">
        <v>1.0</v>
      </c>
      <c r="S31" s="28" t="s">
        <v>207</v>
      </c>
      <c r="T31" s="28">
        <v>1.0</v>
      </c>
      <c r="U31" s="28" t="s">
        <v>225</v>
      </c>
      <c r="V31" s="28">
        <v>8.0</v>
      </c>
      <c r="W31" s="28" t="s">
        <v>202</v>
      </c>
      <c r="X31" s="28">
        <v>3.0</v>
      </c>
      <c r="Y31" s="28" t="s">
        <v>197</v>
      </c>
      <c r="Z31" s="28">
        <v>2.0</v>
      </c>
      <c r="AA31" s="28" t="s">
        <v>212</v>
      </c>
      <c r="AB31" s="28">
        <v>1.0</v>
      </c>
      <c r="AC31" s="28" t="s">
        <v>210</v>
      </c>
      <c r="AD31" s="28">
        <v>3.0</v>
      </c>
      <c r="AE31" s="28" t="s">
        <v>216</v>
      </c>
      <c r="AF31" s="28">
        <v>7.0</v>
      </c>
      <c r="AG31" s="28" t="s">
        <v>223</v>
      </c>
      <c r="AH31" s="28">
        <v>2.0</v>
      </c>
      <c r="AI31" s="28" t="s">
        <v>216</v>
      </c>
      <c r="AJ31" s="28">
        <v>3.0</v>
      </c>
      <c r="AK31" s="28" t="s">
        <v>236</v>
      </c>
      <c r="AL31" s="28">
        <v>1.0</v>
      </c>
      <c r="AM31" s="28" t="s">
        <v>210</v>
      </c>
      <c r="AN31" s="28">
        <v>5.0</v>
      </c>
      <c r="AO31" s="28" t="s">
        <v>210</v>
      </c>
      <c r="AP31" s="28">
        <v>1.0</v>
      </c>
      <c r="AQ31" s="28" t="s">
        <v>207</v>
      </c>
      <c r="AR31" s="28">
        <v>1.0</v>
      </c>
    </row>
    <row r="32">
      <c r="A32" s="28" t="s">
        <v>216</v>
      </c>
      <c r="B32" s="28">
        <v>7.0</v>
      </c>
      <c r="C32" s="28" t="s">
        <v>212</v>
      </c>
      <c r="D32" s="28">
        <v>4.0</v>
      </c>
      <c r="E32" s="28" t="s">
        <v>203</v>
      </c>
      <c r="F32" s="28">
        <v>1.0</v>
      </c>
      <c r="G32" s="28" t="s">
        <v>225</v>
      </c>
      <c r="H32" s="28">
        <v>3.0</v>
      </c>
      <c r="I32" s="28" t="s">
        <v>207</v>
      </c>
      <c r="J32" s="28">
        <v>2.0</v>
      </c>
      <c r="K32" s="28" t="s">
        <v>216</v>
      </c>
      <c r="L32" s="28">
        <v>9.0</v>
      </c>
      <c r="M32" s="28" t="s">
        <v>212</v>
      </c>
      <c r="N32" s="28">
        <v>1.0</v>
      </c>
      <c r="O32" s="28" t="s">
        <v>207</v>
      </c>
      <c r="P32" s="28">
        <v>1.0</v>
      </c>
      <c r="Q32" s="28" t="s">
        <v>216</v>
      </c>
      <c r="R32" s="28">
        <v>3.0</v>
      </c>
      <c r="S32" s="28" t="s">
        <v>210</v>
      </c>
      <c r="T32" s="28">
        <v>1.0</v>
      </c>
      <c r="U32" s="28" t="s">
        <v>230</v>
      </c>
      <c r="V32" s="28">
        <v>7.0</v>
      </c>
      <c r="W32" s="28" t="s">
        <v>207</v>
      </c>
      <c r="X32" s="28">
        <v>1.0</v>
      </c>
      <c r="Y32" s="28" t="s">
        <v>203</v>
      </c>
      <c r="Z32" s="28">
        <v>1.0</v>
      </c>
      <c r="AA32" s="28" t="s">
        <v>466</v>
      </c>
      <c r="AB32" s="28">
        <v>1.0</v>
      </c>
      <c r="AC32" s="28" t="s">
        <v>223</v>
      </c>
      <c r="AD32" s="28">
        <v>1.0</v>
      </c>
      <c r="AE32" s="28" t="s">
        <v>225</v>
      </c>
      <c r="AF32" s="28">
        <v>7.0</v>
      </c>
      <c r="AG32" s="28" t="s">
        <v>212</v>
      </c>
      <c r="AH32" s="28">
        <v>2.0</v>
      </c>
      <c r="AI32" s="28" t="s">
        <v>225</v>
      </c>
      <c r="AJ32" s="28">
        <v>5.0</v>
      </c>
      <c r="AK32" s="28" t="s">
        <v>273</v>
      </c>
      <c r="AL32" s="28">
        <v>1.0</v>
      </c>
      <c r="AM32" s="28" t="s">
        <v>223</v>
      </c>
      <c r="AN32" s="28">
        <v>2.0</v>
      </c>
      <c r="AO32" s="28" t="s">
        <v>223</v>
      </c>
      <c r="AP32" s="28">
        <v>1.0</v>
      </c>
      <c r="AQ32" s="28" t="s">
        <v>223</v>
      </c>
      <c r="AR32" s="28">
        <v>1.0</v>
      </c>
    </row>
    <row r="33">
      <c r="A33" s="28" t="s">
        <v>225</v>
      </c>
      <c r="B33" s="28">
        <v>10.0</v>
      </c>
      <c r="C33" s="28" t="s">
        <v>216</v>
      </c>
      <c r="D33" s="28">
        <v>2.0</v>
      </c>
      <c r="E33" s="28" t="s">
        <v>207</v>
      </c>
      <c r="F33" s="28">
        <v>2.0</v>
      </c>
      <c r="G33" s="28" t="s">
        <v>230</v>
      </c>
      <c r="H33" s="28">
        <v>7.0</v>
      </c>
      <c r="I33" s="28" t="s">
        <v>210</v>
      </c>
      <c r="J33" s="28">
        <v>1.0</v>
      </c>
      <c r="K33" s="28" t="s">
        <v>225</v>
      </c>
      <c r="L33" s="28">
        <v>5.0</v>
      </c>
      <c r="M33" s="28" t="s">
        <v>466</v>
      </c>
      <c r="N33" s="28">
        <v>1.0</v>
      </c>
      <c r="O33" s="28" t="s">
        <v>210</v>
      </c>
      <c r="P33" s="28">
        <v>1.0</v>
      </c>
      <c r="Q33" s="28" t="s">
        <v>225</v>
      </c>
      <c r="R33" s="28">
        <v>2.0</v>
      </c>
      <c r="S33" s="28" t="s">
        <v>223</v>
      </c>
      <c r="T33" s="28">
        <v>3.0</v>
      </c>
      <c r="U33" s="28" t="s">
        <v>236</v>
      </c>
      <c r="V33" s="28">
        <v>2.0</v>
      </c>
      <c r="W33" s="28" t="s">
        <v>210</v>
      </c>
      <c r="X33" s="28">
        <v>3.0</v>
      </c>
      <c r="Y33" s="28" t="s">
        <v>207</v>
      </c>
      <c r="Z33" s="28">
        <v>1.0</v>
      </c>
      <c r="AA33" s="28" t="s">
        <v>216</v>
      </c>
      <c r="AB33" s="28">
        <v>3.0</v>
      </c>
      <c r="AC33" s="28" t="s">
        <v>212</v>
      </c>
      <c r="AD33" s="28">
        <v>2.0</v>
      </c>
      <c r="AE33" s="28" t="s">
        <v>230</v>
      </c>
      <c r="AF33" s="28">
        <v>5.0</v>
      </c>
      <c r="AG33" s="28" t="s">
        <v>216</v>
      </c>
      <c r="AH33" s="28">
        <v>2.0</v>
      </c>
      <c r="AI33" s="28" t="s">
        <v>230</v>
      </c>
      <c r="AJ33" s="28">
        <v>7.0</v>
      </c>
      <c r="AK33" s="28" t="s">
        <v>241</v>
      </c>
      <c r="AL33" s="28">
        <v>1.0</v>
      </c>
      <c r="AM33" s="28" t="s">
        <v>212</v>
      </c>
      <c r="AN33" s="28">
        <v>1.0</v>
      </c>
      <c r="AO33" s="28" t="s">
        <v>212</v>
      </c>
      <c r="AP33" s="28">
        <v>3.0</v>
      </c>
      <c r="AQ33" s="28" t="s">
        <v>212</v>
      </c>
      <c r="AR33" s="28">
        <v>2.0</v>
      </c>
    </row>
    <row r="34">
      <c r="A34" s="28" t="s">
        <v>230</v>
      </c>
      <c r="B34" s="28">
        <v>7.0</v>
      </c>
      <c r="C34" s="28" t="s">
        <v>225</v>
      </c>
      <c r="D34" s="28">
        <v>5.0</v>
      </c>
      <c r="E34" s="28" t="s">
        <v>210</v>
      </c>
      <c r="F34" s="28">
        <v>1.0</v>
      </c>
      <c r="G34" s="28" t="s">
        <v>236</v>
      </c>
      <c r="H34" s="28">
        <v>1.0</v>
      </c>
      <c r="I34" s="28" t="s">
        <v>223</v>
      </c>
      <c r="J34" s="28">
        <v>1.0</v>
      </c>
      <c r="K34" s="28" t="s">
        <v>230</v>
      </c>
      <c r="L34" s="28">
        <v>4.0</v>
      </c>
      <c r="M34" s="28" t="s">
        <v>216</v>
      </c>
      <c r="N34" s="28">
        <v>1.0</v>
      </c>
      <c r="O34" s="28" t="s">
        <v>212</v>
      </c>
      <c r="P34" s="28">
        <v>1.0</v>
      </c>
      <c r="Q34" s="28" t="s">
        <v>230</v>
      </c>
      <c r="R34" s="28">
        <v>5.0</v>
      </c>
      <c r="S34" s="28" t="s">
        <v>212</v>
      </c>
      <c r="T34" s="28">
        <v>3.0</v>
      </c>
      <c r="U34" s="28" t="s">
        <v>255</v>
      </c>
      <c r="V34" s="28">
        <v>4.0</v>
      </c>
      <c r="W34" s="28" t="s">
        <v>223</v>
      </c>
      <c r="X34" s="28">
        <v>2.0</v>
      </c>
      <c r="Y34" s="28" t="s">
        <v>210</v>
      </c>
      <c r="Z34" s="28">
        <v>2.0</v>
      </c>
      <c r="AA34" s="28" t="s">
        <v>225</v>
      </c>
      <c r="AB34" s="28">
        <v>4.0</v>
      </c>
      <c r="AC34" s="28" t="s">
        <v>216</v>
      </c>
      <c r="AD34" s="28">
        <v>3.0</v>
      </c>
      <c r="AE34" s="28" t="s">
        <v>236</v>
      </c>
      <c r="AF34" s="28">
        <v>1.0</v>
      </c>
      <c r="AG34" s="28" t="s">
        <v>225</v>
      </c>
      <c r="AH34" s="28">
        <v>8.0</v>
      </c>
      <c r="AI34" s="28" t="s">
        <v>236</v>
      </c>
      <c r="AJ34" s="28">
        <v>5.0</v>
      </c>
      <c r="AK34" s="28" t="s">
        <v>276</v>
      </c>
      <c r="AL34" s="28">
        <v>1.0</v>
      </c>
      <c r="AM34" s="28" t="s">
        <v>216</v>
      </c>
      <c r="AN34" s="28">
        <v>3.0</v>
      </c>
      <c r="AO34" s="28" t="s">
        <v>216</v>
      </c>
      <c r="AP34" s="28">
        <v>7.0</v>
      </c>
      <c r="AQ34" s="28" t="s">
        <v>216</v>
      </c>
      <c r="AR34" s="28">
        <v>3.0</v>
      </c>
    </row>
    <row r="35">
      <c r="A35" s="28" t="s">
        <v>236</v>
      </c>
      <c r="B35" s="28">
        <v>3.0</v>
      </c>
      <c r="C35" s="28" t="s">
        <v>230</v>
      </c>
      <c r="D35" s="28">
        <v>6.0</v>
      </c>
      <c r="E35" s="28" t="s">
        <v>216</v>
      </c>
      <c r="F35" s="28">
        <v>4.0</v>
      </c>
      <c r="G35" s="28" t="s">
        <v>244</v>
      </c>
      <c r="H35" s="28">
        <v>1.0</v>
      </c>
      <c r="I35" s="28" t="s">
        <v>212</v>
      </c>
      <c r="J35" s="28">
        <v>2.0</v>
      </c>
      <c r="K35" s="28" t="s">
        <v>236</v>
      </c>
      <c r="L35" s="28">
        <v>3.0</v>
      </c>
      <c r="M35" s="28" t="s">
        <v>225</v>
      </c>
      <c r="N35" s="28">
        <v>6.0</v>
      </c>
      <c r="O35" s="28" t="s">
        <v>466</v>
      </c>
      <c r="P35" s="28">
        <v>1.0</v>
      </c>
      <c r="Q35" s="28" t="s">
        <v>236</v>
      </c>
      <c r="R35" s="28">
        <v>1.0</v>
      </c>
      <c r="S35" s="28" t="s">
        <v>216</v>
      </c>
      <c r="T35" s="28">
        <v>4.0</v>
      </c>
      <c r="U35" s="28" t="s">
        <v>283</v>
      </c>
      <c r="V35" s="28">
        <v>1.0</v>
      </c>
      <c r="W35" s="28" t="s">
        <v>212</v>
      </c>
      <c r="X35" s="28">
        <v>1.0</v>
      </c>
      <c r="Y35" s="28" t="s">
        <v>221</v>
      </c>
      <c r="Z35" s="28">
        <v>1.0</v>
      </c>
      <c r="AA35" s="28" t="s">
        <v>230</v>
      </c>
      <c r="AB35" s="28">
        <v>5.0</v>
      </c>
      <c r="AC35" s="28" t="s">
        <v>225</v>
      </c>
      <c r="AD35" s="28">
        <v>4.0</v>
      </c>
      <c r="AE35" s="28" t="s">
        <v>291</v>
      </c>
      <c r="AF35" s="28">
        <v>1.0</v>
      </c>
      <c r="AG35" s="28" t="s">
        <v>230</v>
      </c>
      <c r="AH35" s="28">
        <v>1.0</v>
      </c>
      <c r="AI35" s="28" t="s">
        <v>244</v>
      </c>
      <c r="AJ35" s="28">
        <v>1.0</v>
      </c>
      <c r="AK35" s="28" t="s">
        <v>262</v>
      </c>
      <c r="AL35" s="28">
        <v>1.0</v>
      </c>
      <c r="AM35" s="28" t="s">
        <v>239</v>
      </c>
      <c r="AN35" s="28">
        <v>1.0</v>
      </c>
      <c r="AO35" s="28" t="s">
        <v>225</v>
      </c>
      <c r="AP35" s="28">
        <v>4.0</v>
      </c>
      <c r="AQ35" s="28" t="s">
        <v>225</v>
      </c>
      <c r="AR35" s="28">
        <v>6.0</v>
      </c>
    </row>
    <row r="36">
      <c r="A36" s="28" t="s">
        <v>248</v>
      </c>
      <c r="B36" s="28">
        <v>1.0</v>
      </c>
      <c r="C36" s="28" t="s">
        <v>266</v>
      </c>
      <c r="D36" s="28">
        <v>1.0</v>
      </c>
      <c r="E36" s="28" t="s">
        <v>225</v>
      </c>
      <c r="F36" s="28">
        <v>4.0</v>
      </c>
      <c r="G36" s="28" t="s">
        <v>241</v>
      </c>
      <c r="H36" s="28">
        <v>1.0</v>
      </c>
      <c r="I36" s="28" t="s">
        <v>216</v>
      </c>
      <c r="J36" s="28">
        <v>5.0</v>
      </c>
      <c r="K36" s="28" t="s">
        <v>291</v>
      </c>
      <c r="L36" s="28">
        <v>1.0</v>
      </c>
      <c r="M36" s="28" t="s">
        <v>230</v>
      </c>
      <c r="N36" s="28">
        <v>2.0</v>
      </c>
      <c r="O36" s="28" t="s">
        <v>216</v>
      </c>
      <c r="P36" s="28">
        <v>4.0</v>
      </c>
      <c r="Q36" s="28" t="s">
        <v>241</v>
      </c>
      <c r="R36" s="28">
        <v>1.0</v>
      </c>
      <c r="S36" s="28" t="s">
        <v>225</v>
      </c>
      <c r="T36" s="28">
        <v>3.0</v>
      </c>
      <c r="U36" s="28" t="s">
        <v>299</v>
      </c>
      <c r="V36" s="28">
        <v>1.0</v>
      </c>
      <c r="W36" s="28" t="s">
        <v>569</v>
      </c>
      <c r="X36" s="28">
        <v>1.0</v>
      </c>
      <c r="Y36" s="28" t="s">
        <v>212</v>
      </c>
      <c r="Z36" s="28">
        <v>1.0</v>
      </c>
      <c r="AA36" s="28" t="s">
        <v>244</v>
      </c>
      <c r="AB36" s="28">
        <v>1.0</v>
      </c>
      <c r="AC36" s="28" t="s">
        <v>230</v>
      </c>
      <c r="AD36" s="28">
        <v>6.0</v>
      </c>
      <c r="AE36" s="28" t="s">
        <v>248</v>
      </c>
      <c r="AF36" s="28">
        <v>2.0</v>
      </c>
      <c r="AG36" s="28" t="s">
        <v>236</v>
      </c>
      <c r="AH36" s="28">
        <v>2.0</v>
      </c>
      <c r="AI36" s="28" t="s">
        <v>249</v>
      </c>
      <c r="AJ36" s="28">
        <v>1.0</v>
      </c>
      <c r="AK36" s="28" t="s">
        <v>255</v>
      </c>
      <c r="AL36" s="28">
        <v>1.0</v>
      </c>
      <c r="AM36" s="28" t="s">
        <v>225</v>
      </c>
      <c r="AN36" s="28">
        <v>7.0</v>
      </c>
      <c r="AO36" s="28" t="s">
        <v>230</v>
      </c>
      <c r="AP36" s="28">
        <v>7.0</v>
      </c>
      <c r="AQ36" s="28" t="s">
        <v>230</v>
      </c>
      <c r="AR36" s="28">
        <v>1.0</v>
      </c>
    </row>
    <row r="37">
      <c r="A37" s="28" t="s">
        <v>249</v>
      </c>
      <c r="B37" s="28">
        <v>1.0</v>
      </c>
      <c r="C37" s="28" t="s">
        <v>292</v>
      </c>
      <c r="D37" s="28">
        <v>1.0</v>
      </c>
      <c r="E37" s="28" t="s">
        <v>230</v>
      </c>
      <c r="F37" s="28">
        <v>4.0</v>
      </c>
      <c r="G37" s="28" t="s">
        <v>248</v>
      </c>
      <c r="H37" s="28">
        <v>1.0</v>
      </c>
      <c r="I37" s="28" t="s">
        <v>225</v>
      </c>
      <c r="J37" s="28">
        <v>7.0</v>
      </c>
      <c r="K37" s="28" t="s">
        <v>262</v>
      </c>
      <c r="L37" s="28">
        <v>1.0</v>
      </c>
      <c r="M37" s="28" t="s">
        <v>236</v>
      </c>
      <c r="N37" s="28">
        <v>1.0</v>
      </c>
      <c r="O37" s="28" t="s">
        <v>225</v>
      </c>
      <c r="P37" s="28">
        <v>10.0</v>
      </c>
      <c r="Q37" s="28" t="s">
        <v>276</v>
      </c>
      <c r="R37" s="28">
        <v>1.0</v>
      </c>
      <c r="S37" s="28" t="s">
        <v>230</v>
      </c>
      <c r="T37" s="28">
        <v>2.0</v>
      </c>
      <c r="U37" s="28" t="s">
        <v>302</v>
      </c>
      <c r="V37" s="28">
        <v>1.0</v>
      </c>
      <c r="W37" s="28" t="s">
        <v>225</v>
      </c>
      <c r="X37" s="28">
        <v>7.0</v>
      </c>
      <c r="Y37" s="28" t="s">
        <v>216</v>
      </c>
      <c r="Z37" s="28">
        <v>4.0</v>
      </c>
      <c r="AA37" s="28" t="s">
        <v>241</v>
      </c>
      <c r="AB37" s="28">
        <v>1.0</v>
      </c>
      <c r="AC37" s="28" t="s">
        <v>236</v>
      </c>
      <c r="AD37" s="28">
        <v>1.0</v>
      </c>
      <c r="AE37" s="28" t="s">
        <v>276</v>
      </c>
      <c r="AF37" s="28">
        <v>1.0</v>
      </c>
      <c r="AG37" s="28" t="s">
        <v>273</v>
      </c>
      <c r="AH37" s="28">
        <v>1.0</v>
      </c>
      <c r="AI37" s="28" t="s">
        <v>299</v>
      </c>
      <c r="AJ37" s="28">
        <v>2.0</v>
      </c>
      <c r="AK37" s="28" t="s">
        <v>261</v>
      </c>
      <c r="AL37" s="28">
        <v>3.0</v>
      </c>
      <c r="AM37" s="28" t="s">
        <v>230</v>
      </c>
      <c r="AN37" s="28">
        <v>8.0</v>
      </c>
      <c r="AO37" s="28" t="s">
        <v>246</v>
      </c>
      <c r="AP37" s="28">
        <v>1.0</v>
      </c>
      <c r="AQ37" s="28" t="s">
        <v>236</v>
      </c>
      <c r="AR37" s="28">
        <v>1.0</v>
      </c>
    </row>
    <row r="38">
      <c r="A38" s="28" t="s">
        <v>263</v>
      </c>
      <c r="B38" s="28">
        <v>2.0</v>
      </c>
      <c r="C38" s="28" t="s">
        <v>257</v>
      </c>
      <c r="D38" s="28">
        <v>2.0</v>
      </c>
      <c r="E38" s="28" t="s">
        <v>236</v>
      </c>
      <c r="F38" s="28">
        <v>3.0</v>
      </c>
      <c r="G38" s="28" t="s">
        <v>276</v>
      </c>
      <c r="H38" s="28">
        <v>1.0</v>
      </c>
      <c r="I38" s="28" t="s">
        <v>230</v>
      </c>
      <c r="J38" s="28">
        <v>2.0</v>
      </c>
      <c r="K38" s="28" t="s">
        <v>302</v>
      </c>
      <c r="L38" s="28">
        <v>1.0</v>
      </c>
      <c r="M38" s="28" t="s">
        <v>241</v>
      </c>
      <c r="N38" s="28">
        <v>1.0</v>
      </c>
      <c r="O38" s="28" t="s">
        <v>230</v>
      </c>
      <c r="P38" s="28">
        <v>4.0</v>
      </c>
      <c r="Q38" s="28" t="s">
        <v>249</v>
      </c>
      <c r="R38" s="28">
        <v>1.0</v>
      </c>
      <c r="S38" s="28" t="s">
        <v>236</v>
      </c>
      <c r="T38" s="28">
        <v>1.0</v>
      </c>
      <c r="U38" s="28" t="s">
        <v>261</v>
      </c>
      <c r="V38" s="28">
        <v>3.0</v>
      </c>
      <c r="W38" s="28" t="s">
        <v>230</v>
      </c>
      <c r="X38" s="28">
        <v>3.0</v>
      </c>
      <c r="Y38" s="28" t="s">
        <v>225</v>
      </c>
      <c r="Z38" s="28">
        <v>3.0</v>
      </c>
      <c r="AA38" s="28" t="s">
        <v>276</v>
      </c>
      <c r="AB38" s="28">
        <v>2.0</v>
      </c>
      <c r="AC38" s="28" t="s">
        <v>246</v>
      </c>
      <c r="AD38" s="28">
        <v>1.0</v>
      </c>
      <c r="AE38" s="28" t="s">
        <v>255</v>
      </c>
      <c r="AF38" s="28">
        <v>1.0</v>
      </c>
      <c r="AG38" s="28" t="s">
        <v>475</v>
      </c>
      <c r="AH38" s="28">
        <v>1.0</v>
      </c>
      <c r="AI38" s="28" t="s">
        <v>261</v>
      </c>
      <c r="AJ38" s="28">
        <v>5.0</v>
      </c>
      <c r="AK38" s="28" t="s">
        <v>294</v>
      </c>
      <c r="AL38" s="28">
        <v>5.0</v>
      </c>
      <c r="AM38" s="28" t="s">
        <v>236</v>
      </c>
      <c r="AN38" s="28">
        <v>3.0</v>
      </c>
      <c r="AO38" s="28" t="s">
        <v>273</v>
      </c>
      <c r="AP38" s="28">
        <v>1.0</v>
      </c>
      <c r="AQ38" s="28" t="s">
        <v>266</v>
      </c>
      <c r="AR38" s="28">
        <v>3.0</v>
      </c>
    </row>
    <row r="39">
      <c r="A39" s="28" t="s">
        <v>261</v>
      </c>
      <c r="B39" s="28">
        <v>2.0</v>
      </c>
      <c r="C39" s="28" t="s">
        <v>475</v>
      </c>
      <c r="D39" s="28">
        <v>1.0</v>
      </c>
      <c r="E39" s="28" t="s">
        <v>249</v>
      </c>
      <c r="F39" s="28">
        <v>1.0</v>
      </c>
      <c r="G39" s="28" t="s">
        <v>263</v>
      </c>
      <c r="H39" s="28">
        <v>1.0</v>
      </c>
      <c r="I39" s="28" t="s">
        <v>236</v>
      </c>
      <c r="J39" s="28">
        <v>2.0</v>
      </c>
      <c r="K39" s="28" t="s">
        <v>261</v>
      </c>
      <c r="L39" s="28">
        <v>2.0</v>
      </c>
      <c r="M39" s="28" t="s">
        <v>292</v>
      </c>
      <c r="N39" s="28">
        <v>1.0</v>
      </c>
      <c r="O39" s="28" t="s">
        <v>236</v>
      </c>
      <c r="P39" s="28">
        <v>2.0</v>
      </c>
      <c r="Q39" s="28" t="s">
        <v>262</v>
      </c>
      <c r="R39" s="28">
        <v>1.0</v>
      </c>
      <c r="S39" s="28" t="s">
        <v>246</v>
      </c>
      <c r="T39" s="28">
        <v>1.0</v>
      </c>
      <c r="U39" s="28" t="s">
        <v>319</v>
      </c>
      <c r="V39" s="28">
        <v>1.0</v>
      </c>
      <c r="W39" s="28" t="s">
        <v>244</v>
      </c>
      <c r="X39" s="28">
        <v>1.0</v>
      </c>
      <c r="Y39" s="28" t="s">
        <v>230</v>
      </c>
      <c r="Z39" s="28">
        <v>5.0</v>
      </c>
      <c r="AA39" s="28" t="s">
        <v>262</v>
      </c>
      <c r="AB39" s="28">
        <v>1.0</v>
      </c>
      <c r="AC39" s="28" t="s">
        <v>244</v>
      </c>
      <c r="AD39" s="28">
        <v>1.0</v>
      </c>
      <c r="AE39" s="28" t="s">
        <v>299</v>
      </c>
      <c r="AF39" s="28">
        <v>1.0</v>
      </c>
      <c r="AG39" s="28" t="s">
        <v>258</v>
      </c>
      <c r="AH39" s="28">
        <v>1.0</v>
      </c>
      <c r="AI39" s="28" t="s">
        <v>281</v>
      </c>
      <c r="AJ39" s="28">
        <v>1.0</v>
      </c>
      <c r="AK39" s="28" t="s">
        <v>301</v>
      </c>
      <c r="AL39" s="28">
        <v>1.0</v>
      </c>
      <c r="AM39" s="28" t="s">
        <v>291</v>
      </c>
      <c r="AN39" s="28">
        <v>1.0</v>
      </c>
      <c r="AO39" s="28" t="s">
        <v>288</v>
      </c>
      <c r="AP39" s="28">
        <v>1.0</v>
      </c>
      <c r="AQ39" s="28" t="s">
        <v>292</v>
      </c>
      <c r="AR39" s="28">
        <v>2.0</v>
      </c>
    </row>
    <row r="40">
      <c r="A40" s="28" t="s">
        <v>271</v>
      </c>
      <c r="B40" s="28">
        <v>1.0</v>
      </c>
      <c r="C40" s="28" t="s">
        <v>283</v>
      </c>
      <c r="D40" s="28">
        <v>2.0</v>
      </c>
      <c r="E40" s="28" t="s">
        <v>479</v>
      </c>
      <c r="F40" s="28">
        <v>1.0</v>
      </c>
      <c r="G40" s="28" t="s">
        <v>261</v>
      </c>
      <c r="H40" s="28">
        <v>1.0</v>
      </c>
      <c r="I40" s="28" t="s">
        <v>246</v>
      </c>
      <c r="J40" s="28">
        <v>1.0</v>
      </c>
      <c r="K40" s="28" t="s">
        <v>285</v>
      </c>
      <c r="L40" s="28">
        <v>2.0</v>
      </c>
      <c r="M40" s="28" t="s">
        <v>277</v>
      </c>
      <c r="N40" s="28">
        <v>1.0</v>
      </c>
      <c r="O40" s="28" t="s">
        <v>248</v>
      </c>
      <c r="P40" s="28">
        <v>1.0</v>
      </c>
      <c r="Q40" s="28" t="s">
        <v>263</v>
      </c>
      <c r="R40" s="28">
        <v>1.0</v>
      </c>
      <c r="S40" s="28" t="s">
        <v>244</v>
      </c>
      <c r="T40" s="28">
        <v>1.0</v>
      </c>
      <c r="U40" s="28" t="s">
        <v>297</v>
      </c>
      <c r="V40" s="28">
        <v>1.0</v>
      </c>
      <c r="W40" s="28" t="s">
        <v>248</v>
      </c>
      <c r="X40" s="28">
        <v>1.0</v>
      </c>
      <c r="Y40" s="28" t="s">
        <v>236</v>
      </c>
      <c r="Z40" s="28">
        <v>4.0</v>
      </c>
      <c r="AA40" s="28" t="s">
        <v>263</v>
      </c>
      <c r="AB40" s="28">
        <v>1.0</v>
      </c>
      <c r="AC40" s="28" t="s">
        <v>287</v>
      </c>
      <c r="AD40" s="28">
        <v>1.0</v>
      </c>
      <c r="AE40" s="28" t="s">
        <v>302</v>
      </c>
      <c r="AF40" s="28">
        <v>1.0</v>
      </c>
      <c r="AG40" s="28" t="s">
        <v>262</v>
      </c>
      <c r="AH40" s="28">
        <v>1.0</v>
      </c>
      <c r="AI40" s="28" t="s">
        <v>319</v>
      </c>
      <c r="AJ40" s="28">
        <v>1.0</v>
      </c>
      <c r="AK40" s="28" t="s">
        <v>315</v>
      </c>
      <c r="AL40" s="28">
        <v>1.0</v>
      </c>
      <c r="AM40" s="28" t="s">
        <v>241</v>
      </c>
      <c r="AN40" s="28">
        <v>1.0</v>
      </c>
      <c r="AO40" s="28" t="s">
        <v>249</v>
      </c>
      <c r="AP40" s="28">
        <v>2.0</v>
      </c>
      <c r="AQ40" s="28" t="s">
        <v>257</v>
      </c>
      <c r="AR40" s="28">
        <v>1.0</v>
      </c>
    </row>
    <row r="41">
      <c r="A41" s="28" t="s">
        <v>285</v>
      </c>
      <c r="B41" s="28">
        <v>1.0</v>
      </c>
      <c r="C41" s="28" t="s">
        <v>263</v>
      </c>
      <c r="D41" s="28">
        <v>1.0</v>
      </c>
      <c r="E41" s="28" t="s">
        <v>261</v>
      </c>
      <c r="F41" s="28">
        <v>3.0</v>
      </c>
      <c r="G41" s="28" t="s">
        <v>285</v>
      </c>
      <c r="H41" s="28">
        <v>2.0</v>
      </c>
      <c r="I41" s="28" t="s">
        <v>241</v>
      </c>
      <c r="J41" s="28">
        <v>1.0</v>
      </c>
      <c r="K41" s="28" t="s">
        <v>317</v>
      </c>
      <c r="L41" s="28">
        <v>1.0</v>
      </c>
      <c r="M41" s="28" t="s">
        <v>257</v>
      </c>
      <c r="N41" s="28">
        <v>1.0</v>
      </c>
      <c r="O41" s="28" t="s">
        <v>283</v>
      </c>
      <c r="P41" s="28">
        <v>1.0</v>
      </c>
      <c r="Q41" s="28" t="s">
        <v>261</v>
      </c>
      <c r="R41" s="28">
        <v>3.0</v>
      </c>
      <c r="S41" s="28" t="s">
        <v>269</v>
      </c>
      <c r="T41" s="28">
        <v>1.0</v>
      </c>
      <c r="U41" s="28" t="s">
        <v>331</v>
      </c>
      <c r="V41" s="28">
        <v>1.0</v>
      </c>
      <c r="W41" s="28" t="s">
        <v>257</v>
      </c>
      <c r="X41" s="28">
        <v>2.0</v>
      </c>
      <c r="Y41" s="28" t="s">
        <v>273</v>
      </c>
      <c r="Z41" s="28">
        <v>1.0</v>
      </c>
      <c r="AA41" s="28" t="s">
        <v>304</v>
      </c>
      <c r="AB41" s="28">
        <v>1.0</v>
      </c>
      <c r="AC41" s="28" t="s">
        <v>291</v>
      </c>
      <c r="AD41" s="28">
        <v>1.0</v>
      </c>
      <c r="AE41" s="28" t="s">
        <v>311</v>
      </c>
      <c r="AF41" s="28">
        <v>1.0</v>
      </c>
      <c r="AG41" s="28" t="s">
        <v>283</v>
      </c>
      <c r="AH41" s="28">
        <v>1.0</v>
      </c>
      <c r="AI41" s="28" t="s">
        <v>301</v>
      </c>
      <c r="AJ41" s="28">
        <v>2.0</v>
      </c>
      <c r="AK41" s="28" t="s">
        <v>323</v>
      </c>
      <c r="AL41" s="28">
        <v>1.0</v>
      </c>
      <c r="AM41" s="28" t="s">
        <v>266</v>
      </c>
      <c r="AN41" s="28">
        <v>2.0</v>
      </c>
      <c r="AO41" s="28" t="s">
        <v>255</v>
      </c>
      <c r="AP41" s="28">
        <v>1.0</v>
      </c>
      <c r="AQ41" s="28" t="s">
        <v>262</v>
      </c>
      <c r="AR41" s="28">
        <v>1.0</v>
      </c>
    </row>
    <row r="42">
      <c r="A42" s="28" t="s">
        <v>294</v>
      </c>
      <c r="B42" s="28">
        <v>1.0</v>
      </c>
      <c r="C42" s="28" t="s">
        <v>304</v>
      </c>
      <c r="D42" s="28">
        <v>1.0</v>
      </c>
      <c r="E42" s="28" t="s">
        <v>271</v>
      </c>
      <c r="F42" s="28">
        <v>1.0</v>
      </c>
      <c r="G42" s="28" t="s">
        <v>281</v>
      </c>
      <c r="H42" s="28">
        <v>2.0</v>
      </c>
      <c r="I42" s="28" t="s">
        <v>266</v>
      </c>
      <c r="J42" s="28">
        <v>2.0</v>
      </c>
      <c r="K42" s="28" t="s">
        <v>319</v>
      </c>
      <c r="L42" s="28">
        <v>1.0</v>
      </c>
      <c r="M42" s="28" t="s">
        <v>475</v>
      </c>
      <c r="N42" s="28">
        <v>1.0</v>
      </c>
      <c r="O42" s="28" t="s">
        <v>263</v>
      </c>
      <c r="P42" s="28">
        <v>1.0</v>
      </c>
      <c r="Q42" s="28" t="s">
        <v>285</v>
      </c>
      <c r="R42" s="28">
        <v>1.0</v>
      </c>
      <c r="S42" s="28" t="s">
        <v>241</v>
      </c>
      <c r="T42" s="28">
        <v>1.0</v>
      </c>
      <c r="U42" s="28" t="s">
        <v>336</v>
      </c>
      <c r="V42" s="28">
        <v>1.0</v>
      </c>
      <c r="W42" s="28" t="s">
        <v>262</v>
      </c>
      <c r="X42" s="28">
        <v>1.0</v>
      </c>
      <c r="Y42" s="28" t="s">
        <v>288</v>
      </c>
      <c r="Z42" s="28">
        <v>1.0</v>
      </c>
      <c r="AA42" s="28" t="s">
        <v>302</v>
      </c>
      <c r="AB42" s="28">
        <v>1.0</v>
      </c>
      <c r="AC42" s="28" t="s">
        <v>241</v>
      </c>
      <c r="AD42" s="28">
        <v>1.0</v>
      </c>
      <c r="AE42" s="28" t="s">
        <v>261</v>
      </c>
      <c r="AF42" s="28">
        <v>4.0</v>
      </c>
      <c r="AG42" s="28" t="s">
        <v>304</v>
      </c>
      <c r="AH42" s="28">
        <v>1.0</v>
      </c>
      <c r="AI42" s="28" t="s">
        <v>315</v>
      </c>
      <c r="AJ42" s="28">
        <v>1.0</v>
      </c>
      <c r="AK42" s="28" t="s">
        <v>307</v>
      </c>
      <c r="AL42" s="28">
        <v>2.0</v>
      </c>
      <c r="AM42" s="28" t="s">
        <v>292</v>
      </c>
      <c r="AN42" s="28">
        <v>1.0</v>
      </c>
      <c r="AO42" s="28" t="s">
        <v>283</v>
      </c>
      <c r="AP42" s="28">
        <v>1.0</v>
      </c>
      <c r="AQ42" s="28" t="s">
        <v>283</v>
      </c>
      <c r="AR42" s="28">
        <v>1.0</v>
      </c>
    </row>
    <row r="43">
      <c r="A43" s="28" t="s">
        <v>319</v>
      </c>
      <c r="B43" s="28">
        <v>1.0</v>
      </c>
      <c r="C43" s="28" t="s">
        <v>261</v>
      </c>
      <c r="D43" s="28">
        <v>4.0</v>
      </c>
      <c r="E43" s="28" t="s">
        <v>285</v>
      </c>
      <c r="F43" s="28">
        <v>2.0</v>
      </c>
      <c r="G43" s="28" t="s">
        <v>294</v>
      </c>
      <c r="H43" s="28">
        <v>4.0</v>
      </c>
      <c r="I43" s="28" t="s">
        <v>288</v>
      </c>
      <c r="J43" s="28">
        <v>1.0</v>
      </c>
      <c r="K43" s="28" t="s">
        <v>306</v>
      </c>
      <c r="L43" s="28">
        <v>2.0</v>
      </c>
      <c r="M43" s="28" t="s">
        <v>258</v>
      </c>
      <c r="N43" s="28">
        <v>1.0</v>
      </c>
      <c r="O43" s="28" t="s">
        <v>261</v>
      </c>
      <c r="P43" s="28">
        <v>6.0</v>
      </c>
      <c r="Q43" s="28" t="s">
        <v>281</v>
      </c>
      <c r="R43" s="28">
        <v>2.0</v>
      </c>
      <c r="S43" s="28" t="s">
        <v>248</v>
      </c>
      <c r="T43" s="28">
        <v>1.0</v>
      </c>
      <c r="U43" s="28" t="s">
        <v>340</v>
      </c>
      <c r="V43" s="28">
        <v>1.0</v>
      </c>
      <c r="W43" s="28" t="s">
        <v>263</v>
      </c>
      <c r="X43" s="28">
        <v>1.0</v>
      </c>
      <c r="Y43" s="28" t="s">
        <v>249</v>
      </c>
      <c r="Z43" s="28">
        <v>2.0</v>
      </c>
      <c r="AA43" s="28" t="s">
        <v>261</v>
      </c>
      <c r="AB43" s="28">
        <v>2.0</v>
      </c>
      <c r="AC43" s="28" t="s">
        <v>248</v>
      </c>
      <c r="AD43" s="28">
        <v>1.0</v>
      </c>
      <c r="AE43" s="28" t="s">
        <v>285</v>
      </c>
      <c r="AF43" s="28">
        <v>1.0</v>
      </c>
      <c r="AG43" s="28" t="s">
        <v>299</v>
      </c>
      <c r="AH43" s="28">
        <v>1.0</v>
      </c>
      <c r="AI43" s="28" t="s">
        <v>323</v>
      </c>
      <c r="AJ43" s="28">
        <v>2.0</v>
      </c>
      <c r="AK43" s="28" t="s">
        <v>340</v>
      </c>
      <c r="AL43" s="28">
        <v>1.0</v>
      </c>
      <c r="AM43" s="28" t="s">
        <v>258</v>
      </c>
      <c r="AN43" s="28">
        <v>1.0</v>
      </c>
      <c r="AO43" s="28" t="s">
        <v>263</v>
      </c>
      <c r="AP43" s="28">
        <v>1.0</v>
      </c>
      <c r="AQ43" s="28" t="s">
        <v>261</v>
      </c>
      <c r="AR43" s="28">
        <v>2.0</v>
      </c>
    </row>
    <row r="44">
      <c r="A44" s="28" t="s">
        <v>297</v>
      </c>
      <c r="B44" s="28">
        <v>1.0</v>
      </c>
      <c r="C44" s="28" t="s">
        <v>285</v>
      </c>
      <c r="D44" s="28">
        <v>3.0</v>
      </c>
      <c r="E44" s="28" t="s">
        <v>281</v>
      </c>
      <c r="F44" s="28">
        <v>1.0</v>
      </c>
      <c r="G44" s="28" t="s">
        <v>319</v>
      </c>
      <c r="H44" s="28">
        <v>1.0</v>
      </c>
      <c r="I44" s="28" t="s">
        <v>292</v>
      </c>
      <c r="J44" s="28">
        <v>2.0</v>
      </c>
      <c r="K44" s="28" t="s">
        <v>301</v>
      </c>
      <c r="L44" s="28">
        <v>4.0</v>
      </c>
      <c r="M44" s="28" t="s">
        <v>263</v>
      </c>
      <c r="N44" s="28">
        <v>1.0</v>
      </c>
      <c r="O44" s="28" t="s">
        <v>285</v>
      </c>
      <c r="P44" s="28">
        <v>1.0</v>
      </c>
      <c r="Q44" s="28" t="s">
        <v>294</v>
      </c>
      <c r="R44" s="28">
        <v>7.0</v>
      </c>
      <c r="S44" s="28" t="s">
        <v>266</v>
      </c>
      <c r="T44" s="28">
        <v>2.0</v>
      </c>
      <c r="U44" s="28" t="s">
        <v>310</v>
      </c>
      <c r="V44" s="28">
        <v>1.0</v>
      </c>
      <c r="W44" s="28" t="s">
        <v>304</v>
      </c>
      <c r="X44" s="28">
        <v>2.0</v>
      </c>
      <c r="Y44" s="28" t="s">
        <v>283</v>
      </c>
      <c r="Z44" s="28">
        <v>1.0</v>
      </c>
      <c r="AA44" s="28" t="s">
        <v>271</v>
      </c>
      <c r="AB44" s="28">
        <v>1.0</v>
      </c>
      <c r="AC44" s="28" t="s">
        <v>266</v>
      </c>
      <c r="AD44" s="28">
        <v>2.0</v>
      </c>
      <c r="AE44" s="28" t="s">
        <v>281</v>
      </c>
      <c r="AF44" s="28">
        <v>2.0</v>
      </c>
      <c r="AG44" s="28" t="s">
        <v>302</v>
      </c>
      <c r="AH44" s="28">
        <v>1.0</v>
      </c>
      <c r="AI44" s="28" t="s">
        <v>300</v>
      </c>
      <c r="AJ44" s="28">
        <v>1.0</v>
      </c>
      <c r="AK44" s="28" t="s">
        <v>348</v>
      </c>
      <c r="AL44" s="28">
        <v>1.0</v>
      </c>
      <c r="AM44" s="28" t="s">
        <v>302</v>
      </c>
      <c r="AN44" s="28">
        <v>2.0</v>
      </c>
      <c r="AO44" s="28" t="s">
        <v>302</v>
      </c>
      <c r="AP44" s="28">
        <v>1.0</v>
      </c>
      <c r="AQ44" s="28" t="s">
        <v>285</v>
      </c>
      <c r="AR44" s="28">
        <v>1.0</v>
      </c>
    </row>
    <row r="45">
      <c r="A45" s="28" t="s">
        <v>315</v>
      </c>
      <c r="B45" s="28">
        <v>1.0</v>
      </c>
      <c r="C45" s="28" t="s">
        <v>281</v>
      </c>
      <c r="D45" s="28">
        <v>2.0</v>
      </c>
      <c r="E45" s="28" t="s">
        <v>294</v>
      </c>
      <c r="F45" s="28">
        <v>2.0</v>
      </c>
      <c r="G45" s="28" t="s">
        <v>306</v>
      </c>
      <c r="H45" s="28">
        <v>1.0</v>
      </c>
      <c r="I45" s="28" t="s">
        <v>249</v>
      </c>
      <c r="J45" s="28">
        <v>1.0</v>
      </c>
      <c r="K45" s="28" t="s">
        <v>297</v>
      </c>
      <c r="L45" s="28">
        <v>1.0</v>
      </c>
      <c r="M45" s="28" t="s">
        <v>304</v>
      </c>
      <c r="N45" s="28">
        <v>1.0</v>
      </c>
      <c r="O45" s="28" t="s">
        <v>281</v>
      </c>
      <c r="P45" s="28">
        <v>1.0</v>
      </c>
      <c r="Q45" s="28" t="s">
        <v>301</v>
      </c>
      <c r="R45" s="28">
        <v>1.0</v>
      </c>
      <c r="S45" s="28" t="s">
        <v>292</v>
      </c>
      <c r="T45" s="28">
        <v>1.0</v>
      </c>
      <c r="U45" s="28" t="s">
        <v>341</v>
      </c>
      <c r="V45" s="28">
        <v>1.0</v>
      </c>
      <c r="W45" s="28" t="s">
        <v>261</v>
      </c>
      <c r="X45" s="28">
        <v>3.0</v>
      </c>
      <c r="Y45" s="28" t="s">
        <v>263</v>
      </c>
      <c r="Z45" s="28">
        <v>1.0</v>
      </c>
      <c r="AA45" s="28" t="s">
        <v>281</v>
      </c>
      <c r="AB45" s="28">
        <v>1.0</v>
      </c>
      <c r="AC45" s="28" t="s">
        <v>292</v>
      </c>
      <c r="AD45" s="28">
        <v>2.0</v>
      </c>
      <c r="AE45" s="28" t="s">
        <v>294</v>
      </c>
      <c r="AF45" s="28">
        <v>3.0</v>
      </c>
      <c r="AG45" s="28" t="s">
        <v>261</v>
      </c>
      <c r="AH45" s="28">
        <v>1.0</v>
      </c>
      <c r="AI45" s="28" t="s">
        <v>331</v>
      </c>
      <c r="AJ45" s="28">
        <v>2.0</v>
      </c>
      <c r="AK45" s="28" t="s">
        <v>341</v>
      </c>
      <c r="AL45" s="28">
        <v>2.0</v>
      </c>
      <c r="AM45" s="28" t="s">
        <v>261</v>
      </c>
      <c r="AN45" s="28">
        <v>6.0</v>
      </c>
      <c r="AO45" s="28" t="s">
        <v>311</v>
      </c>
      <c r="AP45" s="28">
        <v>1.0</v>
      </c>
      <c r="AQ45" s="28" t="s">
        <v>281</v>
      </c>
      <c r="AR45" s="28">
        <v>4.0</v>
      </c>
    </row>
    <row r="46">
      <c r="A46" s="28" t="s">
        <v>331</v>
      </c>
      <c r="B46" s="28">
        <v>2.0</v>
      </c>
      <c r="C46" s="28" t="s">
        <v>319</v>
      </c>
      <c r="D46" s="28">
        <v>1.0</v>
      </c>
      <c r="E46" s="28" t="s">
        <v>319</v>
      </c>
      <c r="F46" s="28">
        <v>1.0</v>
      </c>
      <c r="G46" s="28" t="s">
        <v>301</v>
      </c>
      <c r="H46" s="28">
        <v>2.0</v>
      </c>
      <c r="I46" s="28" t="s">
        <v>475</v>
      </c>
      <c r="J46" s="28">
        <v>1.0</v>
      </c>
      <c r="K46" s="28" t="s">
        <v>331</v>
      </c>
      <c r="L46" s="28">
        <v>1.0</v>
      </c>
      <c r="M46" s="28" t="s">
        <v>299</v>
      </c>
      <c r="N46" s="28">
        <v>1.0</v>
      </c>
      <c r="O46" s="28" t="s">
        <v>294</v>
      </c>
      <c r="P46" s="28">
        <v>1.0</v>
      </c>
      <c r="Q46" s="28" t="s">
        <v>297</v>
      </c>
      <c r="R46" s="28">
        <v>2.0</v>
      </c>
      <c r="S46" s="28" t="s">
        <v>249</v>
      </c>
      <c r="T46" s="28">
        <v>1.0</v>
      </c>
      <c r="U46" s="28" t="s">
        <v>343</v>
      </c>
      <c r="V46" s="28">
        <v>1.0</v>
      </c>
      <c r="W46" s="28" t="s">
        <v>294</v>
      </c>
      <c r="X46" s="28">
        <v>1.0</v>
      </c>
      <c r="Y46" s="28" t="s">
        <v>261</v>
      </c>
      <c r="Z46" s="28">
        <v>3.0</v>
      </c>
      <c r="AA46" s="28" t="s">
        <v>294</v>
      </c>
      <c r="AB46" s="28">
        <v>4.0</v>
      </c>
      <c r="AC46" s="28" t="s">
        <v>249</v>
      </c>
      <c r="AD46" s="28">
        <v>1.0</v>
      </c>
      <c r="AE46" s="28" t="s">
        <v>317</v>
      </c>
      <c r="AF46" s="28">
        <v>1.0</v>
      </c>
      <c r="AG46" s="28" t="s">
        <v>294</v>
      </c>
      <c r="AH46" s="28">
        <v>4.0</v>
      </c>
      <c r="AI46" s="28" t="s">
        <v>336</v>
      </c>
      <c r="AJ46" s="28">
        <v>1.0</v>
      </c>
      <c r="AK46" s="28" t="s">
        <v>352</v>
      </c>
      <c r="AL46" s="28">
        <v>1.0</v>
      </c>
      <c r="AM46" s="28" t="s">
        <v>281</v>
      </c>
      <c r="AN46" s="28">
        <v>1.0</v>
      </c>
      <c r="AO46" s="28" t="s">
        <v>261</v>
      </c>
      <c r="AP46" s="28">
        <v>1.0</v>
      </c>
      <c r="AQ46" s="28" t="s">
        <v>294</v>
      </c>
      <c r="AR46" s="28">
        <v>2.0</v>
      </c>
    </row>
    <row r="47">
      <c r="A47" s="28" t="s">
        <v>310</v>
      </c>
      <c r="B47" s="28">
        <v>1.0</v>
      </c>
      <c r="C47" s="28" t="s">
        <v>306</v>
      </c>
      <c r="D47" s="28">
        <v>1.0</v>
      </c>
      <c r="E47" s="28" t="s">
        <v>306</v>
      </c>
      <c r="F47" s="28">
        <v>2.0</v>
      </c>
      <c r="G47" s="28" t="s">
        <v>297</v>
      </c>
      <c r="H47" s="28">
        <v>1.0</v>
      </c>
      <c r="I47" s="28" t="s">
        <v>283</v>
      </c>
      <c r="J47" s="28">
        <v>1.0</v>
      </c>
      <c r="K47" s="28" t="s">
        <v>336</v>
      </c>
      <c r="L47" s="28">
        <v>1.0</v>
      </c>
      <c r="M47" s="28" t="s">
        <v>302</v>
      </c>
      <c r="N47" s="28">
        <v>2.0</v>
      </c>
      <c r="O47" s="28" t="s">
        <v>317</v>
      </c>
      <c r="P47" s="28">
        <v>1.0</v>
      </c>
      <c r="Q47" s="28" t="s">
        <v>315</v>
      </c>
      <c r="R47" s="28">
        <v>2.0</v>
      </c>
      <c r="S47" s="28" t="s">
        <v>255</v>
      </c>
      <c r="T47" s="28">
        <v>1.0</v>
      </c>
      <c r="U47" s="28" t="s">
        <v>347</v>
      </c>
      <c r="V47" s="28">
        <v>3.0</v>
      </c>
      <c r="W47" s="28" t="s">
        <v>317</v>
      </c>
      <c r="X47" s="28">
        <v>1.0</v>
      </c>
      <c r="Y47" s="28" t="s">
        <v>271</v>
      </c>
      <c r="Z47" s="28">
        <v>1.0</v>
      </c>
      <c r="AA47" s="28" t="s">
        <v>301</v>
      </c>
      <c r="AB47" s="28">
        <v>1.0</v>
      </c>
      <c r="AC47" s="28" t="s">
        <v>262</v>
      </c>
      <c r="AD47" s="28">
        <v>1.0</v>
      </c>
      <c r="AE47" s="28" t="s">
        <v>301</v>
      </c>
      <c r="AF47" s="28">
        <v>1.0</v>
      </c>
      <c r="AG47" s="28" t="s">
        <v>301</v>
      </c>
      <c r="AH47" s="28">
        <v>1.0</v>
      </c>
      <c r="AI47" s="28" t="s">
        <v>310</v>
      </c>
      <c r="AJ47" s="28">
        <v>1.0</v>
      </c>
      <c r="AK47" s="28" t="s">
        <v>372</v>
      </c>
      <c r="AL47" s="28">
        <v>1.0</v>
      </c>
      <c r="AM47" s="28" t="s">
        <v>294</v>
      </c>
      <c r="AN47" s="28">
        <v>1.0</v>
      </c>
      <c r="AO47" s="28" t="s">
        <v>294</v>
      </c>
      <c r="AP47" s="28">
        <v>2.0</v>
      </c>
      <c r="AQ47" s="28" t="s">
        <v>317</v>
      </c>
      <c r="AR47" s="28">
        <v>2.0</v>
      </c>
    </row>
    <row r="48">
      <c r="A48" s="28" t="s">
        <v>348</v>
      </c>
      <c r="B48" s="28">
        <v>1.0</v>
      </c>
      <c r="C48" s="28" t="s">
        <v>316</v>
      </c>
      <c r="D48" s="28">
        <v>1.0</v>
      </c>
      <c r="E48" s="28" t="s">
        <v>301</v>
      </c>
      <c r="F48" s="28">
        <v>2.0</v>
      </c>
      <c r="G48" s="28" t="s">
        <v>310</v>
      </c>
      <c r="H48" s="28">
        <v>1.0</v>
      </c>
      <c r="I48" s="28" t="s">
        <v>263</v>
      </c>
      <c r="J48" s="28">
        <v>1.0</v>
      </c>
      <c r="K48" s="28" t="s">
        <v>343</v>
      </c>
      <c r="L48" s="28">
        <v>1.0</v>
      </c>
      <c r="M48" s="28" t="s">
        <v>261</v>
      </c>
      <c r="N48" s="28">
        <v>2.0</v>
      </c>
      <c r="O48" s="28" t="s">
        <v>319</v>
      </c>
      <c r="P48" s="28">
        <v>3.0</v>
      </c>
      <c r="Q48" s="28" t="s">
        <v>300</v>
      </c>
      <c r="R48" s="28">
        <v>1.0</v>
      </c>
      <c r="S48" s="28" t="s">
        <v>476</v>
      </c>
      <c r="T48" s="28">
        <v>1.0</v>
      </c>
      <c r="U48" s="28" t="s">
        <v>352</v>
      </c>
      <c r="V48" s="28">
        <v>1.0</v>
      </c>
      <c r="W48" s="28" t="s">
        <v>301</v>
      </c>
      <c r="X48" s="28">
        <v>1.0</v>
      </c>
      <c r="Y48" s="28" t="s">
        <v>281</v>
      </c>
      <c r="Z48" s="28">
        <v>1.0</v>
      </c>
      <c r="AA48" s="28" t="s">
        <v>297</v>
      </c>
      <c r="AB48" s="28">
        <v>1.0</v>
      </c>
      <c r="AC48" s="28" t="s">
        <v>302</v>
      </c>
      <c r="AD48" s="28">
        <v>2.0</v>
      </c>
      <c r="AE48" s="28" t="s">
        <v>323</v>
      </c>
      <c r="AF48" s="28">
        <v>1.0</v>
      </c>
      <c r="AG48" s="28" t="s">
        <v>331</v>
      </c>
      <c r="AH48" s="28">
        <v>2.0</v>
      </c>
      <c r="AI48" s="28" t="s">
        <v>343</v>
      </c>
      <c r="AJ48" s="28">
        <v>2.0</v>
      </c>
      <c r="AK48" s="28" t="s">
        <v>344</v>
      </c>
      <c r="AL48" s="28">
        <v>1.0</v>
      </c>
      <c r="AM48" s="28" t="s">
        <v>301</v>
      </c>
      <c r="AN48" s="28">
        <v>5.0</v>
      </c>
      <c r="AO48" s="28" t="s">
        <v>317</v>
      </c>
      <c r="AP48" s="28">
        <v>1.0</v>
      </c>
      <c r="AQ48" s="28" t="s">
        <v>319</v>
      </c>
      <c r="AR48" s="28">
        <v>1.0</v>
      </c>
    </row>
    <row r="49">
      <c r="A49" s="28" t="s">
        <v>362</v>
      </c>
      <c r="B49" s="28">
        <v>1.0</v>
      </c>
      <c r="C49" s="28" t="s">
        <v>343</v>
      </c>
      <c r="D49" s="28">
        <v>1.0</v>
      </c>
      <c r="E49" s="28" t="s">
        <v>297</v>
      </c>
      <c r="F49" s="28">
        <v>2.0</v>
      </c>
      <c r="G49" s="28" t="s">
        <v>341</v>
      </c>
      <c r="H49" s="28">
        <v>1.0</v>
      </c>
      <c r="I49" s="28" t="s">
        <v>261</v>
      </c>
      <c r="J49" s="28">
        <v>6.0</v>
      </c>
      <c r="K49" s="28" t="s">
        <v>309</v>
      </c>
      <c r="L49" s="28">
        <v>1.0</v>
      </c>
      <c r="M49" s="28" t="s">
        <v>294</v>
      </c>
      <c r="N49" s="28">
        <v>1.0</v>
      </c>
      <c r="O49" s="28" t="s">
        <v>306</v>
      </c>
      <c r="P49" s="28">
        <v>1.0</v>
      </c>
      <c r="Q49" s="28" t="s">
        <v>331</v>
      </c>
      <c r="R49" s="28">
        <v>2.0</v>
      </c>
      <c r="S49" s="28" t="s">
        <v>283</v>
      </c>
      <c r="T49" s="28">
        <v>1.0</v>
      </c>
      <c r="U49" s="28" t="s">
        <v>350</v>
      </c>
      <c r="V49" s="28">
        <v>2.0</v>
      </c>
      <c r="W49" s="28" t="s">
        <v>323</v>
      </c>
      <c r="X49" s="28">
        <v>1.0</v>
      </c>
      <c r="Y49" s="28" t="s">
        <v>317</v>
      </c>
      <c r="Z49" s="28">
        <v>2.0</v>
      </c>
      <c r="AA49" s="28" t="s">
        <v>331</v>
      </c>
      <c r="AB49" s="28">
        <v>1.0</v>
      </c>
      <c r="AC49" s="28" t="s">
        <v>261</v>
      </c>
      <c r="AD49" s="28">
        <v>8.0</v>
      </c>
      <c r="AE49" s="28" t="s">
        <v>307</v>
      </c>
      <c r="AF49" s="28">
        <v>1.0</v>
      </c>
      <c r="AG49" s="28" t="s">
        <v>343</v>
      </c>
      <c r="AH49" s="28">
        <v>1.0</v>
      </c>
      <c r="AI49" s="28" t="s">
        <v>360</v>
      </c>
      <c r="AJ49" s="28">
        <v>1.0</v>
      </c>
      <c r="AK49" s="28" t="s">
        <v>305</v>
      </c>
      <c r="AL49" s="28">
        <v>1.0</v>
      </c>
      <c r="AM49" s="28" t="s">
        <v>297</v>
      </c>
      <c r="AN49" s="28">
        <v>2.0</v>
      </c>
      <c r="AO49" s="28" t="s">
        <v>306</v>
      </c>
      <c r="AP49" s="28">
        <v>2.0</v>
      </c>
      <c r="AQ49" s="28" t="s">
        <v>301</v>
      </c>
      <c r="AR49" s="28">
        <v>2.0</v>
      </c>
    </row>
    <row r="50">
      <c r="A50" s="28" t="s">
        <v>305</v>
      </c>
      <c r="B50" s="28">
        <v>1.0</v>
      </c>
      <c r="C50" s="28" t="s">
        <v>344</v>
      </c>
      <c r="D50" s="28">
        <v>1.0</v>
      </c>
      <c r="E50" s="28" t="s">
        <v>315</v>
      </c>
      <c r="F50" s="28">
        <v>2.0</v>
      </c>
      <c r="G50" s="28" t="s">
        <v>343</v>
      </c>
      <c r="H50" s="28">
        <v>2.0</v>
      </c>
      <c r="I50" s="28" t="s">
        <v>281</v>
      </c>
      <c r="J50" s="28">
        <v>3.0</v>
      </c>
      <c r="K50" s="28" t="s">
        <v>312</v>
      </c>
      <c r="L50" s="28">
        <v>1.0</v>
      </c>
      <c r="M50" s="28" t="s">
        <v>306</v>
      </c>
      <c r="N50" s="28">
        <v>1.0</v>
      </c>
      <c r="O50" s="28" t="s">
        <v>301</v>
      </c>
      <c r="P50" s="28">
        <v>1.0</v>
      </c>
      <c r="Q50" s="28" t="s">
        <v>350</v>
      </c>
      <c r="R50" s="28">
        <v>1.0</v>
      </c>
      <c r="S50" s="28" t="s">
        <v>261</v>
      </c>
      <c r="T50" s="28">
        <v>6.0</v>
      </c>
      <c r="U50" s="28" t="s">
        <v>305</v>
      </c>
      <c r="V50" s="28">
        <v>2.0</v>
      </c>
      <c r="W50" s="28" t="s">
        <v>300</v>
      </c>
      <c r="X50" s="28">
        <v>1.0</v>
      </c>
      <c r="Y50" s="28" t="s">
        <v>301</v>
      </c>
      <c r="Z50" s="28">
        <v>1.0</v>
      </c>
      <c r="AA50" s="28" t="s">
        <v>340</v>
      </c>
      <c r="AB50" s="28">
        <v>2.0</v>
      </c>
      <c r="AC50" s="28" t="s">
        <v>285</v>
      </c>
      <c r="AD50" s="28">
        <v>2.0</v>
      </c>
      <c r="AE50" s="28" t="s">
        <v>336</v>
      </c>
      <c r="AF50" s="28">
        <v>2.0</v>
      </c>
      <c r="AG50" s="28" t="s">
        <v>305</v>
      </c>
      <c r="AH50" s="28">
        <v>3.0</v>
      </c>
      <c r="AI50" s="28" t="s">
        <v>359</v>
      </c>
      <c r="AJ50" s="28">
        <v>1.0</v>
      </c>
      <c r="AK50" s="28" t="s">
        <v>335</v>
      </c>
      <c r="AL50" s="28">
        <v>1.0</v>
      </c>
      <c r="AM50" s="28" t="s">
        <v>300</v>
      </c>
      <c r="AN50" s="28">
        <v>3.0</v>
      </c>
      <c r="AO50" s="28" t="s">
        <v>297</v>
      </c>
      <c r="AP50" s="28">
        <v>2.0</v>
      </c>
      <c r="AQ50" s="28" t="s">
        <v>300</v>
      </c>
      <c r="AR50" s="28">
        <v>1.0</v>
      </c>
    </row>
    <row r="51">
      <c r="A51" s="28" t="s">
        <v>309</v>
      </c>
      <c r="B51" s="28">
        <v>1.0</v>
      </c>
      <c r="C51" s="28" t="s">
        <v>305</v>
      </c>
      <c r="D51" s="28">
        <v>1.0</v>
      </c>
      <c r="E51" s="28" t="s">
        <v>331</v>
      </c>
      <c r="F51" s="28">
        <v>2.0</v>
      </c>
      <c r="G51" s="28" t="s">
        <v>305</v>
      </c>
      <c r="H51" s="28">
        <v>3.0</v>
      </c>
      <c r="I51" s="28" t="s">
        <v>294</v>
      </c>
      <c r="J51" s="28">
        <v>2.0</v>
      </c>
      <c r="K51" s="28" t="s">
        <v>354</v>
      </c>
      <c r="L51" s="28">
        <v>2.0</v>
      </c>
      <c r="M51" s="28" t="s">
        <v>301</v>
      </c>
      <c r="N51" s="28">
        <v>1.0</v>
      </c>
      <c r="O51" s="28" t="s">
        <v>315</v>
      </c>
      <c r="P51" s="28">
        <v>2.0</v>
      </c>
      <c r="Q51" s="28" t="s">
        <v>305</v>
      </c>
      <c r="R51" s="28">
        <v>5.0</v>
      </c>
      <c r="S51" s="28" t="s">
        <v>281</v>
      </c>
      <c r="T51" s="28">
        <v>2.0</v>
      </c>
      <c r="U51" s="28" t="s">
        <v>312</v>
      </c>
      <c r="V51" s="28">
        <v>1.0</v>
      </c>
      <c r="W51" s="28" t="s">
        <v>340</v>
      </c>
      <c r="X51" s="28">
        <v>1.0</v>
      </c>
      <c r="Y51" s="28" t="s">
        <v>297</v>
      </c>
      <c r="Z51" s="28">
        <v>2.0</v>
      </c>
      <c r="AA51" s="28" t="s">
        <v>348</v>
      </c>
      <c r="AB51" s="28">
        <v>1.0</v>
      </c>
      <c r="AC51" s="28" t="s">
        <v>281</v>
      </c>
      <c r="AD51" s="28">
        <v>3.0</v>
      </c>
      <c r="AE51" s="28" t="s">
        <v>310</v>
      </c>
      <c r="AF51" s="28">
        <v>1.0</v>
      </c>
      <c r="AG51" s="28" t="s">
        <v>309</v>
      </c>
      <c r="AH51" s="28">
        <v>2.0</v>
      </c>
      <c r="AI51" s="28" t="s">
        <v>363</v>
      </c>
      <c r="AJ51" s="28">
        <v>1.0</v>
      </c>
      <c r="AK51" s="28" t="s">
        <v>354</v>
      </c>
      <c r="AL51" s="28">
        <v>1.0</v>
      </c>
      <c r="AM51" s="28" t="s">
        <v>331</v>
      </c>
      <c r="AN51" s="28">
        <v>1.0</v>
      </c>
      <c r="AO51" s="28" t="s">
        <v>307</v>
      </c>
      <c r="AP51" s="28">
        <v>1.0</v>
      </c>
      <c r="AQ51" s="28" t="s">
        <v>331</v>
      </c>
      <c r="AR51" s="28">
        <v>1.0</v>
      </c>
    </row>
    <row r="52">
      <c r="A52" s="28" t="s">
        <v>361</v>
      </c>
      <c r="B52" s="28">
        <v>4.0</v>
      </c>
      <c r="C52" s="28" t="s">
        <v>309</v>
      </c>
      <c r="D52" s="28">
        <v>1.0</v>
      </c>
      <c r="E52" s="28" t="s">
        <v>310</v>
      </c>
      <c r="F52" s="28">
        <v>1.0</v>
      </c>
      <c r="G52" s="28" t="s">
        <v>357</v>
      </c>
      <c r="H52" s="28">
        <v>1.0</v>
      </c>
      <c r="I52" s="28" t="s">
        <v>317</v>
      </c>
      <c r="J52" s="28">
        <v>2.0</v>
      </c>
      <c r="K52" s="28" t="s">
        <v>356</v>
      </c>
      <c r="L52" s="28">
        <v>1.0</v>
      </c>
      <c r="M52" s="28" t="s">
        <v>297</v>
      </c>
      <c r="N52" s="28">
        <v>1.0</v>
      </c>
      <c r="O52" s="28" t="s">
        <v>331</v>
      </c>
      <c r="P52" s="28">
        <v>2.0</v>
      </c>
      <c r="Q52" s="28" t="s">
        <v>320</v>
      </c>
      <c r="R52" s="28">
        <v>1.0</v>
      </c>
      <c r="S52" s="28" t="s">
        <v>294</v>
      </c>
      <c r="T52" s="28">
        <v>4.0</v>
      </c>
      <c r="U52" s="28" t="s">
        <v>354</v>
      </c>
      <c r="V52" s="28">
        <v>1.0</v>
      </c>
      <c r="W52" s="28" t="s">
        <v>344</v>
      </c>
      <c r="X52" s="28">
        <v>1.0</v>
      </c>
      <c r="Y52" s="28" t="s">
        <v>315</v>
      </c>
      <c r="Z52" s="28">
        <v>1.0</v>
      </c>
      <c r="AA52" s="28" t="s">
        <v>347</v>
      </c>
      <c r="AB52" s="28">
        <v>1.0</v>
      </c>
      <c r="AC52" s="28" t="s">
        <v>294</v>
      </c>
      <c r="AD52" s="28">
        <v>1.0</v>
      </c>
      <c r="AE52" s="28" t="s">
        <v>348</v>
      </c>
      <c r="AF52" s="28">
        <v>1.0</v>
      </c>
      <c r="AG52" s="28" t="s">
        <v>354</v>
      </c>
      <c r="AH52" s="28">
        <v>1.0</v>
      </c>
      <c r="AI52" s="28" t="s">
        <v>305</v>
      </c>
      <c r="AJ52" s="28">
        <v>2.0</v>
      </c>
      <c r="AK52" s="28" t="s">
        <v>367</v>
      </c>
      <c r="AL52" s="28">
        <v>1.0</v>
      </c>
      <c r="AM52" s="28" t="s">
        <v>336</v>
      </c>
      <c r="AN52" s="28">
        <v>2.0</v>
      </c>
      <c r="AO52" s="28" t="s">
        <v>331</v>
      </c>
      <c r="AP52" s="28">
        <v>1.0</v>
      </c>
      <c r="AQ52" s="28" t="s">
        <v>359</v>
      </c>
      <c r="AR52" s="28">
        <v>1.0</v>
      </c>
    </row>
    <row r="53">
      <c r="A53" s="28" t="s">
        <v>383</v>
      </c>
      <c r="B53" s="28">
        <v>2.0</v>
      </c>
      <c r="C53" s="28" t="s">
        <v>314</v>
      </c>
      <c r="D53" s="28">
        <v>1.0</v>
      </c>
      <c r="E53" s="28" t="s">
        <v>348</v>
      </c>
      <c r="F53" s="28">
        <v>3.0</v>
      </c>
      <c r="G53" s="28" t="s">
        <v>309</v>
      </c>
      <c r="H53" s="28">
        <v>1.0</v>
      </c>
      <c r="I53" s="28" t="s">
        <v>319</v>
      </c>
      <c r="J53" s="28">
        <v>1.0</v>
      </c>
      <c r="K53" s="28" t="s">
        <v>361</v>
      </c>
      <c r="L53" s="28">
        <v>1.0</v>
      </c>
      <c r="M53" s="28" t="s">
        <v>315</v>
      </c>
      <c r="N53" s="28">
        <v>1.0</v>
      </c>
      <c r="O53" s="28" t="s">
        <v>310</v>
      </c>
      <c r="P53" s="28">
        <v>1.0</v>
      </c>
      <c r="Q53" s="28" t="s">
        <v>309</v>
      </c>
      <c r="R53" s="28">
        <v>2.0</v>
      </c>
      <c r="S53" s="28" t="s">
        <v>317</v>
      </c>
      <c r="T53" s="28">
        <v>1.0</v>
      </c>
      <c r="U53" s="28" t="s">
        <v>361</v>
      </c>
      <c r="V53" s="28">
        <v>1.0</v>
      </c>
      <c r="W53" s="28" t="s">
        <v>354</v>
      </c>
      <c r="X53" s="28">
        <v>4.0</v>
      </c>
      <c r="Y53" s="28" t="s">
        <v>323</v>
      </c>
      <c r="Z53" s="28">
        <v>2.0</v>
      </c>
      <c r="AA53" s="28" t="s">
        <v>352</v>
      </c>
      <c r="AB53" s="28">
        <v>1.0</v>
      </c>
      <c r="AC53" s="28" t="s">
        <v>317</v>
      </c>
      <c r="AD53" s="28">
        <v>1.0</v>
      </c>
      <c r="AE53" s="28" t="s">
        <v>350</v>
      </c>
      <c r="AF53" s="28">
        <v>1.0</v>
      </c>
      <c r="AG53" s="28" t="s">
        <v>314</v>
      </c>
      <c r="AH53" s="28">
        <v>1.0</v>
      </c>
      <c r="AI53" s="28" t="s">
        <v>320</v>
      </c>
      <c r="AJ53" s="28">
        <v>2.0</v>
      </c>
      <c r="AK53" s="28" t="s">
        <v>314</v>
      </c>
      <c r="AL53" s="28">
        <v>1.0</v>
      </c>
      <c r="AM53" s="28" t="s">
        <v>340</v>
      </c>
      <c r="AN53" s="28">
        <v>1.0</v>
      </c>
      <c r="AO53" s="28" t="s">
        <v>343</v>
      </c>
      <c r="AP53" s="28">
        <v>1.0</v>
      </c>
      <c r="AQ53" s="28" t="s">
        <v>344</v>
      </c>
      <c r="AR53" s="28">
        <v>1.0</v>
      </c>
    </row>
    <row r="54">
      <c r="A54" s="28" t="s">
        <v>370</v>
      </c>
      <c r="B54" s="28">
        <v>1.0</v>
      </c>
      <c r="C54" s="28" t="s">
        <v>356</v>
      </c>
      <c r="D54" s="28">
        <v>1.0</v>
      </c>
      <c r="E54" s="28" t="s">
        <v>347</v>
      </c>
      <c r="F54" s="28">
        <v>1.0</v>
      </c>
      <c r="G54" s="28" t="s">
        <v>379</v>
      </c>
      <c r="H54" s="28">
        <v>1.0</v>
      </c>
      <c r="I54" s="28" t="s">
        <v>306</v>
      </c>
      <c r="J54" s="28">
        <v>2.0</v>
      </c>
      <c r="K54" s="28" t="s">
        <v>364</v>
      </c>
      <c r="L54" s="28">
        <v>1.0</v>
      </c>
      <c r="M54" s="28" t="s">
        <v>341</v>
      </c>
      <c r="N54" s="28">
        <v>1.0</v>
      </c>
      <c r="O54" s="28" t="s">
        <v>341</v>
      </c>
      <c r="P54" s="28">
        <v>2.0</v>
      </c>
      <c r="Q54" s="28" t="s">
        <v>312</v>
      </c>
      <c r="R54" s="28">
        <v>1.0</v>
      </c>
      <c r="S54" s="28" t="s">
        <v>301</v>
      </c>
      <c r="T54" s="28">
        <v>3.0</v>
      </c>
      <c r="U54" s="28" t="s">
        <v>370</v>
      </c>
      <c r="V54" s="28">
        <v>1.0</v>
      </c>
      <c r="W54" s="28" t="s">
        <v>314</v>
      </c>
      <c r="X54" s="28">
        <v>2.0</v>
      </c>
      <c r="Y54" s="28" t="s">
        <v>307</v>
      </c>
      <c r="Z54" s="28">
        <v>1.0</v>
      </c>
      <c r="AA54" s="28" t="s">
        <v>360</v>
      </c>
      <c r="AB54" s="28">
        <v>1.0</v>
      </c>
      <c r="AC54" s="28" t="s">
        <v>301</v>
      </c>
      <c r="AD54" s="28">
        <v>7.0</v>
      </c>
      <c r="AE54" s="28" t="s">
        <v>312</v>
      </c>
      <c r="AF54" s="28">
        <v>1.0</v>
      </c>
      <c r="AG54" s="28" t="s">
        <v>349</v>
      </c>
      <c r="AH54" s="28">
        <v>1.0</v>
      </c>
      <c r="AI54" s="28" t="s">
        <v>309</v>
      </c>
      <c r="AJ54" s="28">
        <v>2.0</v>
      </c>
      <c r="AK54" s="28" t="s">
        <v>379</v>
      </c>
      <c r="AL54" s="28">
        <v>1.0</v>
      </c>
      <c r="AM54" s="28" t="s">
        <v>348</v>
      </c>
      <c r="AN54" s="28">
        <v>1.0</v>
      </c>
      <c r="AO54" s="28" t="s">
        <v>360</v>
      </c>
      <c r="AP54" s="28">
        <v>1.0</v>
      </c>
      <c r="AQ54" s="28" t="s">
        <v>305</v>
      </c>
      <c r="AR54" s="28">
        <v>1.0</v>
      </c>
    </row>
    <row r="55">
      <c r="A55" s="28" t="s">
        <v>374</v>
      </c>
      <c r="B55" s="28">
        <v>1.0</v>
      </c>
      <c r="C55" s="28" t="s">
        <v>322</v>
      </c>
      <c r="D55" s="28">
        <v>1.0</v>
      </c>
      <c r="E55" s="28" t="s">
        <v>360</v>
      </c>
      <c r="F55" s="28">
        <v>1.0</v>
      </c>
      <c r="G55" s="28" t="s">
        <v>356</v>
      </c>
      <c r="H55" s="28">
        <v>1.0</v>
      </c>
      <c r="I55" s="28" t="s">
        <v>301</v>
      </c>
      <c r="J55" s="28">
        <v>3.0</v>
      </c>
      <c r="K55" s="28" t="s">
        <v>370</v>
      </c>
      <c r="L55" s="28">
        <v>1.0</v>
      </c>
      <c r="M55" s="28" t="s">
        <v>352</v>
      </c>
      <c r="N55" s="28">
        <v>1.0</v>
      </c>
      <c r="O55" s="28" t="s">
        <v>343</v>
      </c>
      <c r="P55" s="28">
        <v>1.0</v>
      </c>
      <c r="Q55" s="28" t="s">
        <v>366</v>
      </c>
      <c r="R55" s="28">
        <v>2.0</v>
      </c>
      <c r="S55" s="28" t="s">
        <v>297</v>
      </c>
      <c r="T55" s="28">
        <v>1.0</v>
      </c>
      <c r="U55" s="28" t="s">
        <v>374</v>
      </c>
      <c r="V55" s="28">
        <v>1.0</v>
      </c>
      <c r="W55" s="28" t="s">
        <v>356</v>
      </c>
      <c r="X55" s="28">
        <v>2.0</v>
      </c>
      <c r="Y55" s="28" t="s">
        <v>310</v>
      </c>
      <c r="Z55" s="28">
        <v>1.0</v>
      </c>
      <c r="AA55" s="28" t="s">
        <v>309</v>
      </c>
      <c r="AB55" s="28">
        <v>1.0</v>
      </c>
      <c r="AC55" s="28" t="s">
        <v>331</v>
      </c>
      <c r="AD55" s="28">
        <v>1.0</v>
      </c>
      <c r="AE55" s="28" t="s">
        <v>335</v>
      </c>
      <c r="AF55" s="28">
        <v>1.0</v>
      </c>
      <c r="AG55" s="28" t="s">
        <v>361</v>
      </c>
      <c r="AH55" s="28">
        <v>1.0</v>
      </c>
      <c r="AI55" s="28" t="s">
        <v>312</v>
      </c>
      <c r="AJ55" s="28">
        <v>1.0</v>
      </c>
      <c r="AK55" s="28" t="s">
        <v>356</v>
      </c>
      <c r="AL55" s="28">
        <v>1.0</v>
      </c>
      <c r="AM55" s="28" t="s">
        <v>341</v>
      </c>
      <c r="AN55" s="28">
        <v>1.0</v>
      </c>
      <c r="AO55" s="28" t="s">
        <v>372</v>
      </c>
      <c r="AP55" s="28">
        <v>1.0</v>
      </c>
      <c r="AQ55" s="28" t="s">
        <v>354</v>
      </c>
      <c r="AR55" s="28">
        <v>1.0</v>
      </c>
    </row>
    <row r="56">
      <c r="A56" s="76"/>
      <c r="B56" s="76"/>
      <c r="C56" s="28" t="s">
        <v>486</v>
      </c>
      <c r="D56" s="28">
        <v>1.0</v>
      </c>
      <c r="E56" s="28" t="s">
        <v>305</v>
      </c>
      <c r="F56" s="28">
        <v>5.0</v>
      </c>
      <c r="G56" s="28" t="s">
        <v>378</v>
      </c>
      <c r="H56" s="28">
        <v>1.0</v>
      </c>
      <c r="I56" s="28" t="s">
        <v>323</v>
      </c>
      <c r="J56" s="28">
        <v>1.0</v>
      </c>
      <c r="K56" s="28" t="s">
        <v>353</v>
      </c>
      <c r="L56" s="28">
        <v>1.0</v>
      </c>
      <c r="M56" s="28" t="s">
        <v>359</v>
      </c>
      <c r="N56" s="28">
        <v>2.0</v>
      </c>
      <c r="O56" s="28" t="s">
        <v>352</v>
      </c>
      <c r="P56" s="28">
        <v>1.0</v>
      </c>
      <c r="Q56" s="28" t="s">
        <v>314</v>
      </c>
      <c r="R56" s="28">
        <v>1.0</v>
      </c>
      <c r="S56" s="28" t="s">
        <v>323</v>
      </c>
      <c r="T56" s="28">
        <v>1.0</v>
      </c>
      <c r="U56" s="28" t="s">
        <v>353</v>
      </c>
      <c r="V56" s="28">
        <v>1.0</v>
      </c>
      <c r="W56" s="28" t="s">
        <v>486</v>
      </c>
      <c r="X56" s="28">
        <v>1.0</v>
      </c>
      <c r="Y56" s="28" t="s">
        <v>348</v>
      </c>
      <c r="Z56" s="28">
        <v>1.0</v>
      </c>
      <c r="AA56" s="28" t="s">
        <v>335</v>
      </c>
      <c r="AB56" s="28">
        <v>2.0</v>
      </c>
      <c r="AC56" s="28" t="s">
        <v>340</v>
      </c>
      <c r="AD56" s="28">
        <v>2.0</v>
      </c>
      <c r="AE56" s="28" t="s">
        <v>356</v>
      </c>
      <c r="AF56" s="28">
        <v>1.0</v>
      </c>
      <c r="AG56" s="28" t="s">
        <v>364</v>
      </c>
      <c r="AH56" s="28">
        <v>1.0</v>
      </c>
      <c r="AI56" s="28" t="s">
        <v>354</v>
      </c>
      <c r="AJ56" s="28">
        <v>1.0</v>
      </c>
      <c r="AK56" s="28" t="s">
        <v>322</v>
      </c>
      <c r="AL56" s="28">
        <v>1.0</v>
      </c>
      <c r="AM56" s="28" t="s">
        <v>343</v>
      </c>
      <c r="AN56" s="28">
        <v>1.0</v>
      </c>
      <c r="AO56" s="28" t="s">
        <v>305</v>
      </c>
      <c r="AP56" s="28">
        <v>1.0</v>
      </c>
      <c r="AQ56" s="28" t="s">
        <v>367</v>
      </c>
      <c r="AR56" s="28">
        <v>1.0</v>
      </c>
    </row>
    <row r="57">
      <c r="A57" s="76"/>
      <c r="B57" s="79">
        <v>65.0</v>
      </c>
      <c r="C57" s="28" t="s">
        <v>368</v>
      </c>
      <c r="D57" s="28">
        <v>1.0</v>
      </c>
      <c r="E57" s="28" t="s">
        <v>357</v>
      </c>
      <c r="F57" s="28">
        <v>1.0</v>
      </c>
      <c r="G57" s="28" t="s">
        <v>361</v>
      </c>
      <c r="H57" s="28">
        <v>1.0</v>
      </c>
      <c r="I57" s="28" t="s">
        <v>340</v>
      </c>
      <c r="J57" s="28">
        <v>1.0</v>
      </c>
      <c r="K57" s="28" t="s">
        <v>346</v>
      </c>
      <c r="L57" s="28">
        <v>1.0</v>
      </c>
      <c r="M57" s="28" t="s">
        <v>344</v>
      </c>
      <c r="N57" s="28">
        <v>1.0</v>
      </c>
      <c r="O57" s="28" t="s">
        <v>360</v>
      </c>
      <c r="P57" s="28">
        <v>1.0</v>
      </c>
      <c r="Q57" s="28" t="s">
        <v>322</v>
      </c>
      <c r="R57" s="28">
        <v>1.0</v>
      </c>
      <c r="S57" s="28" t="s">
        <v>300</v>
      </c>
      <c r="T57" s="28">
        <v>1.0</v>
      </c>
      <c r="U57" s="28" t="s">
        <v>339</v>
      </c>
      <c r="V57" s="28">
        <v>1.0</v>
      </c>
      <c r="W57" s="76"/>
      <c r="X57" s="76"/>
      <c r="Y57" s="28" t="s">
        <v>341</v>
      </c>
      <c r="Z57" s="28">
        <v>2.0</v>
      </c>
      <c r="AA57" s="28" t="s">
        <v>366</v>
      </c>
      <c r="AB57" s="28">
        <v>1.0</v>
      </c>
      <c r="AC57" s="28" t="s">
        <v>348</v>
      </c>
      <c r="AD57" s="28">
        <v>1.0</v>
      </c>
      <c r="AE57" s="28" t="s">
        <v>361</v>
      </c>
      <c r="AF57" s="28">
        <v>1.0</v>
      </c>
      <c r="AG57" s="28" t="s">
        <v>329</v>
      </c>
      <c r="AH57" s="28">
        <v>1.0</v>
      </c>
      <c r="AI57" s="28" t="s">
        <v>314</v>
      </c>
      <c r="AJ57" s="28">
        <v>1.0</v>
      </c>
      <c r="AK57" s="28" t="s">
        <v>349</v>
      </c>
      <c r="AL57" s="28">
        <v>1.0</v>
      </c>
      <c r="AM57" s="28" t="s">
        <v>347</v>
      </c>
      <c r="AN57" s="28">
        <v>1.0</v>
      </c>
      <c r="AO57" s="28" t="s">
        <v>314</v>
      </c>
      <c r="AP57" s="28">
        <v>1.0</v>
      </c>
      <c r="AQ57" s="28" t="s">
        <v>379</v>
      </c>
      <c r="AR57" s="28">
        <v>1.0</v>
      </c>
    </row>
    <row r="58">
      <c r="C58" s="76"/>
      <c r="D58" s="76"/>
      <c r="E58" s="28" t="s">
        <v>320</v>
      </c>
      <c r="F58" s="28">
        <v>1.0</v>
      </c>
      <c r="G58" s="28" t="s">
        <v>383</v>
      </c>
      <c r="H58" s="28">
        <v>1.0</v>
      </c>
      <c r="I58" s="28" t="s">
        <v>310</v>
      </c>
      <c r="J58" s="28">
        <v>1.0</v>
      </c>
      <c r="K58" s="76"/>
      <c r="L58" s="76"/>
      <c r="M58" s="28" t="s">
        <v>350</v>
      </c>
      <c r="N58" s="28">
        <v>1.0</v>
      </c>
      <c r="O58" s="28" t="s">
        <v>344</v>
      </c>
      <c r="P58" s="28">
        <v>1.0</v>
      </c>
      <c r="Q58" s="28" t="s">
        <v>327</v>
      </c>
      <c r="R58" s="28">
        <v>1.0</v>
      </c>
      <c r="S58" s="28" t="s">
        <v>331</v>
      </c>
      <c r="T58" s="28">
        <v>1.0</v>
      </c>
      <c r="U58" s="28" t="s">
        <v>346</v>
      </c>
      <c r="V58" s="28">
        <v>1.0</v>
      </c>
      <c r="W58" s="76"/>
      <c r="X58" s="79">
        <v>60.0</v>
      </c>
      <c r="Y58" s="28" t="s">
        <v>359</v>
      </c>
      <c r="Z58" s="28">
        <v>2.0</v>
      </c>
      <c r="AA58" s="28" t="s">
        <v>314</v>
      </c>
      <c r="AB58" s="28">
        <v>1.0</v>
      </c>
      <c r="AC58" s="28" t="s">
        <v>341</v>
      </c>
      <c r="AD58" s="28">
        <v>2.0</v>
      </c>
      <c r="AE58" s="28" t="s">
        <v>392</v>
      </c>
      <c r="AF58" s="28">
        <v>1.0</v>
      </c>
      <c r="AG58" s="28" t="s">
        <v>353</v>
      </c>
      <c r="AH58" s="28">
        <v>2.0</v>
      </c>
      <c r="AI58" s="28" t="s">
        <v>379</v>
      </c>
      <c r="AJ58" s="28">
        <v>1.0</v>
      </c>
      <c r="AK58" s="28" t="s">
        <v>392</v>
      </c>
      <c r="AL58" s="28">
        <v>1.0</v>
      </c>
      <c r="AM58" s="28" t="s">
        <v>352</v>
      </c>
      <c r="AN58" s="28">
        <v>1.0</v>
      </c>
      <c r="AO58" s="28" t="s">
        <v>322</v>
      </c>
      <c r="AP58" s="28">
        <v>1.0</v>
      </c>
      <c r="AQ58" s="28" t="s">
        <v>486</v>
      </c>
      <c r="AR58" s="28">
        <v>1.0</v>
      </c>
    </row>
    <row r="59">
      <c r="C59" s="76"/>
      <c r="D59" s="79">
        <v>59.0</v>
      </c>
      <c r="E59" s="28" t="s">
        <v>354</v>
      </c>
      <c r="F59" s="28">
        <v>1.0</v>
      </c>
      <c r="G59" s="28" t="s">
        <v>346</v>
      </c>
      <c r="H59" s="28">
        <v>1.0</v>
      </c>
      <c r="I59" s="28" t="s">
        <v>348</v>
      </c>
      <c r="J59" s="28">
        <v>1.0</v>
      </c>
      <c r="K59" s="76"/>
      <c r="L59" s="79">
        <v>61.0</v>
      </c>
      <c r="M59" s="28" t="s">
        <v>305</v>
      </c>
      <c r="N59" s="28">
        <v>2.0</v>
      </c>
      <c r="O59" s="28" t="s">
        <v>350</v>
      </c>
      <c r="P59" s="28">
        <v>1.0</v>
      </c>
      <c r="Q59" s="28" t="s">
        <v>349</v>
      </c>
      <c r="R59" s="28">
        <v>1.0</v>
      </c>
      <c r="S59" s="28" t="s">
        <v>340</v>
      </c>
      <c r="T59" s="28">
        <v>1.0</v>
      </c>
      <c r="U59" s="76"/>
      <c r="V59" s="76"/>
      <c r="Y59" s="28" t="s">
        <v>350</v>
      </c>
      <c r="Z59" s="28">
        <v>1.0</v>
      </c>
      <c r="AA59" s="28" t="s">
        <v>322</v>
      </c>
      <c r="AB59" s="28">
        <v>1.0</v>
      </c>
      <c r="AC59" s="28" t="s">
        <v>343</v>
      </c>
      <c r="AD59" s="28">
        <v>3.0</v>
      </c>
      <c r="AE59" s="28" t="s">
        <v>368</v>
      </c>
      <c r="AF59" s="28">
        <v>1.0</v>
      </c>
      <c r="AG59" s="28" t="s">
        <v>346</v>
      </c>
      <c r="AH59" s="28">
        <v>1.0</v>
      </c>
      <c r="AI59" s="28" t="s">
        <v>356</v>
      </c>
      <c r="AJ59" s="28">
        <v>4.0</v>
      </c>
      <c r="AK59" s="28" t="s">
        <v>329</v>
      </c>
      <c r="AL59" s="28">
        <v>1.0</v>
      </c>
      <c r="AM59" s="28" t="s">
        <v>359</v>
      </c>
      <c r="AN59" s="28">
        <v>1.0</v>
      </c>
      <c r="AO59" s="28" t="s">
        <v>327</v>
      </c>
      <c r="AP59" s="28">
        <v>1.0</v>
      </c>
      <c r="AQ59" s="28" t="s">
        <v>334</v>
      </c>
      <c r="AR59" s="28">
        <v>1.0</v>
      </c>
    </row>
    <row r="60">
      <c r="E60" s="28" t="s">
        <v>356</v>
      </c>
      <c r="F60" s="28">
        <v>4.0</v>
      </c>
      <c r="G60" s="76"/>
      <c r="H60" s="76"/>
      <c r="I60" s="28" t="s">
        <v>341</v>
      </c>
      <c r="J60" s="28">
        <v>2.0</v>
      </c>
      <c r="M60" s="28" t="s">
        <v>354</v>
      </c>
      <c r="N60" s="28">
        <v>1.0</v>
      </c>
      <c r="O60" s="28" t="s">
        <v>305</v>
      </c>
      <c r="P60" s="28">
        <v>2.0</v>
      </c>
      <c r="Q60" s="28" t="s">
        <v>361</v>
      </c>
      <c r="R60" s="28">
        <v>1.0</v>
      </c>
      <c r="S60" s="28" t="s">
        <v>310</v>
      </c>
      <c r="T60" s="28">
        <v>1.0</v>
      </c>
      <c r="U60" s="76"/>
      <c r="V60" s="79">
        <v>68.0</v>
      </c>
      <c r="Y60" s="28" t="s">
        <v>305</v>
      </c>
      <c r="Z60" s="28">
        <v>2.0</v>
      </c>
      <c r="AA60" s="28" t="s">
        <v>349</v>
      </c>
      <c r="AB60" s="28">
        <v>1.0</v>
      </c>
      <c r="AC60" s="28" t="s">
        <v>352</v>
      </c>
      <c r="AD60" s="28">
        <v>1.0</v>
      </c>
      <c r="AE60" s="28" t="s">
        <v>353</v>
      </c>
      <c r="AF60" s="28">
        <v>1.0</v>
      </c>
      <c r="AG60" s="28"/>
      <c r="AH60" s="28"/>
      <c r="AI60" s="28" t="s">
        <v>378</v>
      </c>
      <c r="AJ60" s="28">
        <v>1.0</v>
      </c>
      <c r="AK60" s="28" t="s">
        <v>368</v>
      </c>
      <c r="AL60" s="28">
        <v>1.0</v>
      </c>
      <c r="AM60" s="28" t="s">
        <v>305</v>
      </c>
      <c r="AN60" s="28">
        <v>3.0</v>
      </c>
      <c r="AO60" s="28" t="s">
        <v>361</v>
      </c>
      <c r="AP60" s="28">
        <v>2.0</v>
      </c>
      <c r="AQ60" s="28" t="s">
        <v>368</v>
      </c>
      <c r="AR60" s="28">
        <v>1.0</v>
      </c>
    </row>
    <row r="61">
      <c r="E61" s="28" t="s">
        <v>327</v>
      </c>
      <c r="F61" s="28">
        <v>2.0</v>
      </c>
      <c r="G61" s="76"/>
      <c r="H61" s="79">
        <v>64.0</v>
      </c>
      <c r="I61" s="28" t="s">
        <v>343</v>
      </c>
      <c r="J61" s="28">
        <v>1.0</v>
      </c>
      <c r="M61" s="28" t="s">
        <v>314</v>
      </c>
      <c r="N61" s="28">
        <v>1.0</v>
      </c>
      <c r="O61" s="28" t="s">
        <v>357</v>
      </c>
      <c r="P61" s="28">
        <v>1.0</v>
      </c>
      <c r="Q61" s="28" t="s">
        <v>383</v>
      </c>
      <c r="R61" s="28">
        <v>1.0</v>
      </c>
      <c r="S61" s="28" t="s">
        <v>341</v>
      </c>
      <c r="T61" s="28">
        <v>3.0</v>
      </c>
      <c r="Y61" s="28" t="s">
        <v>357</v>
      </c>
      <c r="Z61" s="28">
        <v>1.0</v>
      </c>
      <c r="AA61" s="28" t="s">
        <v>383</v>
      </c>
      <c r="AB61" s="28">
        <v>1.0</v>
      </c>
      <c r="AC61" s="28" t="s">
        <v>350</v>
      </c>
      <c r="AD61" s="28">
        <v>1.0</v>
      </c>
      <c r="AE61" s="28" t="s">
        <v>346</v>
      </c>
      <c r="AF61" s="28">
        <v>1.0</v>
      </c>
      <c r="AG61" s="28"/>
      <c r="AH61" s="126">
        <v>62.0</v>
      </c>
      <c r="AI61" s="28" t="s">
        <v>327</v>
      </c>
      <c r="AJ61" s="28">
        <v>1.0</v>
      </c>
      <c r="AK61" s="28" t="s">
        <v>353</v>
      </c>
      <c r="AL61" s="28">
        <v>1.0</v>
      </c>
      <c r="AM61" s="28" t="s">
        <v>320</v>
      </c>
      <c r="AN61" s="28">
        <v>2.0</v>
      </c>
      <c r="AO61" s="28" t="s">
        <v>370</v>
      </c>
      <c r="AP61" s="28">
        <v>1.0</v>
      </c>
      <c r="AQ61" s="28" t="s">
        <v>353</v>
      </c>
      <c r="AR61" s="28">
        <v>1.0</v>
      </c>
    </row>
    <row r="62">
      <c r="E62" s="28" t="s">
        <v>361</v>
      </c>
      <c r="F62" s="28">
        <v>2.0</v>
      </c>
      <c r="I62" s="28" t="s">
        <v>352</v>
      </c>
      <c r="J62" s="28">
        <v>1.0</v>
      </c>
      <c r="M62" s="28" t="s">
        <v>379</v>
      </c>
      <c r="N62" s="28">
        <v>2.0</v>
      </c>
      <c r="O62" s="28" t="s">
        <v>309</v>
      </c>
      <c r="P62" s="28">
        <v>1.0</v>
      </c>
      <c r="Q62" s="76"/>
      <c r="R62" s="76"/>
      <c r="S62" s="28" t="s">
        <v>343</v>
      </c>
      <c r="T62" s="28">
        <v>1.0</v>
      </c>
      <c r="Y62" s="28" t="s">
        <v>320</v>
      </c>
      <c r="Z62" s="28">
        <v>2.0</v>
      </c>
      <c r="AA62" s="28" t="s">
        <v>370</v>
      </c>
      <c r="AB62" s="28">
        <v>1.0</v>
      </c>
      <c r="AC62" s="28" t="s">
        <v>305</v>
      </c>
      <c r="AD62" s="28">
        <v>3.0</v>
      </c>
      <c r="AE62" s="28"/>
      <c r="AF62" s="28"/>
      <c r="AG62" s="127"/>
      <c r="AH62" s="127"/>
      <c r="AI62" s="28" t="s">
        <v>361</v>
      </c>
      <c r="AJ62" s="28">
        <v>3.0</v>
      </c>
      <c r="AK62" s="28"/>
      <c r="AL62" s="28"/>
      <c r="AM62" s="28" t="s">
        <v>309</v>
      </c>
      <c r="AN62" s="28">
        <v>4.0</v>
      </c>
      <c r="AO62" s="28" t="s">
        <v>329</v>
      </c>
      <c r="AP62" s="28">
        <v>1.0</v>
      </c>
      <c r="AQ62" s="28"/>
      <c r="AR62" s="28"/>
    </row>
    <row r="63">
      <c r="E63" s="28" t="s">
        <v>383</v>
      </c>
      <c r="F63" s="28">
        <v>1.0</v>
      </c>
      <c r="I63" s="28" t="s">
        <v>372</v>
      </c>
      <c r="J63" s="28">
        <v>1.0</v>
      </c>
      <c r="M63" s="28" t="s">
        <v>356</v>
      </c>
      <c r="N63" s="28">
        <v>2.0</v>
      </c>
      <c r="O63" s="28" t="s">
        <v>354</v>
      </c>
      <c r="P63" s="28">
        <v>1.0</v>
      </c>
      <c r="Q63" s="76"/>
      <c r="R63" s="79">
        <v>66.0</v>
      </c>
      <c r="S63" s="28" t="s">
        <v>350</v>
      </c>
      <c r="T63" s="28">
        <v>1.0</v>
      </c>
      <c r="Y63" s="28" t="s">
        <v>354</v>
      </c>
      <c r="Z63" s="28">
        <v>1.0</v>
      </c>
      <c r="AA63" s="28" t="s">
        <v>368</v>
      </c>
      <c r="AB63" s="28">
        <v>1.0</v>
      </c>
      <c r="AC63" s="28" t="s">
        <v>320</v>
      </c>
      <c r="AD63" s="28">
        <v>2.0</v>
      </c>
      <c r="AE63" s="28"/>
      <c r="AF63" s="126">
        <v>66.0</v>
      </c>
      <c r="AG63" s="133"/>
      <c r="AH63" s="133"/>
      <c r="AI63" s="28" t="s">
        <v>392</v>
      </c>
      <c r="AJ63" s="28">
        <v>2.0</v>
      </c>
      <c r="AK63" s="28"/>
      <c r="AL63" s="126">
        <v>66.0</v>
      </c>
      <c r="AM63" s="28" t="s">
        <v>312</v>
      </c>
      <c r="AN63" s="28">
        <v>1.0</v>
      </c>
      <c r="AO63" s="28" t="s">
        <v>334</v>
      </c>
      <c r="AP63" s="28">
        <v>1.0</v>
      </c>
      <c r="AQ63" s="28"/>
      <c r="AR63" s="126">
        <v>57.0</v>
      </c>
    </row>
    <row r="64">
      <c r="E64" s="28" t="s">
        <v>374</v>
      </c>
      <c r="F64" s="28">
        <v>2.0</v>
      </c>
      <c r="I64" s="28" t="s">
        <v>350</v>
      </c>
      <c r="J64" s="28">
        <v>1.0</v>
      </c>
      <c r="M64" s="28" t="s">
        <v>361</v>
      </c>
      <c r="N64" s="28">
        <v>1.0</v>
      </c>
      <c r="O64" s="28" t="s">
        <v>367</v>
      </c>
      <c r="P64" s="28">
        <v>1.0</v>
      </c>
      <c r="S64" s="28" t="s">
        <v>357</v>
      </c>
      <c r="T64" s="28">
        <v>1.0</v>
      </c>
      <c r="Y64" s="28" t="s">
        <v>366</v>
      </c>
      <c r="Z64" s="28">
        <v>1.0</v>
      </c>
      <c r="AA64" s="28" t="s">
        <v>353</v>
      </c>
      <c r="AB64" s="28">
        <v>2.0</v>
      </c>
      <c r="AC64" s="28" t="s">
        <v>309</v>
      </c>
      <c r="AD64" s="28">
        <v>3.0</v>
      </c>
      <c r="AE64" s="127"/>
      <c r="AF64" s="127"/>
      <c r="AG64" s="127"/>
      <c r="AH64" s="127"/>
      <c r="AI64" s="28" t="s">
        <v>329</v>
      </c>
      <c r="AJ64" s="28">
        <v>4.0</v>
      </c>
      <c r="AK64" s="127"/>
      <c r="AL64" s="127"/>
      <c r="AM64" s="28" t="s">
        <v>354</v>
      </c>
      <c r="AN64" s="28">
        <v>2.0</v>
      </c>
      <c r="AO64" s="28" t="s">
        <v>368</v>
      </c>
      <c r="AP64" s="28">
        <v>2.0</v>
      </c>
      <c r="AQ64" s="127"/>
      <c r="AR64" s="127"/>
    </row>
    <row r="65">
      <c r="E65" s="28" t="s">
        <v>334</v>
      </c>
      <c r="F65" s="28">
        <v>1.0</v>
      </c>
      <c r="I65" s="28" t="s">
        <v>305</v>
      </c>
      <c r="J65" s="28">
        <v>2.0</v>
      </c>
      <c r="M65" s="28" t="s">
        <v>486</v>
      </c>
      <c r="N65" s="28">
        <v>1.0</v>
      </c>
      <c r="O65" s="28" t="s">
        <v>366</v>
      </c>
      <c r="P65" s="28">
        <v>1.0</v>
      </c>
      <c r="S65" s="28" t="s">
        <v>320</v>
      </c>
      <c r="T65" s="28">
        <v>1.0</v>
      </c>
      <c r="Y65" s="28" t="s">
        <v>314</v>
      </c>
      <c r="Z65" s="28">
        <v>1.0</v>
      </c>
      <c r="AA65" s="28" t="s">
        <v>339</v>
      </c>
      <c r="AB65" s="28">
        <v>1.0</v>
      </c>
      <c r="AC65" s="28" t="s">
        <v>312</v>
      </c>
      <c r="AD65" s="28">
        <v>2.0</v>
      </c>
      <c r="AE65" s="127"/>
      <c r="AF65" s="127"/>
      <c r="AG65" s="127"/>
      <c r="AH65" s="127"/>
      <c r="AI65" s="28" t="s">
        <v>353</v>
      </c>
      <c r="AJ65" s="28">
        <v>1.0</v>
      </c>
      <c r="AK65" s="127"/>
      <c r="AL65" s="127"/>
      <c r="AM65" s="28" t="s">
        <v>366</v>
      </c>
      <c r="AN65" s="28">
        <v>4.0</v>
      </c>
      <c r="AO65" s="28"/>
      <c r="AP65" s="28"/>
      <c r="AQ65" s="127"/>
      <c r="AR65" s="127"/>
    </row>
    <row r="66">
      <c r="E66" s="28" t="s">
        <v>368</v>
      </c>
      <c r="F66" s="28">
        <v>1.0</v>
      </c>
      <c r="I66" s="28" t="s">
        <v>320</v>
      </c>
      <c r="J66" s="28">
        <v>1.0</v>
      </c>
      <c r="M66" s="28" t="s">
        <v>370</v>
      </c>
      <c r="N66" s="28">
        <v>2.0</v>
      </c>
      <c r="O66" s="28" t="s">
        <v>314</v>
      </c>
      <c r="P66" s="28">
        <v>1.0</v>
      </c>
      <c r="S66" s="28" t="s">
        <v>309</v>
      </c>
      <c r="T66" s="28">
        <v>3.0</v>
      </c>
      <c r="Y66" s="28" t="s">
        <v>379</v>
      </c>
      <c r="Z66" s="28">
        <v>1.0</v>
      </c>
      <c r="AA66" s="28"/>
      <c r="AB66" s="28"/>
      <c r="AC66" s="28" t="s">
        <v>354</v>
      </c>
      <c r="AD66" s="28">
        <v>1.0</v>
      </c>
      <c r="AE66" s="127"/>
      <c r="AF66" s="127"/>
      <c r="AG66" s="127"/>
      <c r="AH66" s="127"/>
      <c r="AI66" s="28" t="s">
        <v>339</v>
      </c>
      <c r="AJ66" s="28">
        <v>1.0</v>
      </c>
      <c r="AK66" s="127"/>
      <c r="AL66" s="127"/>
      <c r="AM66" s="28" t="s">
        <v>314</v>
      </c>
      <c r="AN66" s="28">
        <v>2.0</v>
      </c>
      <c r="AO66" s="28"/>
      <c r="AP66" s="126">
        <v>69.0</v>
      </c>
      <c r="AQ66" s="133"/>
      <c r="AR66" s="133"/>
    </row>
    <row r="67">
      <c r="E67" s="28" t="s">
        <v>346</v>
      </c>
      <c r="F67" s="28">
        <v>1.0</v>
      </c>
      <c r="I67" s="28" t="s">
        <v>309</v>
      </c>
      <c r="J67" s="28">
        <v>3.0</v>
      </c>
      <c r="M67" s="76"/>
      <c r="N67" s="76"/>
      <c r="O67" s="28" t="s">
        <v>379</v>
      </c>
      <c r="P67" s="28">
        <v>1.0</v>
      </c>
      <c r="S67" s="28" t="s">
        <v>354</v>
      </c>
      <c r="T67" s="28">
        <v>4.0</v>
      </c>
      <c r="Y67" s="28" t="s">
        <v>356</v>
      </c>
      <c r="Z67" s="28">
        <v>2.0</v>
      </c>
      <c r="AA67" s="28"/>
      <c r="AB67" s="126">
        <v>65.0</v>
      </c>
      <c r="AC67" s="28" t="s">
        <v>366</v>
      </c>
      <c r="AD67" s="28">
        <v>3.0</v>
      </c>
      <c r="AE67" s="127"/>
      <c r="AF67" s="127"/>
      <c r="AG67" s="127"/>
      <c r="AH67" s="127"/>
      <c r="AI67" s="28"/>
      <c r="AJ67" s="28"/>
      <c r="AK67" s="127"/>
      <c r="AL67" s="127"/>
      <c r="AM67" s="28" t="s">
        <v>356</v>
      </c>
      <c r="AN67" s="28">
        <v>3.0</v>
      </c>
      <c r="AO67" s="127"/>
      <c r="AP67" s="127"/>
      <c r="AQ67" s="127"/>
      <c r="AR67" s="127"/>
    </row>
    <row r="68">
      <c r="E68" s="76"/>
      <c r="F68" s="76"/>
      <c r="I68" s="28" t="s">
        <v>335</v>
      </c>
      <c r="J68" s="28">
        <v>1.0</v>
      </c>
      <c r="M68" s="76"/>
      <c r="N68" s="79">
        <v>61.0</v>
      </c>
      <c r="O68" s="28" t="s">
        <v>356</v>
      </c>
      <c r="P68" s="28">
        <v>1.0</v>
      </c>
      <c r="S68" s="28" t="s">
        <v>366</v>
      </c>
      <c r="T68" s="28">
        <v>1.0</v>
      </c>
      <c r="Y68" s="28" t="s">
        <v>378</v>
      </c>
      <c r="Z68" s="28">
        <v>1.0</v>
      </c>
      <c r="AA68" s="127"/>
      <c r="AB68" s="127"/>
      <c r="AC68" s="28" t="s">
        <v>314</v>
      </c>
      <c r="AD68" s="28">
        <v>2.0</v>
      </c>
      <c r="AE68" s="127"/>
      <c r="AF68" s="127"/>
      <c r="AG68" s="127"/>
      <c r="AH68" s="127"/>
      <c r="AI68" s="28"/>
      <c r="AJ68" s="126">
        <v>90.0</v>
      </c>
      <c r="AK68" s="133"/>
      <c r="AL68" s="133"/>
      <c r="AM68" s="28" t="s">
        <v>322</v>
      </c>
      <c r="AN68" s="28">
        <v>2.0</v>
      </c>
      <c r="AO68" s="127"/>
      <c r="AP68" s="127"/>
      <c r="AQ68" s="127"/>
      <c r="AR68" s="127"/>
    </row>
    <row r="69">
      <c r="E69" s="76"/>
      <c r="F69" s="79">
        <v>88.0</v>
      </c>
      <c r="I69" s="28" t="s">
        <v>354</v>
      </c>
      <c r="J69" s="28">
        <v>3.0</v>
      </c>
      <c r="O69" s="28" t="s">
        <v>322</v>
      </c>
      <c r="P69" s="28">
        <v>1.0</v>
      </c>
      <c r="S69" s="28" t="s">
        <v>314</v>
      </c>
      <c r="T69" s="28">
        <v>1.0</v>
      </c>
      <c r="Y69" s="28" t="s">
        <v>327</v>
      </c>
      <c r="Z69" s="28">
        <v>3.0</v>
      </c>
      <c r="AA69" s="127"/>
      <c r="AB69" s="127"/>
      <c r="AC69" s="28" t="s">
        <v>385</v>
      </c>
      <c r="AD69" s="28">
        <v>1.0</v>
      </c>
      <c r="AE69" s="127"/>
      <c r="AF69" s="127"/>
      <c r="AG69" s="127"/>
      <c r="AH69" s="127"/>
      <c r="AI69" s="127"/>
      <c r="AJ69" s="127"/>
      <c r="AK69" s="127"/>
      <c r="AL69" s="127"/>
      <c r="AM69" s="28" t="s">
        <v>361</v>
      </c>
      <c r="AN69" s="28">
        <v>1.0</v>
      </c>
      <c r="AO69" s="127"/>
      <c r="AP69" s="127"/>
      <c r="AQ69" s="127"/>
      <c r="AR69" s="127"/>
    </row>
    <row r="70">
      <c r="I70" s="28" t="s">
        <v>366</v>
      </c>
      <c r="J70" s="28">
        <v>4.0</v>
      </c>
      <c r="O70" s="28" t="s">
        <v>378</v>
      </c>
      <c r="P70" s="28">
        <v>1.0</v>
      </c>
      <c r="S70" s="28" t="s">
        <v>379</v>
      </c>
      <c r="T70" s="28">
        <v>1.0</v>
      </c>
      <c r="Y70" s="28" t="s">
        <v>361</v>
      </c>
      <c r="Z70" s="28">
        <v>3.0</v>
      </c>
      <c r="AA70" s="127"/>
      <c r="AB70" s="127"/>
      <c r="AC70" s="28" t="s">
        <v>379</v>
      </c>
      <c r="AD70" s="28">
        <v>1.0</v>
      </c>
      <c r="AE70" s="127"/>
      <c r="AF70" s="127"/>
      <c r="AG70" s="127"/>
      <c r="AH70" s="127"/>
      <c r="AI70" s="127"/>
      <c r="AJ70" s="127"/>
      <c r="AK70" s="127"/>
      <c r="AL70" s="127"/>
      <c r="AM70" s="28" t="s">
        <v>329</v>
      </c>
      <c r="AN70" s="28">
        <v>1.0</v>
      </c>
      <c r="AO70" s="127"/>
      <c r="AP70" s="127"/>
      <c r="AQ70" s="127"/>
      <c r="AR70" s="127"/>
    </row>
    <row r="71">
      <c r="I71" s="28" t="s">
        <v>314</v>
      </c>
      <c r="J71" s="28">
        <v>2.0</v>
      </c>
      <c r="O71" s="28" t="s">
        <v>361</v>
      </c>
      <c r="P71" s="28">
        <v>2.0</v>
      </c>
      <c r="S71" s="28" t="s">
        <v>356</v>
      </c>
      <c r="T71" s="28">
        <v>3.0</v>
      </c>
      <c r="Y71" s="28" t="s">
        <v>383</v>
      </c>
      <c r="Z71" s="28">
        <v>2.0</v>
      </c>
      <c r="AA71" s="127"/>
      <c r="AB71" s="127"/>
      <c r="AC71" s="28" t="s">
        <v>322</v>
      </c>
      <c r="AD71" s="28">
        <v>1.0</v>
      </c>
      <c r="AE71" s="127"/>
      <c r="AF71" s="127"/>
      <c r="AG71" s="127"/>
      <c r="AH71" s="127"/>
      <c r="AI71" s="127"/>
      <c r="AJ71" s="127"/>
      <c r="AK71" s="127"/>
      <c r="AL71" s="127"/>
      <c r="AM71" s="28" t="s">
        <v>334</v>
      </c>
      <c r="AN71" s="28">
        <v>3.0</v>
      </c>
      <c r="AO71" s="127"/>
      <c r="AP71" s="127"/>
      <c r="AQ71" s="127"/>
      <c r="AR71" s="127"/>
    </row>
    <row r="72">
      <c r="I72" s="28" t="s">
        <v>379</v>
      </c>
      <c r="J72" s="28">
        <v>1.0</v>
      </c>
      <c r="O72" s="28" t="s">
        <v>486</v>
      </c>
      <c r="P72" s="28">
        <v>1.0</v>
      </c>
      <c r="S72" s="28" t="s">
        <v>322</v>
      </c>
      <c r="T72" s="28">
        <v>1.0</v>
      </c>
      <c r="Y72" s="28" t="s">
        <v>392</v>
      </c>
      <c r="Z72" s="28">
        <v>1.0</v>
      </c>
      <c r="AA72" s="127"/>
      <c r="AB72" s="127"/>
      <c r="AC72" s="28" t="s">
        <v>378</v>
      </c>
      <c r="AD72" s="28">
        <v>1.0</v>
      </c>
      <c r="AE72" s="127"/>
      <c r="AF72" s="127"/>
      <c r="AG72" s="127"/>
      <c r="AH72" s="127"/>
      <c r="AI72" s="127"/>
      <c r="AJ72" s="127"/>
      <c r="AK72" s="127"/>
      <c r="AL72" s="127"/>
      <c r="AM72" s="28" t="s">
        <v>368</v>
      </c>
      <c r="AN72" s="28">
        <v>1.0</v>
      </c>
      <c r="AO72" s="127"/>
      <c r="AP72" s="127"/>
      <c r="AQ72" s="127"/>
      <c r="AR72" s="127"/>
    </row>
    <row r="73">
      <c r="I73" s="28" t="s">
        <v>322</v>
      </c>
      <c r="J73" s="28">
        <v>1.0</v>
      </c>
      <c r="O73" s="28" t="s">
        <v>368</v>
      </c>
      <c r="P73" s="28">
        <v>1.0</v>
      </c>
      <c r="S73" s="28" t="s">
        <v>378</v>
      </c>
      <c r="T73" s="28">
        <v>1.0</v>
      </c>
      <c r="Y73" s="28" t="s">
        <v>370</v>
      </c>
      <c r="Z73" s="28">
        <v>1.0</v>
      </c>
      <c r="AA73" s="127"/>
      <c r="AB73" s="127"/>
      <c r="AC73" s="28" t="s">
        <v>349</v>
      </c>
      <c r="AD73" s="28">
        <v>1.0</v>
      </c>
      <c r="AE73" s="127"/>
      <c r="AF73" s="127"/>
      <c r="AG73" s="127"/>
      <c r="AH73" s="127"/>
      <c r="AI73" s="127"/>
      <c r="AJ73" s="127"/>
      <c r="AK73" s="127"/>
      <c r="AL73" s="127"/>
      <c r="AM73" s="28" t="s">
        <v>353</v>
      </c>
      <c r="AN73" s="28">
        <v>1.0</v>
      </c>
      <c r="AO73" s="127"/>
      <c r="AP73" s="127"/>
      <c r="AQ73" s="127"/>
      <c r="AR73" s="127"/>
    </row>
    <row r="74">
      <c r="I74" s="28" t="s">
        <v>327</v>
      </c>
      <c r="J74" s="28">
        <v>2.0</v>
      </c>
      <c r="O74" s="28" t="s">
        <v>346</v>
      </c>
      <c r="P74" s="28">
        <v>1.0</v>
      </c>
      <c r="S74" s="28" t="s">
        <v>327</v>
      </c>
      <c r="T74" s="28">
        <v>1.0</v>
      </c>
      <c r="Y74" s="28" t="s">
        <v>346</v>
      </c>
      <c r="Z74" s="28">
        <v>1.0</v>
      </c>
      <c r="AA74" s="127"/>
      <c r="AB74" s="127"/>
      <c r="AC74" s="28" t="s">
        <v>370</v>
      </c>
      <c r="AD74" s="28">
        <v>1.0</v>
      </c>
      <c r="AE74" s="127"/>
      <c r="AF74" s="127"/>
      <c r="AG74" s="127"/>
      <c r="AH74" s="127"/>
      <c r="AI74" s="127"/>
      <c r="AJ74" s="127"/>
      <c r="AK74" s="127"/>
      <c r="AL74" s="127"/>
      <c r="AM74" s="28" t="s">
        <v>339</v>
      </c>
      <c r="AN74" s="28">
        <v>1.0</v>
      </c>
      <c r="AO74" s="127"/>
      <c r="AP74" s="127"/>
      <c r="AQ74" s="127"/>
      <c r="AR74" s="127"/>
    </row>
    <row r="75">
      <c r="I75" s="28" t="s">
        <v>361</v>
      </c>
      <c r="J75" s="28">
        <v>2.0</v>
      </c>
      <c r="O75" s="76"/>
      <c r="P75" s="76"/>
      <c r="S75" s="28" t="s">
        <v>349</v>
      </c>
      <c r="T75" s="28">
        <v>2.0</v>
      </c>
      <c r="Y75" s="76"/>
      <c r="Z75" s="76"/>
      <c r="AA75" s="134"/>
      <c r="AB75" s="134"/>
      <c r="AC75" s="28" t="s">
        <v>334</v>
      </c>
      <c r="AD75" s="28">
        <v>1.0</v>
      </c>
      <c r="AE75" s="127"/>
      <c r="AF75" s="127"/>
      <c r="AG75" s="127"/>
      <c r="AH75" s="127"/>
      <c r="AI75" s="127"/>
      <c r="AJ75" s="127"/>
      <c r="AK75" s="127"/>
      <c r="AL75" s="127"/>
      <c r="AM75" s="28" t="s">
        <v>346</v>
      </c>
      <c r="AN75" s="28">
        <v>2.0</v>
      </c>
      <c r="AO75" s="127"/>
      <c r="AP75" s="127"/>
      <c r="AQ75" s="127"/>
      <c r="AR75" s="127"/>
    </row>
    <row r="76">
      <c r="I76" s="28" t="s">
        <v>334</v>
      </c>
      <c r="J76" s="28">
        <v>3.0</v>
      </c>
      <c r="O76" s="76"/>
      <c r="P76" s="79">
        <v>91.0</v>
      </c>
      <c r="S76" s="28" t="s">
        <v>361</v>
      </c>
      <c r="T76" s="28">
        <v>2.0</v>
      </c>
      <c r="Y76" s="76"/>
      <c r="Z76" s="79">
        <v>91.0</v>
      </c>
      <c r="AA76" s="135"/>
      <c r="AB76" s="135"/>
      <c r="AC76" s="28" t="s">
        <v>368</v>
      </c>
      <c r="AD76" s="28">
        <v>2.0</v>
      </c>
      <c r="AE76" s="127"/>
      <c r="AF76" s="127"/>
      <c r="AG76" s="127"/>
      <c r="AH76" s="127"/>
      <c r="AI76" s="127"/>
      <c r="AJ76" s="127"/>
      <c r="AK76" s="127"/>
      <c r="AL76" s="127"/>
      <c r="AM76" s="28"/>
      <c r="AN76" s="28"/>
      <c r="AO76" s="127"/>
      <c r="AP76" s="127"/>
      <c r="AQ76" s="127"/>
      <c r="AR76" s="127"/>
    </row>
    <row r="77">
      <c r="I77" s="28" t="s">
        <v>368</v>
      </c>
      <c r="J77" s="28">
        <v>2.0</v>
      </c>
      <c r="S77" s="28" t="s">
        <v>383</v>
      </c>
      <c r="T77" s="28">
        <v>1.0</v>
      </c>
      <c r="AC77" s="28" t="s">
        <v>353</v>
      </c>
      <c r="AD77" s="28">
        <v>1.0</v>
      </c>
      <c r="AE77" s="127"/>
      <c r="AF77" s="127"/>
      <c r="AG77" s="127"/>
      <c r="AH77" s="127"/>
      <c r="AI77" s="127"/>
      <c r="AJ77" s="127"/>
      <c r="AK77" s="127"/>
      <c r="AL77" s="127"/>
      <c r="AM77" s="126">
        <v>100.0</v>
      </c>
      <c r="AN77" s="126">
        <v>117.0</v>
      </c>
      <c r="AO77" s="133"/>
      <c r="AP77" s="133"/>
      <c r="AQ77" s="133"/>
      <c r="AR77" s="133"/>
    </row>
    <row r="78">
      <c r="I78" s="28" t="s">
        <v>353</v>
      </c>
      <c r="J78" s="28">
        <v>1.0</v>
      </c>
      <c r="S78" s="28" t="s">
        <v>370</v>
      </c>
      <c r="T78" s="28">
        <v>1.0</v>
      </c>
      <c r="AC78" s="28" t="s">
        <v>339</v>
      </c>
      <c r="AD78" s="28">
        <v>2.0</v>
      </c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</row>
    <row r="79">
      <c r="I79" s="28" t="s">
        <v>339</v>
      </c>
      <c r="J79" s="28">
        <v>1.0</v>
      </c>
      <c r="S79" s="28" t="s">
        <v>329</v>
      </c>
      <c r="T79" s="28">
        <v>1.0</v>
      </c>
      <c r="AC79" s="28" t="s">
        <v>487</v>
      </c>
      <c r="AD79" s="28">
        <v>1.0</v>
      </c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</row>
    <row r="80">
      <c r="I80" s="28" t="s">
        <v>346</v>
      </c>
      <c r="J80" s="28">
        <v>1.0</v>
      </c>
      <c r="S80" s="28" t="s">
        <v>334</v>
      </c>
      <c r="T80" s="28">
        <v>3.0</v>
      </c>
      <c r="AC80" s="76"/>
      <c r="AD80" s="76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</row>
    <row r="81">
      <c r="I81" s="76"/>
      <c r="J81" s="76"/>
      <c r="S81" s="28" t="s">
        <v>368</v>
      </c>
      <c r="T81" s="28">
        <v>1.0</v>
      </c>
      <c r="AC81" s="76"/>
      <c r="AD81" s="79">
        <v>111.0</v>
      </c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</row>
    <row r="82">
      <c r="I82" s="76"/>
      <c r="J82" s="79">
        <v>115.0</v>
      </c>
      <c r="S82" s="28" t="s">
        <v>353</v>
      </c>
      <c r="T82" s="28">
        <v>2.0</v>
      </c>
    </row>
    <row r="83">
      <c r="S83" s="28" t="s">
        <v>339</v>
      </c>
      <c r="T83" s="28">
        <v>1.0</v>
      </c>
    </row>
    <row r="84">
      <c r="S84" s="28" t="s">
        <v>346</v>
      </c>
      <c r="T84" s="28">
        <v>3.0</v>
      </c>
    </row>
    <row r="85">
      <c r="S85" s="76"/>
      <c r="T85" s="76"/>
    </row>
    <row r="86">
      <c r="S86" s="76"/>
      <c r="T86" s="79">
        <v>112.0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