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Jul" sheetId="2" r:id="rId6"/>
    <sheet state="visible" name="726 S" sheetId="3" r:id="rId7"/>
    <sheet state="visible" name="727 M" sheetId="4" r:id="rId8"/>
    <sheet state="visible" name="721 T" sheetId="5" r:id="rId9"/>
    <sheet state="visible" name="722 W" sheetId="6" r:id="rId10"/>
    <sheet state="visible" name="723 TH" sheetId="7" r:id="rId11"/>
    <sheet state="visible" name="724 F" sheetId="8" r:id="rId12"/>
    <sheet state="visible" name="Jan" sheetId="9" r:id="rId13"/>
    <sheet state="visible" name="Feb" sheetId="10" r:id="rId14"/>
    <sheet state="visible" name="Mar" sheetId="11" r:id="rId15"/>
    <sheet state="visible" name="Apr" sheetId="12" r:id="rId16"/>
    <sheet state="visible" name="May" sheetId="13" r:id="rId17"/>
    <sheet state="visible" name="Jun" sheetId="14" r:id="rId18"/>
  </sheets>
  <definedNames/>
  <calcPr/>
</workbook>
</file>

<file path=xl/sharedStrings.xml><?xml version="1.0" encoding="utf-8"?>
<sst xmlns="http://schemas.openxmlformats.org/spreadsheetml/2006/main" count="12475" uniqueCount="777">
  <si>
    <t>menu for the date 7/1 Wednesday, 1st shift</t>
  </si>
  <si>
    <t>Олимп</t>
  </si>
  <si>
    <t>GARDEN OF JOY ADULT DAY CARE CENTER</t>
  </si>
  <si>
    <t>Салат из баклажан</t>
  </si>
  <si>
    <t>menu for the date 7/2 Thursday, 1st shift</t>
  </si>
  <si>
    <t>баклаж</t>
  </si>
  <si>
    <t>menu for the date 7/3 Friday, 1st shift</t>
  </si>
  <si>
    <t>menu for the date 7/5 Sunday</t>
  </si>
  <si>
    <t>Татьяна</t>
  </si>
  <si>
    <t>menu for the date 7/6 Monday, 1st shift</t>
  </si>
  <si>
    <t>menu for the date 7/7 Tusday, 1st shift</t>
  </si>
  <si>
    <t>Салат весенний</t>
  </si>
  <si>
    <t>Весна</t>
  </si>
  <si>
    <t>menu for the date 7/8 Wednesday, 1st shift</t>
  </si>
  <si>
    <t>Винегрет</t>
  </si>
  <si>
    <t>menu for the date 7/9 Thursday, 1st shift</t>
  </si>
  <si>
    <t>Вин</t>
  </si>
  <si>
    <t>menu for the date 7/10 Friday, 1st shift</t>
  </si>
  <si>
    <t>menu for the date 7/27 Monday, 1st shift</t>
  </si>
  <si>
    <t>menu for the date 7/26 Sunday</t>
  </si>
  <si>
    <t>menu for the date 7/12 Sunday</t>
  </si>
  <si>
    <t>Салат Днестр</t>
  </si>
  <si>
    <t>menu for the date 7/13 Monday, 1st shift</t>
  </si>
  <si>
    <t>Днестр</t>
  </si>
  <si>
    <t>menu for the date 7/14 Tusday, 1st shift</t>
  </si>
  <si>
    <t xml:space="preserve">Израильский </t>
  </si>
  <si>
    <t>Из</t>
  </si>
  <si>
    <t>menu for the date 7/15 Wednesday, 1st shift</t>
  </si>
  <si>
    <t>Olimp</t>
  </si>
  <si>
    <t>menu for the date 7/16 Thursday, 1st shift</t>
  </si>
  <si>
    <t>menu for the date 7/17 Friday, 1st shift</t>
  </si>
  <si>
    <t>Квашеная капуста</t>
  </si>
  <si>
    <t>капуста</t>
  </si>
  <si>
    <t>menu for the date 7/19 Sunday</t>
  </si>
  <si>
    <t xml:space="preserve">Греческий </t>
  </si>
  <si>
    <t>menu for the date 7/20 Monday, 1st shift</t>
  </si>
  <si>
    <t>Гр (1)</t>
  </si>
  <si>
    <t>menu for the date 7/21 Tusday, 1st shift</t>
  </si>
  <si>
    <t>Name</t>
  </si>
  <si>
    <t>Кабачковая икра</t>
  </si>
  <si>
    <t>menu for the date 7/22 Wednesday, 1st shift</t>
  </si>
  <si>
    <t>икра</t>
  </si>
  <si>
    <t>Супы</t>
  </si>
  <si>
    <t>menu for the date 7/23 Thursday, 1st shift</t>
  </si>
  <si>
    <t xml:space="preserve">Оливье </t>
  </si>
  <si>
    <t xml:space="preserve">Главное </t>
  </si>
  <si>
    <t>menu for the date 7/24 Friday, 1st shift</t>
  </si>
  <si>
    <t xml:space="preserve">Ол </t>
  </si>
  <si>
    <t>Капустный</t>
  </si>
  <si>
    <t>Кап</t>
  </si>
  <si>
    <t xml:space="preserve">Салаты </t>
  </si>
  <si>
    <t>Кани Салат</t>
  </si>
  <si>
    <t>Кани</t>
  </si>
  <si>
    <t>Гарнир</t>
  </si>
  <si>
    <t>Борщ</t>
  </si>
  <si>
    <t>Сало</t>
  </si>
  <si>
    <t xml:space="preserve">Свекла </t>
  </si>
  <si>
    <t>Свкл</t>
  </si>
  <si>
    <t>Bakanov Vladimir</t>
  </si>
  <si>
    <t>Греческий</t>
  </si>
  <si>
    <t>Adyan Ludmila</t>
  </si>
  <si>
    <t>Греч</t>
  </si>
  <si>
    <t>Селедка</t>
  </si>
  <si>
    <t>Холодец</t>
  </si>
  <si>
    <t>Холод</t>
  </si>
  <si>
    <t>Горох</t>
  </si>
  <si>
    <t>Курица</t>
  </si>
  <si>
    <t>Баса</t>
  </si>
  <si>
    <t>Утка</t>
  </si>
  <si>
    <t>Свежий</t>
  </si>
  <si>
    <t>Св</t>
  </si>
  <si>
    <t>Суп</t>
  </si>
  <si>
    <t>Bakanurskiy Aleksandr</t>
  </si>
  <si>
    <t>Тыквенный суп</t>
  </si>
  <si>
    <t>Bakanova Lubov</t>
  </si>
  <si>
    <t xml:space="preserve">Тыкв </t>
  </si>
  <si>
    <t>Мясо</t>
  </si>
  <si>
    <t xml:space="preserve">Борщ зеленый </t>
  </si>
  <si>
    <t>3.Б</t>
  </si>
  <si>
    <t>Чалахач</t>
  </si>
  <si>
    <t xml:space="preserve">Гр  </t>
  </si>
  <si>
    <t>Крем Брокколи</t>
  </si>
  <si>
    <t>Брок</t>
  </si>
  <si>
    <t>Грибной суп</t>
  </si>
  <si>
    <t>Bakanurskiy Svetlana</t>
  </si>
  <si>
    <t>Гриб</t>
  </si>
  <si>
    <t>Борщ красный</t>
  </si>
  <si>
    <t xml:space="preserve">Б </t>
  </si>
  <si>
    <t>Суп с фрикадельками</t>
  </si>
  <si>
    <t>фрик</t>
  </si>
  <si>
    <t>Гороховый</t>
  </si>
  <si>
    <t>Bershadskaya Nelli</t>
  </si>
  <si>
    <t>Солянка</t>
  </si>
  <si>
    <t>Сол</t>
  </si>
  <si>
    <t>Овощной суп</t>
  </si>
  <si>
    <t>Овощ</t>
  </si>
  <si>
    <t>Bass Khana</t>
  </si>
  <si>
    <t>Терияки</t>
  </si>
  <si>
    <t>Картошка</t>
  </si>
  <si>
    <t>Сырный суп</t>
  </si>
  <si>
    <t>Рыба</t>
  </si>
  <si>
    <t>Сырный</t>
  </si>
  <si>
    <t>Рассольник</t>
  </si>
  <si>
    <t>Расс</t>
  </si>
  <si>
    <t xml:space="preserve">Куриный </t>
  </si>
  <si>
    <t xml:space="preserve">Кур </t>
  </si>
  <si>
    <t>Борщ зеленый холодный</t>
  </si>
  <si>
    <t>3.Б.Х</t>
  </si>
  <si>
    <t>Свекольник</t>
  </si>
  <si>
    <t>Batoura Lioubov</t>
  </si>
  <si>
    <t>Свекл</t>
  </si>
  <si>
    <t xml:space="preserve">Beylina Emma </t>
  </si>
  <si>
    <t>Поперечка</t>
  </si>
  <si>
    <t xml:space="preserve"> FF</t>
  </si>
  <si>
    <t>Суп с пельменями</t>
  </si>
  <si>
    <t>Belotserkovsky Klavdya</t>
  </si>
  <si>
    <t>Харчо</t>
  </si>
  <si>
    <t xml:space="preserve">Харчо </t>
  </si>
  <si>
    <t>Уха</t>
  </si>
  <si>
    <t>Bialkovska Maria</t>
  </si>
  <si>
    <t>Тыкв</t>
  </si>
  <si>
    <t>Свек</t>
  </si>
  <si>
    <t>Туш. кап.</t>
  </si>
  <si>
    <t>Belotserkovsky Roma</t>
  </si>
  <si>
    <t>Bitanova Lyudmila</t>
  </si>
  <si>
    <t>Bok Lyudmila</t>
  </si>
  <si>
    <t xml:space="preserve">S  </t>
  </si>
  <si>
    <t xml:space="preserve">MP </t>
  </si>
  <si>
    <t>Окрошка</t>
  </si>
  <si>
    <t>Bogot Boris</t>
  </si>
  <si>
    <t>Окр</t>
  </si>
  <si>
    <t>Bratukhin Vladimir</t>
  </si>
  <si>
    <t xml:space="preserve">Бронзини </t>
  </si>
  <si>
    <t>Bogot Klara</t>
  </si>
  <si>
    <t>Бронз</t>
  </si>
  <si>
    <t>Салмон</t>
  </si>
  <si>
    <t>Breicher Larisa</t>
  </si>
  <si>
    <t>Биф-строганов</t>
  </si>
  <si>
    <t>Биф-стр  (2)</t>
  </si>
  <si>
    <t>Brikker Ella</t>
  </si>
  <si>
    <t xml:space="preserve">Кур-стр </t>
  </si>
  <si>
    <t>Lobster Tail</t>
  </si>
  <si>
    <t>Lobster</t>
  </si>
  <si>
    <t>Баса с помидорами под сыром</t>
  </si>
  <si>
    <t>Куриная печень</t>
  </si>
  <si>
    <t>Breytman Polina</t>
  </si>
  <si>
    <t xml:space="preserve">печень Кур  </t>
  </si>
  <si>
    <t>Креветки в чесночном соусе</t>
  </si>
  <si>
    <t>Srimp</t>
  </si>
  <si>
    <t>Блины с мясом</t>
  </si>
  <si>
    <t>Бл. мясо</t>
  </si>
  <si>
    <t>Buslayeva Alisa</t>
  </si>
  <si>
    <t>Котл. кур.</t>
  </si>
  <si>
    <t>Britavskaya Sofia</t>
  </si>
  <si>
    <t xml:space="preserve">Котл. кур.  </t>
  </si>
  <si>
    <t>Филе Баса</t>
  </si>
  <si>
    <t>Блины с творогом</t>
  </si>
  <si>
    <t>Бл. твор</t>
  </si>
  <si>
    <t>Diadia Valentina</t>
  </si>
  <si>
    <t>Вареники с картошкой</t>
  </si>
  <si>
    <t xml:space="preserve">Brodskaya Lidiya     </t>
  </si>
  <si>
    <t>Вар.Кар</t>
  </si>
  <si>
    <t>Жаркое</t>
  </si>
  <si>
    <t>Dirul Serghei</t>
  </si>
  <si>
    <t>Жаркое  (3)</t>
  </si>
  <si>
    <t>Пельмени</t>
  </si>
  <si>
    <t>Голубцы</t>
  </si>
  <si>
    <t>Dobryanskiy Boris</t>
  </si>
  <si>
    <t>Brodskiy Valeriy</t>
  </si>
  <si>
    <t>Гуляш</t>
  </si>
  <si>
    <t>Doktorman Sofia</t>
  </si>
  <si>
    <t>Вареники с вишней</t>
  </si>
  <si>
    <t>Вар.Виш</t>
  </si>
  <si>
    <t>Дорадо</t>
  </si>
  <si>
    <t>Epshteyn Yelizaveta</t>
  </si>
  <si>
    <t>Coniglio Vera</t>
  </si>
  <si>
    <t>Картошка в мундире с селедкой</t>
  </si>
  <si>
    <t>сельдь (17)</t>
  </si>
  <si>
    <t>Вареники с мясом</t>
  </si>
  <si>
    <t>Вар.Мяс.</t>
  </si>
  <si>
    <t>Fayngersh Anna</t>
  </si>
  <si>
    <t>Жульен</t>
  </si>
  <si>
    <t>Св. ребра</t>
  </si>
  <si>
    <t xml:space="preserve">Св. ребра </t>
  </si>
  <si>
    <t>Diachenko Halyna</t>
  </si>
  <si>
    <t>Fridman Mikhail</t>
  </si>
  <si>
    <t>Котлеты куриные</t>
  </si>
  <si>
    <t>Котл. кур</t>
  </si>
  <si>
    <t>Кур. шашлык</t>
  </si>
  <si>
    <t xml:space="preserve">Кур. шаш  </t>
  </si>
  <si>
    <t>Куриные крылышки</t>
  </si>
  <si>
    <t>крылья</t>
  </si>
  <si>
    <t>Galanter Molca</t>
  </si>
  <si>
    <t>Креветки</t>
  </si>
  <si>
    <t>Картошка с грибами</t>
  </si>
  <si>
    <t xml:space="preserve">Dmitriyeva Tamara </t>
  </si>
  <si>
    <t>Карт. гриб.</t>
  </si>
  <si>
    <t>Котл. Св.</t>
  </si>
  <si>
    <t>Котлеты рыбные</t>
  </si>
  <si>
    <t>Gamkrelidze Mikhail</t>
  </si>
  <si>
    <t>Котл. рыб.</t>
  </si>
  <si>
    <t>Котлеты говяжьи</t>
  </si>
  <si>
    <t>Gluzman Mara</t>
  </si>
  <si>
    <t>Св. отбивная</t>
  </si>
  <si>
    <t xml:space="preserve">Св. отбив  </t>
  </si>
  <si>
    <t>Finkelshteyn Anya</t>
  </si>
  <si>
    <t>Тушенное мясо</t>
  </si>
  <si>
    <t>Туш. мясо</t>
  </si>
  <si>
    <t>печень</t>
  </si>
  <si>
    <t>Шницель</t>
  </si>
  <si>
    <t>Цыпленок табака</t>
  </si>
  <si>
    <t xml:space="preserve">табака </t>
  </si>
  <si>
    <t>Курица копченая</t>
  </si>
  <si>
    <t>Gorelik Esfir</t>
  </si>
  <si>
    <t>Курица в терияки соусе</t>
  </si>
  <si>
    <t>Курица с овощами</t>
  </si>
  <si>
    <t>Кур. ов</t>
  </si>
  <si>
    <t>Grebneva Veronika</t>
  </si>
  <si>
    <t>Firdman Mark</t>
  </si>
  <si>
    <t xml:space="preserve">Макароны по флотски </t>
  </si>
  <si>
    <t>флот</t>
  </si>
  <si>
    <t>Gukovskaja Natasha V</t>
  </si>
  <si>
    <t xml:space="preserve">Чебуреки </t>
  </si>
  <si>
    <t>Св. шаш</t>
  </si>
  <si>
    <t>Gordin Moisey</t>
  </si>
  <si>
    <t>Gumarova Nailya</t>
  </si>
  <si>
    <t>Люля-кебаб</t>
  </si>
  <si>
    <t>Куриный шницель</t>
  </si>
  <si>
    <t>шницель</t>
  </si>
  <si>
    <t>Филе Пангасиусa</t>
  </si>
  <si>
    <t>Gurevich Emma</t>
  </si>
  <si>
    <t>Мясо по французски</t>
  </si>
  <si>
    <t>франц</t>
  </si>
  <si>
    <t>Gorodetskaya Ninel</t>
  </si>
  <si>
    <t>Karlov Aleksey</t>
  </si>
  <si>
    <t>Туна стейк</t>
  </si>
  <si>
    <t>Туна</t>
  </si>
  <si>
    <t xml:space="preserve">Жаркое  </t>
  </si>
  <si>
    <t>Khalfin Inna</t>
  </si>
  <si>
    <t>Grinshpun Izrail</t>
  </si>
  <si>
    <t>Фаршированая картошка</t>
  </si>
  <si>
    <t>Фарш. карт</t>
  </si>
  <si>
    <t>Korb Anna</t>
  </si>
  <si>
    <t>Котлеты по киевски</t>
  </si>
  <si>
    <t>Киев</t>
  </si>
  <si>
    <t>Gurevich Roza</t>
  </si>
  <si>
    <t>Kotvitskaya Alexandra</t>
  </si>
  <si>
    <t>Хинкали</t>
  </si>
  <si>
    <t>Kozodoy Aleksandr</t>
  </si>
  <si>
    <t>Gurevich Yevgeniy</t>
  </si>
  <si>
    <t>Kulchinskaya Alla</t>
  </si>
  <si>
    <t>Баварские сосиски</t>
  </si>
  <si>
    <t>сосиски</t>
  </si>
  <si>
    <t>Levina Lyubov</t>
  </si>
  <si>
    <t>Gurevich Victor</t>
  </si>
  <si>
    <t>Leybengrub Larisa</t>
  </si>
  <si>
    <t>Утка с яблоками</t>
  </si>
  <si>
    <t>Livanova Marioula</t>
  </si>
  <si>
    <t>Ignatovskaia Tamara</t>
  </si>
  <si>
    <t>Lvova Tamara</t>
  </si>
  <si>
    <t>Margulis David</t>
  </si>
  <si>
    <t>Драники</t>
  </si>
  <si>
    <t xml:space="preserve">Melezhik Rona </t>
  </si>
  <si>
    <t>Inokentyeva Valentina</t>
  </si>
  <si>
    <t>Тефтели</t>
  </si>
  <si>
    <t>Тефт</t>
  </si>
  <si>
    <t xml:space="preserve">Minogina Ninel </t>
  </si>
  <si>
    <t>Mostova Valentina</t>
  </si>
  <si>
    <t>Kapitova Larisa</t>
  </si>
  <si>
    <t>Muratov Islyam</t>
  </si>
  <si>
    <t>Penezhnik Margarita</t>
  </si>
  <si>
    <t>Perepelytsa Lubov</t>
  </si>
  <si>
    <t xml:space="preserve">Паста  </t>
  </si>
  <si>
    <t>Pochkhidze Gurami</t>
  </si>
  <si>
    <t>Katerskaya Nina</t>
  </si>
  <si>
    <t>Polshchykova Galina</t>
  </si>
  <si>
    <t>Фасоль</t>
  </si>
  <si>
    <t>Ratner Alla</t>
  </si>
  <si>
    <t>Kats Boris</t>
  </si>
  <si>
    <t>Rokhkind Larisa</t>
  </si>
  <si>
    <t>Savina Lioudmila</t>
  </si>
  <si>
    <t xml:space="preserve">Мол. картошка </t>
  </si>
  <si>
    <t xml:space="preserve">Мол. карт </t>
  </si>
  <si>
    <t>Khashimova Zukhra</t>
  </si>
  <si>
    <t>Жареная картошка</t>
  </si>
  <si>
    <t>Овощи</t>
  </si>
  <si>
    <t xml:space="preserve">Ов  </t>
  </si>
  <si>
    <t>Serebryanik Roman</t>
  </si>
  <si>
    <t>Пюре</t>
  </si>
  <si>
    <t xml:space="preserve">Рис </t>
  </si>
  <si>
    <t xml:space="preserve">Рис  </t>
  </si>
  <si>
    <t>Гречка</t>
  </si>
  <si>
    <t>Serhiyenko Oleksandra</t>
  </si>
  <si>
    <t>Тушеная капуста</t>
  </si>
  <si>
    <t>Картошка по деревенски</t>
  </si>
  <si>
    <t>Khodorovsky Ilya</t>
  </si>
  <si>
    <t>Паста</t>
  </si>
  <si>
    <t>Serhiyenko Anatoliy</t>
  </si>
  <si>
    <t>Стручковаыа фасоль</t>
  </si>
  <si>
    <t>Shuper Klavdia</t>
  </si>
  <si>
    <t>Klevan Svetlana</t>
  </si>
  <si>
    <t>Sidorova Olga</t>
  </si>
  <si>
    <t>Sunday</t>
  </si>
  <si>
    <t>Solovyeva Svetlana</t>
  </si>
  <si>
    <t>Streltsov Viktor</t>
  </si>
  <si>
    <t>Tkach Yevgeniya</t>
  </si>
  <si>
    <t>Kovaleva Viktoriya</t>
  </si>
  <si>
    <t>Tsiklauri Donara</t>
  </si>
  <si>
    <t>Kravets Sima</t>
  </si>
  <si>
    <t xml:space="preserve">Vaysburd Anna </t>
  </si>
  <si>
    <t>Veshninskaya Tsilya</t>
  </si>
  <si>
    <t>Krivitskaya Zoya</t>
  </si>
  <si>
    <t>Volkova Susana</t>
  </si>
  <si>
    <t>Volovaya Sofia</t>
  </si>
  <si>
    <t>Krivolapov Leonid</t>
  </si>
  <si>
    <t>Yablok Ida</t>
  </si>
  <si>
    <t>Krupnik Raisa</t>
  </si>
  <si>
    <t>Yakobson Lyusya</t>
  </si>
  <si>
    <t>Zaripova Svetlana</t>
  </si>
  <si>
    <t>Kutsenko Larisa</t>
  </si>
  <si>
    <t>Zlotsky Yulia</t>
  </si>
  <si>
    <t xml:space="preserve">Launikevich Alena </t>
  </si>
  <si>
    <t>Akkerman Adik</t>
  </si>
  <si>
    <t>Lebedenko Valentina</t>
  </si>
  <si>
    <t>Bolotin Marina</t>
  </si>
  <si>
    <t>starting 6/27 till call. vacation</t>
  </si>
  <si>
    <t>Elbert Milla</t>
  </si>
  <si>
    <t>Levit Leonid</t>
  </si>
  <si>
    <t>Guzman Tatiana</t>
  </si>
  <si>
    <t>Rudoy Emma</t>
  </si>
  <si>
    <t>Sheyn Vladimir L</t>
  </si>
  <si>
    <t xml:space="preserve"> 7/22-8/7 vacation</t>
  </si>
  <si>
    <t>Beytelman Anna</t>
  </si>
  <si>
    <t>7/11-31 vacation</t>
  </si>
  <si>
    <t>Malkiyev Boris</t>
  </si>
  <si>
    <t xml:space="preserve">S   MP </t>
  </si>
  <si>
    <t xml:space="preserve">S   </t>
  </si>
  <si>
    <t>S    FF</t>
  </si>
  <si>
    <t>Marder Yakov</t>
  </si>
  <si>
    <t>Nemirovskiy Arkadiy</t>
  </si>
  <si>
    <t xml:space="preserve">S   Гр  </t>
  </si>
  <si>
    <t>Nemirovskaya Mariya</t>
  </si>
  <si>
    <t>Nevskiy Lev</t>
  </si>
  <si>
    <t>S   Картошка</t>
  </si>
  <si>
    <t>Nezhevenko Svetlana</t>
  </si>
  <si>
    <t>Nikolaeva Galina</t>
  </si>
  <si>
    <t>S   Туш. кап.</t>
  </si>
  <si>
    <t xml:space="preserve">Palatnik Yelizaveta </t>
  </si>
  <si>
    <t xml:space="preserve">S   Паста  </t>
  </si>
  <si>
    <t>Panteleeva Liubov</t>
  </si>
  <si>
    <t>Parkansky Rita</t>
  </si>
  <si>
    <t>Agaronova Nelia</t>
  </si>
  <si>
    <t>S   Фасоль</t>
  </si>
  <si>
    <t xml:space="preserve">Platova Zhanna </t>
  </si>
  <si>
    <t>Plotits Asya</t>
  </si>
  <si>
    <t>Bershteyn Peter</t>
  </si>
  <si>
    <t xml:space="preserve">Баса </t>
  </si>
  <si>
    <t>Posadov Vladimir</t>
  </si>
  <si>
    <t>Posadova Liubov</t>
  </si>
  <si>
    <t xml:space="preserve">Баса Гр  </t>
  </si>
  <si>
    <t>Povroznik Mikhail</t>
  </si>
  <si>
    <t>Баса  FF</t>
  </si>
  <si>
    <t>Prilutskaya Tatyana</t>
  </si>
  <si>
    <t>Prokop Svitlana</t>
  </si>
  <si>
    <t>Баса Картошка</t>
  </si>
  <si>
    <t xml:space="preserve">Баса MP </t>
  </si>
  <si>
    <t xml:space="preserve">Pushkash Mariya  </t>
  </si>
  <si>
    <t>Баса Туш. кап.</t>
  </si>
  <si>
    <t>Rabinovich Boris</t>
  </si>
  <si>
    <t xml:space="preserve">Dorodnova Kateryna </t>
  </si>
  <si>
    <t xml:space="preserve">Баса Паста  </t>
  </si>
  <si>
    <t xml:space="preserve">Бл. мясо </t>
  </si>
  <si>
    <t>Rodov Vladimir</t>
  </si>
  <si>
    <t>Баса Фасоль</t>
  </si>
  <si>
    <t>Erlikhman Rita</t>
  </si>
  <si>
    <t>Rodava Iryna</t>
  </si>
  <si>
    <t xml:space="preserve">Бл. твор </t>
  </si>
  <si>
    <t>Romanovsky Misha</t>
  </si>
  <si>
    <t>Safonova Tatyana</t>
  </si>
  <si>
    <t>Бл. мясо Туш. кап.</t>
  </si>
  <si>
    <t>Fishman Mera</t>
  </si>
  <si>
    <t>Shefer Bella</t>
  </si>
  <si>
    <t xml:space="preserve">Вар.Кар </t>
  </si>
  <si>
    <t>Goltsman Zakhary</t>
  </si>
  <si>
    <t xml:space="preserve">Бл. мясо Гр  </t>
  </si>
  <si>
    <t>Shklovsky Gita</t>
  </si>
  <si>
    <t>Golub Margarita</t>
  </si>
  <si>
    <t>Gadilova Nina</t>
  </si>
  <si>
    <t xml:space="preserve">Бл. мясо MP </t>
  </si>
  <si>
    <t>Shuksta Asya</t>
  </si>
  <si>
    <t>Gorbunov Eduard</t>
  </si>
  <si>
    <t xml:space="preserve">Гуляш </t>
  </si>
  <si>
    <t>Shulkin Faina</t>
  </si>
  <si>
    <t>Shumaeva Anna</t>
  </si>
  <si>
    <t>Голубцы Туш. кап.</t>
  </si>
  <si>
    <t>Goldfeld Nadezhda</t>
  </si>
  <si>
    <t>Гуляш Туш. кап.</t>
  </si>
  <si>
    <t>Shvetsova Svetlana</t>
  </si>
  <si>
    <t>Вар.Кар Туш. кап.</t>
  </si>
  <si>
    <t>Slabod Yevgeniya</t>
  </si>
  <si>
    <t xml:space="preserve">Гуляш MP </t>
  </si>
  <si>
    <t xml:space="preserve">Голубцы </t>
  </si>
  <si>
    <t>Starikova Nelli</t>
  </si>
  <si>
    <t xml:space="preserve">Дорадо </t>
  </si>
  <si>
    <t>Kaplun Tatyana</t>
  </si>
  <si>
    <t xml:space="preserve">Бл. твор Гр  </t>
  </si>
  <si>
    <t>Starikov Yevgeniy</t>
  </si>
  <si>
    <t>Golubeva Emma</t>
  </si>
  <si>
    <t xml:space="preserve">Дорадо Гр  </t>
  </si>
  <si>
    <t>Гуляш Картошка</t>
  </si>
  <si>
    <t>Streltsova Nadiia</t>
  </si>
  <si>
    <t xml:space="preserve">Вар.Кар MP </t>
  </si>
  <si>
    <t xml:space="preserve">Голубцы MP </t>
  </si>
  <si>
    <t>Голубцы Картошка</t>
  </si>
  <si>
    <t>Terlovskaya Tatyana</t>
  </si>
  <si>
    <t>Бл. мясо Фасоль</t>
  </si>
  <si>
    <t>Tsypina Nina</t>
  </si>
  <si>
    <t>Дорадо Картошка</t>
  </si>
  <si>
    <t>Gorelik Liliya</t>
  </si>
  <si>
    <t xml:space="preserve">Дорадо MP </t>
  </si>
  <si>
    <t>Uchitel Rozalia</t>
  </si>
  <si>
    <t>Дорадо Туш. кап.</t>
  </si>
  <si>
    <t xml:space="preserve">Вар.Кар Гр  </t>
  </si>
  <si>
    <t>Uchitel Vilyam</t>
  </si>
  <si>
    <t>Goryachkovskaya Svetlana</t>
  </si>
  <si>
    <t xml:space="preserve">Yermakov Marat </t>
  </si>
  <si>
    <t xml:space="preserve">Дорадо Паста  </t>
  </si>
  <si>
    <t>Goryachkovsky Alexandr</t>
  </si>
  <si>
    <t>Гуляш  FF</t>
  </si>
  <si>
    <t>Krivorot Sima</t>
  </si>
  <si>
    <t>Zabarnaya Galina</t>
  </si>
  <si>
    <t>Дорадо Фасоль</t>
  </si>
  <si>
    <t>Вар.Кар Картошка</t>
  </si>
  <si>
    <t>Krol Yefim</t>
  </si>
  <si>
    <t>Zakrzhevska Galyna</t>
  </si>
  <si>
    <t>Grabovskaya Larisa</t>
  </si>
  <si>
    <t>Жульен Фасоль</t>
  </si>
  <si>
    <t>Zingerman Esfir</t>
  </si>
  <si>
    <t>Дорадо  FF</t>
  </si>
  <si>
    <t>Grishin Leonid</t>
  </si>
  <si>
    <t xml:space="preserve">Жульен </t>
  </si>
  <si>
    <t>Zolotareva Galina</t>
  </si>
  <si>
    <t xml:space="preserve">Котл. кур </t>
  </si>
  <si>
    <t xml:space="preserve">Жульен MP </t>
  </si>
  <si>
    <t>Latysheva Rosa</t>
  </si>
  <si>
    <t xml:space="preserve">Гуляш Гр  </t>
  </si>
  <si>
    <t>Котл. кур  FF</t>
  </si>
  <si>
    <t>Жульен Туш. кап.</t>
  </si>
  <si>
    <t>Гуляш Фасоль</t>
  </si>
  <si>
    <t>Жульен Картошка</t>
  </si>
  <si>
    <t>Levit Riva</t>
  </si>
  <si>
    <t>Shadhan Bella</t>
  </si>
  <si>
    <t>7/13-31 vacation</t>
  </si>
  <si>
    <t xml:space="preserve">Котл. кур MP </t>
  </si>
  <si>
    <t>Halas Jerzy</t>
  </si>
  <si>
    <t>Lodato Galina</t>
  </si>
  <si>
    <t>Halas Teresa</t>
  </si>
  <si>
    <t xml:space="preserve">Котл. кур Гр  </t>
  </si>
  <si>
    <t>Mikhaylova Sofiya</t>
  </si>
  <si>
    <t>Kagan Dina</t>
  </si>
  <si>
    <t xml:space="preserve">Котл. кур Паста  </t>
  </si>
  <si>
    <t xml:space="preserve">Жульен Гр  </t>
  </si>
  <si>
    <t>Котл. кур Туш. кап.</t>
  </si>
  <si>
    <t>Котл. кур Фасоль</t>
  </si>
  <si>
    <t>menu for the date 7/20 Monday, 1 shift плюс</t>
  </si>
  <si>
    <t>Котл. кур Картошка</t>
  </si>
  <si>
    <t>Khnanisho Olga</t>
  </si>
  <si>
    <t>menu for the date 7/20 Monday, 2 shift минус</t>
  </si>
  <si>
    <t xml:space="preserve">Пельмени </t>
  </si>
  <si>
    <t>Kononovich Olexandra</t>
  </si>
  <si>
    <t>Nikonovych Halyna</t>
  </si>
  <si>
    <t>Поперечка Картошка</t>
  </si>
  <si>
    <t xml:space="preserve">Поперечка MP </t>
  </si>
  <si>
    <t>Parfenova Alexandra</t>
  </si>
  <si>
    <t>Kramer Sofya</t>
  </si>
  <si>
    <t>Жульен  FF</t>
  </si>
  <si>
    <t>Поперечка  FF</t>
  </si>
  <si>
    <t xml:space="preserve">Поперечка Паста  </t>
  </si>
  <si>
    <t>menu for the date 7/27 Monday, 1 shift минус</t>
  </si>
  <si>
    <t>Св. отбив    FF</t>
  </si>
  <si>
    <t>Kreymer Aleksander</t>
  </si>
  <si>
    <t xml:space="preserve">Поперечка Гр  </t>
  </si>
  <si>
    <t>Kreymer Galina</t>
  </si>
  <si>
    <t xml:space="preserve">Св. отбив   MP </t>
  </si>
  <si>
    <t xml:space="preserve">Св. отбив   Гр  </t>
  </si>
  <si>
    <t>Kruglov Viktor</t>
  </si>
  <si>
    <t>Поперечка Туш. кап.</t>
  </si>
  <si>
    <t xml:space="preserve">Терияки MP </t>
  </si>
  <si>
    <t>Св. отбив   Фасоль</t>
  </si>
  <si>
    <t>menu for the date 7/27 Monday, 2 shift минус</t>
  </si>
  <si>
    <t>Krupnik Eduard</t>
  </si>
  <si>
    <t>Gendelman Anatoliy</t>
  </si>
  <si>
    <t>7/27-31 vacation</t>
  </si>
  <si>
    <t>Gendelman Liliya</t>
  </si>
  <si>
    <t>Lokhov Sergey</t>
  </si>
  <si>
    <t xml:space="preserve">Чалахач </t>
  </si>
  <si>
    <t xml:space="preserve">Терияки Паста  </t>
  </si>
  <si>
    <t xml:space="preserve">Терияки Гр  </t>
  </si>
  <si>
    <t>menu for the date 7/27 Monday, 2 shift плюс</t>
  </si>
  <si>
    <t>Loukachevitch Tatiana</t>
  </si>
  <si>
    <t>Терияки  FF</t>
  </si>
  <si>
    <t xml:space="preserve">Св. отбив   Паста  </t>
  </si>
  <si>
    <t>Shvayko Nelli</t>
  </si>
  <si>
    <t xml:space="preserve">Чалахач Гр  </t>
  </si>
  <si>
    <t>Терияки Фасоль</t>
  </si>
  <si>
    <t xml:space="preserve">Lysenko Tetiana </t>
  </si>
  <si>
    <t>Поперечка Фасоль</t>
  </si>
  <si>
    <t>Терияки Картошка</t>
  </si>
  <si>
    <t>Терияки Туш. кап.</t>
  </si>
  <si>
    <t xml:space="preserve">Starikov Brayna </t>
  </si>
  <si>
    <t>Пельмени Картошка</t>
  </si>
  <si>
    <t>Пельмени Туш. кап.</t>
  </si>
  <si>
    <t>Magalnik Malvina</t>
  </si>
  <si>
    <t>Чалахач Картошка</t>
  </si>
  <si>
    <t xml:space="preserve">Св. отбив   </t>
  </si>
  <si>
    <t xml:space="preserve">Чалахач MP </t>
  </si>
  <si>
    <t>Sviridenko Valentina</t>
  </si>
  <si>
    <t xml:space="preserve">Поперечка </t>
  </si>
  <si>
    <t xml:space="preserve">Чебуреки  </t>
  </si>
  <si>
    <t>Чалахач Туш. кап.</t>
  </si>
  <si>
    <t>Mashkovich Yankel</t>
  </si>
  <si>
    <t xml:space="preserve">Шницель </t>
  </si>
  <si>
    <t>Melnyk Mariia</t>
  </si>
  <si>
    <t>Чалахач  FF</t>
  </si>
  <si>
    <t>Meltser Eugene</t>
  </si>
  <si>
    <t xml:space="preserve">Шницель MP </t>
  </si>
  <si>
    <t xml:space="preserve">Чалахач Паста  </t>
  </si>
  <si>
    <t>Шницель  FF</t>
  </si>
  <si>
    <t>Zolotarev Mikhail</t>
  </si>
  <si>
    <t>Meltser Larisa</t>
  </si>
  <si>
    <t>Шницель Фасоль</t>
  </si>
  <si>
    <t>Чалахач Фасоль</t>
  </si>
  <si>
    <t>Шницель Картошка</t>
  </si>
  <si>
    <t>Св. отбив   Туш. кап.</t>
  </si>
  <si>
    <t>Mitelman Leonid</t>
  </si>
  <si>
    <t xml:space="preserve">крылья MP </t>
  </si>
  <si>
    <t>Шницель Туш. кап.</t>
  </si>
  <si>
    <t xml:space="preserve">Шницель Паста  </t>
  </si>
  <si>
    <t>Neginis Rivekka</t>
  </si>
  <si>
    <t xml:space="preserve">крылья Паста  </t>
  </si>
  <si>
    <t xml:space="preserve">Шницель Гр  </t>
  </si>
  <si>
    <t xml:space="preserve">крылья </t>
  </si>
  <si>
    <t>Nemyrska Galyna</t>
  </si>
  <si>
    <t>7/22 to 23 Sveta</t>
  </si>
  <si>
    <t>крылья Туш. кап.</t>
  </si>
  <si>
    <t>крылья  FF</t>
  </si>
  <si>
    <t>Papouk Valentina</t>
  </si>
  <si>
    <t>7/20-24 off Misha</t>
  </si>
  <si>
    <t xml:space="preserve">табака  MP </t>
  </si>
  <si>
    <t>Patsiuchenko Oleg</t>
  </si>
  <si>
    <t>Perepelitsa Nina</t>
  </si>
  <si>
    <t xml:space="preserve">Чебуреки  Паста  </t>
  </si>
  <si>
    <t xml:space="preserve">табака  Гр  </t>
  </si>
  <si>
    <t xml:space="preserve">крылья Гр  </t>
  </si>
  <si>
    <t>menu for the date 7/22 Wednesday, 1 shift плюс</t>
  </si>
  <si>
    <t>табака  Фасоль</t>
  </si>
  <si>
    <t>табака   FF</t>
  </si>
  <si>
    <t>Polovitskaya Manya</t>
  </si>
  <si>
    <t>menu for the date 7/22 Wednesday, 1 shift минус</t>
  </si>
  <si>
    <t xml:space="preserve">табака  </t>
  </si>
  <si>
    <t>Polyak Dora</t>
  </si>
  <si>
    <t>Polyak Semen</t>
  </si>
  <si>
    <t>табака  Картошка</t>
  </si>
  <si>
    <t>Portnov Naum</t>
  </si>
  <si>
    <t>menu for the date 7/22 Wednesday, 2 shift плюс</t>
  </si>
  <si>
    <t xml:space="preserve">табака  Паста  </t>
  </si>
  <si>
    <t>Tapounova Irina</t>
  </si>
  <si>
    <t xml:space="preserve"> till call. Dacha</t>
  </si>
  <si>
    <t>Royzman Boris</t>
  </si>
  <si>
    <t>табака  Туш. кап.</t>
  </si>
  <si>
    <t>Shchelskaya Zinaida</t>
  </si>
  <si>
    <t>крылья Картошка</t>
  </si>
  <si>
    <t>Shkolnik Betya</t>
  </si>
  <si>
    <t>Shparber Iosif</t>
  </si>
  <si>
    <t>Shporina Ella</t>
  </si>
  <si>
    <t>Andreeva Alla</t>
  </si>
  <si>
    <t>Sivak Svetlana</t>
  </si>
  <si>
    <t>Skvirsky Lazar</t>
  </si>
  <si>
    <t>Chernyatskay Polya</t>
  </si>
  <si>
    <t>Elensky Tamara</t>
  </si>
  <si>
    <t>Syrtsova Nina</t>
  </si>
  <si>
    <t>Tokar Polina</t>
  </si>
  <si>
    <t>Umanskiy Boris</t>
  </si>
  <si>
    <t>Velkina Bella</t>
  </si>
  <si>
    <t xml:space="preserve">Verba Margarita </t>
  </si>
  <si>
    <t>Yakobzon Rivka</t>
  </si>
  <si>
    <t>Yezerskaya Dora</t>
  </si>
  <si>
    <t>Yusupov Roman</t>
  </si>
  <si>
    <t>Zabizhin Grigoriy</t>
  </si>
  <si>
    <t>Zeltser Oleg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</si>
  <si>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</si>
  <si>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Lurye Frida</t>
  </si>
  <si>
    <t>till call</t>
  </si>
  <si>
    <t>7/21 going to children</t>
  </si>
  <si>
    <t>Krayz Raisa</t>
  </si>
  <si>
    <t>starting hospitalized 7/13</t>
  </si>
  <si>
    <t>7/13-31 vacation Sveta</t>
  </si>
  <si>
    <t>menu for the date 7/14 Tusday, 1shift минус</t>
  </si>
  <si>
    <t>Leonova Lorina</t>
  </si>
  <si>
    <t xml:space="preserve">Maksimova Bella </t>
  </si>
  <si>
    <t>Malakhovska Viktoriya</t>
  </si>
  <si>
    <t>menu for the date 7/14 Tusday, 2nd shift минус</t>
  </si>
  <si>
    <t>Kiselgof Mikhail</t>
  </si>
  <si>
    <t>Melamud Klara</t>
  </si>
  <si>
    <t>menu for the date 7/28 Tusday, 1 shift минус</t>
  </si>
  <si>
    <t>Pichkhadze Svetlana</t>
  </si>
  <si>
    <t>7/28 off Misha</t>
  </si>
  <si>
    <t>Chebotareva Galina</t>
  </si>
  <si>
    <t>Gomberg Aron</t>
  </si>
  <si>
    <t xml:space="preserve">Gutman Izabella </t>
  </si>
  <si>
    <t>Gutman Roman</t>
  </si>
  <si>
    <t>7/30 to 28</t>
  </si>
  <si>
    <t>Lvovich Max</t>
  </si>
  <si>
    <t>menu for the date 7/23 Thursday, 1st shift минус</t>
  </si>
  <si>
    <t>Neveleva Sofiya</t>
  </si>
  <si>
    <t>Sherman Inga</t>
  </si>
  <si>
    <t>Solodar Semen</t>
  </si>
  <si>
    <t>7/34 to 23</t>
  </si>
  <si>
    <t>7/24 8 progr. Misha</t>
  </si>
  <si>
    <t>Rudinskaya Ella</t>
  </si>
  <si>
    <t>menu for the date 11/2 Friday, 1st shift</t>
  </si>
  <si>
    <t>menu for the date 1/4 Sunday</t>
  </si>
  <si>
    <t>menu for the date 1/5 Monday, 1st shift</t>
  </si>
  <si>
    <t>menu for the date 1/6 Tusday, 1st shift</t>
  </si>
  <si>
    <t>menu for the date 1/7 Wednesday, 1st shift</t>
  </si>
  <si>
    <t>menu for the date 1/8 Thursday, 1st shift</t>
  </si>
  <si>
    <t>menu for the date 1/9 Friday, 1st shift</t>
  </si>
  <si>
    <t>menu for the date 1/11 Sunday</t>
  </si>
  <si>
    <t>menu for the date 1/12 Monday, 1st shift</t>
  </si>
  <si>
    <t>menu for the date 1/13 Tusday, 1st shift</t>
  </si>
  <si>
    <t>menu for the date 1/14 Wednesday, 1st shift</t>
  </si>
  <si>
    <t>menu for the date 1/15 Thursday, 1st shift</t>
  </si>
  <si>
    <t>menu for the date 1/16 Friday, 1st shift</t>
  </si>
  <si>
    <t>menu for the date 1/18 Sunday</t>
  </si>
  <si>
    <t>menu for the date 1/19 Monday, 1st shift</t>
  </si>
  <si>
    <t>menu for the date 1/20 Tusday, 1st shift</t>
  </si>
  <si>
    <t>menu for the date 1/21 Wednesday, 1st shift</t>
  </si>
  <si>
    <t>menu for the date 1/22 Thursday, 1st shift</t>
  </si>
  <si>
    <t>menu for the date 1/23 Friday, 1st shift</t>
  </si>
  <si>
    <t>menu for the date 1/25 Sunday</t>
  </si>
  <si>
    <t>menu for the date 1/26 Monday, 1st shift</t>
  </si>
  <si>
    <t>menu for the date 1/27 Tusday, 1st shift</t>
  </si>
  <si>
    <t>menu for the date 1/28 Wednesday, 1st shift</t>
  </si>
  <si>
    <t>menu for the date 1/29 Thursday, 1st shift</t>
  </si>
  <si>
    <t>menu for the date 1/30 Friday, 1st shift</t>
  </si>
  <si>
    <t>menu for the date 2/1 Sunday</t>
  </si>
  <si>
    <t>menu for the date 2/2 Monday, 1st shift</t>
  </si>
  <si>
    <t>menu for the date 2/3 Tusday, 1st shift</t>
  </si>
  <si>
    <t>menu for the date 2/4 Wednesday, 1st shift</t>
  </si>
  <si>
    <t>menu for the date 2/5 Thursday, 1st shift</t>
  </si>
  <si>
    <t>menu for the date 2/6 Friday, 1st shift</t>
  </si>
  <si>
    <t>menu for the date 2/8 Sunday</t>
  </si>
  <si>
    <t>menu for the date 2/9 Monday, 1st shift</t>
  </si>
  <si>
    <t>menu for the date 2/10 Tusday, 1st shift</t>
  </si>
  <si>
    <t>menu for the date 2/11 Wednesday, 1st shift</t>
  </si>
  <si>
    <t>menu for the date 2/13 Friday, 1st shift</t>
  </si>
  <si>
    <t>menu for the date 2/15 Sunday</t>
  </si>
  <si>
    <t>menu for the date 2/16 Monday, 1st shift</t>
  </si>
  <si>
    <t>menu for the date 2/17 Tusday, 1st shift</t>
  </si>
  <si>
    <t>menu for the date 2/18 Wednesday, 1st shift</t>
  </si>
  <si>
    <t>menu for the date 2/19 Thursday, 1st shift</t>
  </si>
  <si>
    <t>menu for the date 2/20 Friday, 1st shift</t>
  </si>
  <si>
    <t>menu for the date 2/22 Sunday</t>
  </si>
  <si>
    <t>menu for the date 2/23 Monday, 1st shift</t>
  </si>
  <si>
    <t>menu for the date 2/24 Tusday, 1st shift</t>
  </si>
  <si>
    <t>menu for the date 2/25 Wednesday, 1st shift</t>
  </si>
  <si>
    <t>menu for the date 2/26 Thursday, 1st shift</t>
  </si>
  <si>
    <t>menu for the date 2/27 Friday, 1st shift</t>
  </si>
  <si>
    <t>Голубцы  FF</t>
  </si>
  <si>
    <t xml:space="preserve">Голубцы Гр  </t>
  </si>
  <si>
    <t xml:space="preserve">Голубцы Паста  </t>
  </si>
  <si>
    <t xml:space="preserve">Бл. твор Паста  </t>
  </si>
  <si>
    <t xml:space="preserve">Гуляш Паста  </t>
  </si>
  <si>
    <t xml:space="preserve">Жульен Паста  </t>
  </si>
  <si>
    <t>Св. отбив   Картошка</t>
  </si>
  <si>
    <t>Голубцы Фасоль</t>
  </si>
  <si>
    <t>крылья Фасоль</t>
  </si>
  <si>
    <t>menu for the date 3/1 Sunday</t>
  </si>
  <si>
    <t>menu for the date 3/2 Monday, 1st shift</t>
  </si>
  <si>
    <t>menu for the date 3/9 Monday, 1st shift</t>
  </si>
  <si>
    <t>menu for the date 3/10 Tusday, 1st shift</t>
  </si>
  <si>
    <t>menu for the date 4/1 Wednesday, 1st shift</t>
  </si>
  <si>
    <t>menu for the date 3/11 Wednesday, 1st shift</t>
  </si>
  <si>
    <t>menu for the date 4/2 Thursday, 1st shift</t>
  </si>
  <si>
    <t>menu for the date 3/12 Thursday, 1st shift</t>
  </si>
  <si>
    <t>menu for the date 4/3 Friday, 1st shift</t>
  </si>
  <si>
    <t>menu for the date 3/13 Friday, 1st shift</t>
  </si>
  <si>
    <t>menu for the date 4/5 Sunday</t>
  </si>
  <si>
    <t>menu for the date 3/15 Sunday</t>
  </si>
  <si>
    <t>menu for the date 4/6 Monday, 1st shift</t>
  </si>
  <si>
    <t>menu for the date 4/7 Tusday, 1st shift</t>
  </si>
  <si>
    <t>menu for the date 3/16 Monday, 1st shift</t>
  </si>
  <si>
    <t>menu for the date 4/8 Wednesday, 1st shift</t>
  </si>
  <si>
    <t>menu for the date 3/17 Tusday, 1st shift</t>
  </si>
  <si>
    <t>menu for the date 4/9 Thursday, 1st shift</t>
  </si>
  <si>
    <t>menu for the date 4/10 Friday, 1st shift</t>
  </si>
  <si>
    <t>menu for the date 3/18 Wednesday, 1st shift</t>
  </si>
  <si>
    <t>menu for the date 4/13 Monday, 1st shift</t>
  </si>
  <si>
    <t>menu for the date 4/14 Tusday, 1st shift</t>
  </si>
  <si>
    <t>menu for the date 3/19 Thursday, 1st shift</t>
  </si>
  <si>
    <t>menu for the date 4/15 Wednesday, 1st shift</t>
  </si>
  <si>
    <t>menu for the date 4/16 Thursday, 1st shift</t>
  </si>
  <si>
    <t>menu for the date 3/20 Friday, 1st shift</t>
  </si>
  <si>
    <t>menu for the date 4/17 Friday, 1st shift</t>
  </si>
  <si>
    <t>menu for the date 3/22 Sunday</t>
  </si>
  <si>
    <t>menu for the date 4/19 Sunday</t>
  </si>
  <si>
    <t>menu for the date 3/23 Monday, 1st shift</t>
  </si>
  <si>
    <t>menu for the date 4/20 Monday, 1st shift</t>
  </si>
  <si>
    <t>menu for the date 4/28 Tusday, 1st shift</t>
  </si>
  <si>
    <t xml:space="preserve">menu for the date 3/24 Tusday, 1st shift                </t>
  </si>
  <si>
    <t>menu for the date 4/29 Wednesday, 1st shift</t>
  </si>
  <si>
    <t>menu for the date 4/30 Thursday, 1st shift</t>
  </si>
  <si>
    <t>menu for the date 3/25 Wednesday, 1st shift</t>
  </si>
  <si>
    <t>menu for the date 3/26 Thursday, 1st shift</t>
  </si>
  <si>
    <t>menu for the date 3/27 Friday, 1st shift</t>
  </si>
  <si>
    <t>menu for the date 3/29 Sunday</t>
  </si>
  <si>
    <t>menu for the date 3/30 Monday, 1st shift</t>
  </si>
  <si>
    <t>menu for the date 3/31 Tusday, 1st shift</t>
  </si>
  <si>
    <t>Кур  Дорадо</t>
  </si>
  <si>
    <t xml:space="preserve">Терияки </t>
  </si>
  <si>
    <t>Чалахач Гр</t>
  </si>
  <si>
    <t>menu for the date 5/1 Friday, 1st shift</t>
  </si>
  <si>
    <t>menu for the date 5/3 Sunday</t>
  </si>
  <si>
    <t>menu for the date 5/4 Monday, 1st shift</t>
  </si>
  <si>
    <t>menu for the date 5/5 Tusday, 1st shift</t>
  </si>
  <si>
    <t>menu for the date 5/6 Wednesday, 1st shift</t>
  </si>
  <si>
    <t>menu for the date 5/7 Thursday, 1st shift</t>
  </si>
  <si>
    <t>menu for the date 5/8 Friday, 1st shift</t>
  </si>
  <si>
    <t>menu for the date 5/10 Sunday</t>
  </si>
  <si>
    <t>menu for the date 5/11 Monday, 1st shift</t>
  </si>
  <si>
    <t>menu for the date 5/12 Tusday, 1st shift</t>
  </si>
  <si>
    <t>menu for the date 5/13 Wednesday, 1st shift</t>
  </si>
  <si>
    <t>menu for the date 5/14 Thursday, 1st shift</t>
  </si>
  <si>
    <t>menu for the date 5/15 Friday, 1st shift</t>
  </si>
  <si>
    <t>menu for the date 5/17 Sunday</t>
  </si>
  <si>
    <t>menu for the date 5/18 Monday, 1st shift</t>
  </si>
  <si>
    <t>menu for the date 5/19 Tusday, 1st shift</t>
  </si>
  <si>
    <t>menu for the date 5/20 Wednesday, 1st shift</t>
  </si>
  <si>
    <t>menu for the date 5/21 Thursday, 1st shift</t>
  </si>
  <si>
    <t>menu for the date 5/22 Friday, 1st shift</t>
  </si>
  <si>
    <t>menu for the date 5/24 Sunday</t>
  </si>
  <si>
    <t>menu for the date 5/25 Monday, 1st shift</t>
  </si>
  <si>
    <t>menu for the date 5/26 Tusday, 1st shift</t>
  </si>
  <si>
    <t>menu for the date 5/27 Wednesday, 1st shift</t>
  </si>
  <si>
    <t>menu for the date 5/28 Thursday, 1st shift</t>
  </si>
  <si>
    <t>menu for the date 5/29 Friday, 1st shift</t>
  </si>
  <si>
    <t>menu for the date 5/31 Sunday</t>
  </si>
  <si>
    <t>menu for the date 6/1 Monday, 1st shift</t>
  </si>
  <si>
    <t>menu for the date 6/2 Tusday, 1st shift</t>
  </si>
  <si>
    <t>menu for the date 6/3 Wednesday, 1st shift</t>
  </si>
  <si>
    <t>menu for the date 6/4 Thursday, 1st shift</t>
  </si>
  <si>
    <t>menu for the date 6/5 Friday, 1st shift</t>
  </si>
  <si>
    <t>menu for the date 6/7 Sunday</t>
  </si>
  <si>
    <t>menu for the date 6/8 Monday, 1st shift</t>
  </si>
  <si>
    <t>menu for the date 6/9 Tusday, 1st shift</t>
  </si>
  <si>
    <t>menu for the date 6/10 Wednesday, 1st shift</t>
  </si>
  <si>
    <t>menu for the date 6/11 Thursday, 1st shift</t>
  </si>
  <si>
    <t>menu for the date 6/12 Friday, 1st shift</t>
  </si>
  <si>
    <t>menu for the date 6/14 Sunday</t>
  </si>
  <si>
    <t>menu for the date 6/15 Monday, 1st shift</t>
  </si>
  <si>
    <t>menu for the date 6/16 Tusday, 1st shift</t>
  </si>
  <si>
    <t xml:space="preserve">menu for the date 6/17 Wednesday, 1st shift                        </t>
  </si>
  <si>
    <t xml:space="preserve">menu for the date 6/18 Thursday, 1st shift                    </t>
  </si>
  <si>
    <t xml:space="preserve">menu for the date 6/19 Friday, 1st shift             </t>
  </si>
  <si>
    <t xml:space="preserve">menu for the date 6/21 Sunday         </t>
  </si>
  <si>
    <t xml:space="preserve">menu for the date 6/22 Monday, 1st shift          </t>
  </si>
  <si>
    <t>menu for the date 6/23 Tusday, 1st shift</t>
  </si>
  <si>
    <t>menu for the date 6/24 Wednesday, 1st shift</t>
  </si>
  <si>
    <t>menu for the date 6/25 Thursday, 1st shift</t>
  </si>
  <si>
    <t>menu for the date 6/26 Friday, 1st shift</t>
  </si>
  <si>
    <t>menu for the date 6/28 Sunday</t>
  </si>
  <si>
    <t>menu for the date 6/29 Monday, 1st shift</t>
  </si>
  <si>
    <t>menu for the date 6/30 Tusday, 1st shift</t>
  </si>
  <si>
    <t>Бл. мясо Картошка</t>
  </si>
  <si>
    <t>Бл. твор Туш. кап.</t>
  </si>
  <si>
    <t>Чебуреки  Туш. кап.</t>
  </si>
  <si>
    <t>Бл. твор Фасоль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</si>
</sst>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sz val="16.0"/>
      <color theme="1"/>
      <name val="Calibri"/>
    </font>
    <font>
      <b/>
      <sz val="14.0"/>
      <color rgb="FF000000"/>
      <name val="Arial"/>
    </font>
    <font>
      <sz val="16.0"/>
      <color rgb="FF000000"/>
      <name val="Calibri"/>
    </font>
    <font>
      <sz val="18.0"/>
      <color theme="1"/>
      <name val="Calibri"/>
    </font>
    <font>
      <i/>
      <sz val="18.0"/>
      <color theme="1"/>
      <name val="Calibri"/>
    </font>
    <font>
      <sz val="14.0"/>
      <color theme="1"/>
      <name val="Arial"/>
    </font>
    <font>
      <i/>
      <sz val="12.0"/>
      <color theme="1"/>
      <name val="Calibri"/>
    </font>
    <font>
      <b/>
      <sz val="14.0"/>
      <color theme="1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sz val="18.0"/>
      <color rgb="FF000000"/>
      <name val="Calibri"/>
    </font>
    <font>
      <b/>
      <sz val="18.0"/>
      <color rgb="FF000000"/>
      <name val="Calibri"/>
    </font>
    <font>
      <b/>
      <sz val="18.0"/>
      <color theme="1"/>
      <name val="Calibri"/>
    </font>
    <font>
      <b/>
      <i/>
      <sz val="12.0"/>
      <color theme="1"/>
      <name val="Calibri"/>
    </font>
    <font>
      <b/>
      <i/>
      <sz val="18.0"/>
      <color theme="1"/>
      <name val="Calibri"/>
    </font>
    <font>
      <sz val="11.0"/>
      <color rgb="FF000000"/>
      <name val="Inconsolata"/>
    </font>
    <font>
      <b/>
      <sz val="11.0"/>
      <color rgb="FF000000"/>
      <name val="Inconsolata"/>
    </font>
    <font>
      <b/>
      <color theme="1"/>
      <name val="Arial"/>
      <scheme val="minor"/>
    </font>
    <font>
      <i/>
      <sz val="12.0"/>
      <color rgb="FF000000"/>
      <name val="Calibri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sz val="18.0"/>
      <color rgb="FF000000"/>
      <name val="Calibri"/>
    </font>
    <font>
      <i/>
      <sz val="14.0"/>
      <color theme="1"/>
      <name val="Arial"/>
    </font>
    <font>
      <sz val="16.0"/>
      <color rgb="FF1F1F1F"/>
      <name val="Calibri"/>
    </font>
    <font>
      <sz val="11.0"/>
      <color theme="1"/>
      <name val="Calibri"/>
    </font>
    <font>
      <color theme="1"/>
      <name val="Calibri"/>
    </font>
    <font>
      <sz val="12.0"/>
      <color rgb="FF000000"/>
      <name val="Calibri"/>
    </font>
    <font>
      <i/>
      <sz val="18.0"/>
      <color rgb="FF000000"/>
      <name val="Calibri"/>
    </font>
    <font>
      <i/>
      <sz val="18.0"/>
      <color rgb="FF1F1F1F"/>
      <name val="Calibri"/>
    </font>
    <font>
      <sz val="10.0"/>
      <color theme="1"/>
      <name val="Calibri"/>
    </font>
    <font>
      <sz val="14.0"/>
      <color rgb="FF000000"/>
      <name val="Arial"/>
    </font>
    <font>
      <sz val="14.0"/>
      <color theme="1"/>
      <name val="Calibri"/>
    </font>
    <font>
      <sz val="12.0"/>
      <color theme="1"/>
      <name val="Calibri"/>
    </font>
    <font>
      <sz val="12.0"/>
      <color theme="1"/>
      <name val="Arial"/>
      <scheme val="minor"/>
    </font>
    <font>
      <sz val="14.0"/>
      <color rgb="FF000000"/>
      <name val="Calibri"/>
    </font>
    <font>
      <b/>
      <sz val="18.0"/>
      <color rgb="FF000000"/>
      <name val="Arial"/>
    </font>
    <font>
      <b/>
      <sz val="18.0"/>
      <color theme="1"/>
      <name val="Arial"/>
    </font>
    <font>
      <i/>
      <sz val="14.0"/>
      <color rgb="FF000000"/>
      <name val="Arial"/>
    </font>
    <font>
      <b/>
      <sz val="12.0"/>
      <color theme="1"/>
      <name val="Arial"/>
    </font>
    <font>
      <sz val="18.0"/>
      <color rgb="FF1F1F1F"/>
      <name val="Calibri"/>
    </font>
    <font>
      <i/>
      <sz val="12.0"/>
      <color theme="1"/>
      <name val="Arial"/>
      <scheme val="minor"/>
    </font>
    <font>
      <i/>
      <sz val="10.0"/>
      <color theme="1"/>
      <name val="Calibri"/>
    </font>
    <font>
      <i/>
      <color theme="1"/>
      <name val="Calibri"/>
    </font>
    <font>
      <i/>
      <color theme="1"/>
      <name val="Arial"/>
    </font>
    <font>
      <sz val="10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20.0"/>
      <color theme="1"/>
      <name val="Calibri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left" readingOrder="0" vertical="bottom"/>
    </xf>
    <xf borderId="0" fillId="2" fontId="3" numFmtId="0" xfId="0" applyAlignment="1" applyFont="1">
      <alignment vertical="bottom"/>
    </xf>
    <xf borderId="1" fillId="2" fontId="4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0" fontId="6" numFmtId="0" xfId="0" applyBorder="1" applyFont="1"/>
    <xf borderId="0" fillId="2" fontId="4" numFmtId="0" xfId="0" applyAlignment="1" applyFont="1">
      <alignment vertical="bottom"/>
    </xf>
    <xf borderId="0" fillId="2" fontId="7" numFmtId="0" xfId="0" applyAlignment="1" applyFont="1">
      <alignment vertical="bottom"/>
    </xf>
    <xf borderId="1" fillId="2" fontId="8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0" fillId="2" fontId="9" numFmtId="0" xfId="0" applyFont="1"/>
    <xf borderId="1" fillId="0" fontId="10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7" numFmtId="0" xfId="0" applyFont="1"/>
    <xf borderId="0" fillId="2" fontId="11" numFmtId="0" xfId="0" applyFont="1"/>
    <xf borderId="0" fillId="2" fontId="5" numFmtId="0" xfId="0" applyFont="1"/>
    <xf borderId="1" fillId="2" fontId="3" numFmtId="0" xfId="0" applyAlignment="1" applyBorder="1" applyFont="1">
      <alignment readingOrder="0"/>
    </xf>
    <xf borderId="1" fillId="2" fontId="12" numFmtId="0" xfId="0" applyAlignment="1" applyBorder="1" applyFont="1">
      <alignment readingOrder="0" shrinkToFit="0" vertical="bottom" wrapText="0"/>
    </xf>
    <xf borderId="1" fillId="2" fontId="13" numFmtId="0" xfId="0" applyAlignment="1" applyBorder="1" applyFont="1">
      <alignment readingOrder="0" shrinkToFit="0" vertical="bottom" wrapText="0"/>
    </xf>
    <xf borderId="1" fillId="2" fontId="14" numFmtId="0" xfId="0" applyAlignment="1" applyBorder="1" applyFont="1">
      <alignment readingOrder="0" vertical="bottom"/>
    </xf>
    <xf borderId="0" fillId="2" fontId="15" numFmtId="0" xfId="0" applyFont="1"/>
    <xf borderId="0" fillId="2" fontId="1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2" fontId="16" numFmtId="0" xfId="0" applyAlignment="1" applyBorder="1" applyFont="1">
      <alignment readingOrder="0" vertical="bottom"/>
    </xf>
    <xf borderId="1" fillId="2" fontId="14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2" fontId="16" numFmtId="0" xfId="0" applyAlignment="1" applyBorder="1" applyFont="1">
      <alignment vertical="bottom"/>
    </xf>
    <xf borderId="1" fillId="2" fontId="17" numFmtId="0" xfId="0" applyAlignment="1" applyBorder="1" applyFont="1">
      <alignment readingOrder="0"/>
    </xf>
    <xf borderId="1" fillId="2" fontId="6" numFmtId="0" xfId="0" applyBorder="1" applyFont="1"/>
    <xf borderId="0" fillId="2" fontId="18" numFmtId="0" xfId="0" applyFont="1"/>
    <xf borderId="1" fillId="2" fontId="12" numFmtId="0" xfId="0" applyAlignment="1" applyBorder="1" applyFont="1">
      <alignment vertical="bottom"/>
    </xf>
    <xf borderId="1" fillId="2" fontId="3" numFmtId="0" xfId="0" applyAlignment="1" applyBorder="1" applyFont="1">
      <alignment horizontal="left" readingOrder="0"/>
    </xf>
    <xf borderId="0" fillId="2" fontId="19" numFmtId="0" xfId="0" applyFont="1"/>
    <xf borderId="1" fillId="2" fontId="15" numFmtId="0" xfId="0" applyAlignment="1" applyBorder="1" applyFont="1">
      <alignment vertical="bottom"/>
    </xf>
    <xf borderId="0" fillId="2" fontId="20" numFmtId="0" xfId="0" applyFont="1"/>
    <xf borderId="0" fillId="2" fontId="3" numFmtId="0" xfId="0" applyAlignment="1" applyFont="1">
      <alignment readingOrder="0"/>
    </xf>
    <xf borderId="1" fillId="2" fontId="4" numFmtId="0" xfId="0" applyAlignment="1" applyBorder="1" applyFont="1">
      <alignment readingOrder="0" vertical="bottom"/>
    </xf>
    <xf borderId="0" fillId="2" fontId="16" numFmtId="0" xfId="0" applyFont="1"/>
    <xf borderId="1" fillId="2" fontId="5" numFmtId="0" xfId="0" applyAlignment="1" applyBorder="1" applyFont="1">
      <alignment readingOrder="0" vertical="bottom"/>
    </xf>
    <xf borderId="1" fillId="2" fontId="5" numFmtId="1" xfId="0" applyAlignment="1" applyBorder="1" applyFont="1" applyNumberFormat="1">
      <alignment readingOrder="0" vertical="bottom"/>
    </xf>
    <xf borderId="1" fillId="2" fontId="4" numFmtId="1" xfId="0" applyAlignment="1" applyBorder="1" applyFont="1" applyNumberFormat="1">
      <alignment readingOrder="0" vertical="bottom"/>
    </xf>
    <xf borderId="1" fillId="0" fontId="21" numFmtId="0" xfId="0" applyAlignment="1" applyBorder="1" applyFont="1">
      <alignment readingOrder="0"/>
    </xf>
    <xf borderId="1" fillId="2" fontId="22" numFmtId="0" xfId="0" applyBorder="1" applyFont="1"/>
    <xf borderId="1" fillId="2" fontId="23" numFmtId="0" xfId="0" applyAlignment="1" applyBorder="1" applyFont="1">
      <alignment readingOrder="0" vertical="bottom"/>
    </xf>
    <xf borderId="1" fillId="2" fontId="24" numFmtId="0" xfId="0" applyBorder="1" applyFont="1"/>
    <xf borderId="1" fillId="2" fontId="20" numFmtId="0" xfId="0" applyBorder="1" applyFont="1"/>
    <xf borderId="1" fillId="2" fontId="20" numFmtId="0" xfId="0" applyAlignment="1" applyBorder="1" applyFont="1">
      <alignment readingOrder="0" vertical="bottom"/>
    </xf>
    <xf borderId="0" fillId="2" fontId="7" numFmtId="0" xfId="0" applyAlignment="1" applyFont="1">
      <alignment readingOrder="0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2" fillId="2" fontId="5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2" fontId="2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3" fillId="2" fontId="3" numFmtId="0" xfId="0" applyAlignment="1" applyBorder="1" applyFont="1">
      <alignment readingOrder="0"/>
    </xf>
    <xf borderId="1" fillId="2" fontId="25" numFmtId="0" xfId="0" applyAlignment="1" applyBorder="1" applyFont="1">
      <alignment readingOrder="0" vertical="bottom"/>
    </xf>
    <xf borderId="1" fillId="2" fontId="4" numFmtId="0" xfId="0" applyBorder="1" applyFont="1"/>
    <xf borderId="1" fillId="0" fontId="1" numFmtId="0" xfId="0" applyAlignment="1" applyBorder="1" applyFont="1">
      <alignment vertical="bottom"/>
    </xf>
    <xf borderId="1" fillId="2" fontId="4" numFmtId="1" xfId="0" applyAlignment="1" applyBorder="1" applyFont="1" applyNumberFormat="1">
      <alignment readingOrder="0"/>
    </xf>
    <xf borderId="0" fillId="2" fontId="11" numFmtId="1" xfId="0" applyFont="1" applyNumberFormat="1"/>
    <xf borderId="0" fillId="0" fontId="26" numFmtId="0" xfId="0" applyAlignment="1" applyFont="1">
      <alignment vertical="bottom"/>
    </xf>
    <xf borderId="1" fillId="2" fontId="23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readingOrder="0"/>
    </xf>
    <xf borderId="0" fillId="2" fontId="26" numFmtId="0" xfId="0" applyAlignment="1" applyFont="1">
      <alignment vertical="bottom"/>
    </xf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2" fillId="2" fontId="23" numFmtId="0" xfId="0" applyAlignment="1" applyBorder="1" applyFont="1">
      <alignment shrinkToFit="0" vertical="bottom" wrapText="1"/>
    </xf>
    <xf borderId="0" fillId="0" fontId="27" numFmtId="0" xfId="0" applyFont="1"/>
    <xf borderId="1" fillId="2" fontId="4" numFmtId="1" xfId="0" applyAlignment="1" applyBorder="1" applyFont="1" applyNumberFormat="1">
      <alignment vertical="bottom"/>
    </xf>
    <xf borderId="0" fillId="2" fontId="28" numFmtId="0" xfId="0" applyAlignment="1" applyFont="1">
      <alignment readingOrder="0" shrinkToFit="0" vertical="bottom" wrapText="0"/>
    </xf>
    <xf borderId="2" fillId="2" fontId="23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readingOrder="0" vertical="bottom"/>
    </xf>
    <xf borderId="0" fillId="2" fontId="11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readingOrder="0"/>
    </xf>
    <xf borderId="0" fillId="2" fontId="25" numFmtId="0" xfId="0" applyAlignment="1" applyFont="1">
      <alignment readingOrder="0"/>
    </xf>
    <xf borderId="1" fillId="2" fontId="23" numFmtId="0" xfId="0" applyAlignment="1" applyBorder="1" applyFont="1">
      <alignment readingOrder="0"/>
    </xf>
    <xf borderId="1" fillId="2" fontId="25" numFmtId="0" xfId="0" applyAlignment="1" applyBorder="1" applyFont="1">
      <alignment readingOrder="0"/>
    </xf>
    <xf borderId="1" fillId="3" fontId="5" numFmtId="1" xfId="0" applyAlignment="1" applyBorder="1" applyFill="1" applyFont="1" applyNumberFormat="1">
      <alignment readingOrder="0" vertical="bottom"/>
    </xf>
    <xf borderId="1" fillId="2" fontId="6" numFmtId="0" xfId="0" applyAlignment="1" applyBorder="1" applyFont="1">
      <alignment vertical="bottom"/>
    </xf>
    <xf borderId="1" fillId="0" fontId="11" numFmtId="0" xfId="0" applyBorder="1" applyFont="1"/>
    <xf borderId="1" fillId="2" fontId="24" numFmtId="0" xfId="0" applyAlignment="1" applyBorder="1" applyFont="1">
      <alignment vertical="bottom"/>
    </xf>
    <xf borderId="1" fillId="2" fontId="4" numFmtId="0" xfId="0" applyAlignment="1" applyBorder="1" applyFont="1">
      <alignment readingOrder="0" shrinkToFit="0" vertical="bottom" wrapText="1"/>
    </xf>
    <xf borderId="1" fillId="2" fontId="29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2" fontId="30" numFmtId="0" xfId="0" applyAlignment="1" applyBorder="1" applyFont="1">
      <alignment readingOrder="0"/>
    </xf>
    <xf borderId="0" fillId="2" fontId="6" numFmtId="0" xfId="0" applyFont="1"/>
    <xf borderId="0" fillId="2" fontId="4" numFmtId="0" xfId="0" applyAlignment="1" applyFont="1">
      <alignment readingOrder="0" vertical="bottom"/>
    </xf>
    <xf borderId="0" fillId="2" fontId="4" numFmtId="1" xfId="0" applyAlignment="1" applyFont="1" applyNumberFormat="1">
      <alignment readingOrder="0" vertical="bottom"/>
    </xf>
    <xf borderId="1" fillId="2" fontId="23" numFmtId="0" xfId="0" applyAlignment="1" applyBorder="1" applyFont="1">
      <alignment horizontal="left" readingOrder="0" vertical="bottom"/>
    </xf>
    <xf borderId="4" fillId="2" fontId="5" numFmtId="1" xfId="0" applyAlignment="1" applyBorder="1" applyFont="1" applyNumberFormat="1">
      <alignment readingOrder="0" vertical="bottom"/>
    </xf>
    <xf borderId="1" fillId="2" fontId="5" numFmtId="0" xfId="0" applyAlignment="1" applyBorder="1" applyFont="1">
      <alignment shrinkToFit="0" vertical="bottom" wrapText="1"/>
    </xf>
    <xf borderId="0" fillId="0" fontId="19" numFmtId="0" xfId="0" applyAlignment="1" applyFont="1">
      <alignment readingOrder="0"/>
    </xf>
    <xf borderId="0" fillId="2" fontId="4" numFmtId="0" xfId="0" applyAlignment="1" applyFont="1">
      <alignment vertical="bottom"/>
    </xf>
    <xf borderId="1" fillId="2" fontId="5" numFmtId="0" xfId="0" applyAlignment="1" applyBorder="1" applyFont="1">
      <alignment readingOrder="0" shrinkToFit="0" vertical="bottom" wrapText="1"/>
    </xf>
    <xf borderId="0" fillId="2" fontId="17" numFmtId="0" xfId="0" applyFont="1"/>
    <xf borderId="0" fillId="0" fontId="11" numFmtId="0" xfId="0" applyFont="1"/>
    <xf borderId="1" fillId="2" fontId="31" numFmtId="0" xfId="0" applyAlignment="1" applyBorder="1" applyFont="1">
      <alignment readingOrder="0" vertical="bottom"/>
    </xf>
    <xf borderId="0" fillId="2" fontId="23" numFmtId="0" xfId="0" applyAlignment="1" applyFont="1">
      <alignment readingOrder="0" shrinkToFit="0" vertical="bottom" wrapText="1"/>
    </xf>
    <xf borderId="0" fillId="4" fontId="11" numFmtId="0" xfId="0" applyAlignment="1" applyFill="1" applyFont="1">
      <alignment readingOrder="0"/>
    </xf>
    <xf borderId="1" fillId="2" fontId="32" numFmtId="0" xfId="0" applyBorder="1" applyFont="1"/>
    <xf borderId="0" fillId="2" fontId="33" numFmtId="0" xfId="0" applyAlignment="1" applyFont="1">
      <alignment vertical="bottom"/>
    </xf>
    <xf borderId="0" fillId="2" fontId="34" numFmtId="0" xfId="0" applyAlignment="1" applyFont="1">
      <alignment vertical="bottom"/>
    </xf>
    <xf borderId="0" fillId="2" fontId="34" numFmtId="0" xfId="0" applyFont="1"/>
    <xf borderId="0" fillId="2" fontId="35" numFmtId="0" xfId="0" applyFont="1"/>
    <xf borderId="0" fillId="2" fontId="4" numFmtId="0" xfId="0" applyFont="1"/>
    <xf borderId="0" fillId="2" fontId="13" numFmtId="0" xfId="0" applyAlignment="1" applyFont="1">
      <alignment horizontal="left" readingOrder="0" vertical="bottom"/>
    </xf>
    <xf borderId="0" fillId="2" fontId="23" numFmtId="0" xfId="0" applyAlignment="1" applyFont="1">
      <alignment horizontal="center" vertical="bottom"/>
    </xf>
    <xf borderId="0" fillId="2" fontId="36" numFmtId="0" xfId="0" applyAlignment="1" applyFont="1">
      <alignment horizontal="center" vertical="bottom"/>
    </xf>
    <xf borderId="1" fillId="2" fontId="26" numFmtId="0" xfId="0" applyAlignment="1" applyBorder="1" applyFont="1">
      <alignment vertical="bottom"/>
    </xf>
    <xf borderId="1" fillId="2" fontId="33" numFmtId="0" xfId="0" applyAlignment="1" applyBorder="1" applyFont="1">
      <alignment vertical="bottom"/>
    </xf>
    <xf borderId="1" fillId="2" fontId="37" numFmtId="0" xfId="0" applyAlignment="1" applyBorder="1" applyFont="1">
      <alignment vertical="bottom"/>
    </xf>
    <xf borderId="1" fillId="2" fontId="28" numFmtId="0" xfId="0" applyBorder="1" applyFont="1"/>
    <xf borderId="1" fillId="2" fontId="34" numFmtId="0" xfId="0" applyAlignment="1" applyBorder="1" applyFont="1">
      <alignment vertical="bottom"/>
    </xf>
    <xf borderId="0" fillId="2" fontId="28" numFmtId="0" xfId="0" applyFont="1"/>
    <xf borderId="1" fillId="2" fontId="38" numFmtId="0" xfId="0" applyAlignment="1" applyBorder="1" applyFont="1">
      <alignment vertical="bottom"/>
    </xf>
    <xf borderId="1" fillId="2" fontId="39" numFmtId="0" xfId="0" applyBorder="1" applyFont="1"/>
    <xf borderId="1" fillId="2" fontId="8" numFmtId="0" xfId="0" applyAlignment="1" applyBorder="1" applyFont="1">
      <alignment vertical="bottom"/>
    </xf>
    <xf borderId="1" fillId="2" fontId="40" numFmtId="0" xfId="0" applyAlignment="1" applyBorder="1" applyFont="1">
      <alignment vertical="bottom"/>
    </xf>
    <xf borderId="1" fillId="2" fontId="28" numFmtId="0" xfId="0" applyAlignment="1" applyBorder="1" applyFont="1">
      <alignment readingOrder="0" vertical="bottom"/>
    </xf>
    <xf borderId="2" fillId="2" fontId="4" numFmtId="1" xfId="0" applyAlignment="1" applyBorder="1" applyFont="1" applyNumberFormat="1">
      <alignment readingOrder="0" vertical="bottom"/>
    </xf>
    <xf borderId="1" fillId="2" fontId="28" numFmtId="0" xfId="0" applyAlignment="1" applyBorder="1" applyFont="1">
      <alignment vertical="bottom"/>
    </xf>
    <xf borderId="1" fillId="3" fontId="4" numFmtId="1" xfId="0" applyAlignment="1" applyBorder="1" applyFont="1" applyNumberFormat="1">
      <alignment readingOrder="0" vertical="bottom"/>
    </xf>
    <xf borderId="1" fillId="2" fontId="4" numFmtId="0" xfId="0" applyAlignment="1" applyBorder="1" applyFont="1">
      <alignment shrinkToFit="0" vertical="bottom" wrapText="1"/>
    </xf>
    <xf borderId="1" fillId="2" fontId="34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2" fontId="5" numFmtId="0" xfId="0" applyAlignment="1" applyBorder="1" applyFont="1">
      <alignment shrinkToFit="0" vertical="bottom" wrapText="1"/>
    </xf>
    <xf borderId="1" fillId="2" fontId="41" numFmtId="0" xfId="0" applyAlignment="1" applyBorder="1" applyFont="1">
      <alignment readingOrder="0"/>
    </xf>
    <xf borderId="1" fillId="2" fontId="29" numFmtId="0" xfId="0" applyAlignment="1" applyBorder="1" applyFont="1">
      <alignment shrinkToFit="0" vertical="bottom" wrapText="1"/>
    </xf>
    <xf borderId="1" fillId="2" fontId="29" numFmtId="0" xfId="0" applyAlignment="1" applyBorder="1" applyFont="1">
      <alignment readingOrder="0" shrinkToFit="0" vertical="bottom" wrapText="1"/>
    </xf>
    <xf borderId="4" fillId="2" fontId="4" numFmtId="1" xfId="0" applyAlignment="1" applyBorder="1" applyFont="1" applyNumberFormat="1">
      <alignment readingOrder="0" vertical="bottom"/>
    </xf>
    <xf borderId="0" fillId="2" fontId="34" numFmtId="0" xfId="0" applyAlignment="1" applyFont="1">
      <alignment readingOrder="0"/>
    </xf>
    <xf borderId="1" fillId="2" fontId="9" numFmtId="0" xfId="0" applyBorder="1" applyFont="1"/>
    <xf borderId="1" fillId="2" fontId="23" numFmtId="0" xfId="0" applyAlignment="1" applyBorder="1" applyFont="1">
      <alignment horizontal="left" readingOrder="0"/>
    </xf>
    <xf borderId="0" fillId="2" fontId="42" numFmtId="0" xfId="0" applyFont="1"/>
    <xf borderId="0" fillId="0" fontId="9" numFmtId="0" xfId="0" applyFont="1"/>
    <xf borderId="1" fillId="2" fontId="43" numFmtId="0" xfId="0" applyAlignment="1" applyBorder="1" applyFont="1">
      <alignment readingOrder="0" vertical="bottom"/>
    </xf>
    <xf borderId="1" fillId="2" fontId="44" numFmtId="0" xfId="0" applyAlignment="1" applyBorder="1" applyFont="1">
      <alignment vertical="bottom"/>
    </xf>
    <xf borderId="1" fillId="2" fontId="5" numFmtId="1" xfId="0" applyAlignment="1" applyBorder="1" applyFont="1" applyNumberFormat="1">
      <alignment vertical="bottom"/>
    </xf>
    <xf borderId="1" fillId="2" fontId="45" numFmtId="1" xfId="0" applyAlignment="1" applyBorder="1" applyFont="1" applyNumberFormat="1">
      <alignment vertical="bottom"/>
    </xf>
    <xf borderId="2" fillId="2" fontId="5" numFmtId="1" xfId="0" applyAlignment="1" applyBorder="1" applyFont="1" applyNumberFormat="1">
      <alignment vertical="bottom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right" vertical="bottom"/>
    </xf>
    <xf borderId="1" fillId="2" fontId="27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2" fillId="2" fontId="10" numFmtId="1" xfId="0" applyAlignment="1" applyBorder="1" applyFont="1" applyNumberFormat="1">
      <alignment vertical="bottom"/>
    </xf>
    <xf borderId="1" fillId="2" fontId="11" numFmtId="0" xfId="0" applyBorder="1" applyFont="1"/>
    <xf borderId="1" fillId="2" fontId="46" numFmtId="0" xfId="0" applyAlignment="1" applyBorder="1" applyFont="1">
      <alignment horizontal="left" readingOrder="0" vertical="bottom"/>
    </xf>
    <xf borderId="1" fillId="2" fontId="27" numFmtId="0" xfId="0" applyAlignment="1" applyBorder="1" applyFont="1">
      <alignment vertical="bottom"/>
    </xf>
    <xf borderId="1" fillId="2" fontId="6" numFmtId="0" xfId="0" applyAlignment="1" applyBorder="1" applyFont="1">
      <alignment horizontal="right" vertical="bottom"/>
    </xf>
    <xf borderId="0" fillId="2" fontId="10" numFmtId="0" xfId="0" applyAlignment="1" applyFont="1">
      <alignment vertical="bottom"/>
    </xf>
    <xf borderId="1" fillId="2" fontId="47" numFmtId="0" xfId="0" applyAlignment="1" applyBorder="1" applyFont="1">
      <alignment vertical="bottom"/>
    </xf>
    <xf borderId="0" fillId="2" fontId="48" numFmtId="0" xfId="0" applyFont="1"/>
    <xf borderId="0" fillId="2" fontId="47" numFmtId="0" xfId="0" applyFont="1"/>
    <xf borderId="0" fillId="2" fontId="14" numFmtId="0" xfId="0" applyFont="1"/>
    <xf borderId="0" fillId="2" fontId="34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1" fillId="2" fontId="23" numFmtId="0" xfId="0" applyAlignment="1" applyBorder="1" applyFont="1">
      <alignment shrinkToFit="0" vertical="bottom" wrapText="1"/>
    </xf>
    <xf borderId="1" fillId="2" fontId="34" numFmtId="0" xfId="0" applyAlignment="1" applyBorder="1" applyFont="1">
      <alignment readingOrder="0" vertical="bottom"/>
    </xf>
    <xf borderId="0" fillId="2" fontId="34" numFmtId="0" xfId="0" applyAlignment="1" applyFont="1">
      <alignment readingOrder="0" vertical="bottom"/>
    </xf>
    <xf borderId="1" fillId="4" fontId="46" numFmtId="0" xfId="0" applyAlignment="1" applyBorder="1" applyFont="1">
      <alignment readingOrder="0"/>
    </xf>
    <xf borderId="1" fillId="4" fontId="46" numFmtId="0" xfId="0" applyAlignment="1" applyBorder="1" applyFont="1">
      <alignment readingOrder="0" vertical="bottom"/>
    </xf>
    <xf borderId="0" fillId="2" fontId="14" numFmtId="0" xfId="0" applyAlignment="1" applyFont="1">
      <alignment readingOrder="0" vertical="bottom"/>
    </xf>
    <xf borderId="0" fillId="2" fontId="22" numFmtId="0" xfId="0" applyFont="1"/>
    <xf borderId="5" fillId="2" fontId="4" numFmtId="0" xfId="0" applyAlignment="1" applyBorder="1" applyFont="1">
      <alignment vertical="bottom"/>
    </xf>
    <xf borderId="2" fillId="2" fontId="4" numFmtId="1" xfId="0" applyAlignment="1" applyBorder="1" applyFont="1" applyNumberFormat="1">
      <alignment vertical="bottom"/>
    </xf>
    <xf borderId="1" fillId="2" fontId="23" numFmtId="0" xfId="0" applyBorder="1" applyFont="1"/>
    <xf borderId="1" fillId="2" fontId="36" numFmtId="0" xfId="0" applyAlignment="1" applyBorder="1" applyFont="1">
      <alignment readingOrder="0" vertical="bottom"/>
    </xf>
    <xf borderId="0" fillId="2" fontId="4" numFmtId="0" xfId="0" applyAlignment="1" applyFont="1">
      <alignment shrinkToFit="0" vertical="bottom" wrapText="1"/>
    </xf>
    <xf borderId="0" fillId="2" fontId="49" numFmtId="0" xfId="0" applyFont="1"/>
    <xf borderId="0" fillId="2" fontId="1" numFmtId="0" xfId="0" applyFont="1"/>
    <xf borderId="1" fillId="0" fontId="50" numFmtId="0" xfId="0" applyAlignment="1" applyBorder="1" applyFont="1">
      <alignment vertical="bottom"/>
    </xf>
    <xf borderId="1" fillId="2" fontId="32" numFmtId="0" xfId="0" applyAlignment="1" applyBorder="1" applyFont="1">
      <alignment horizontal="center" vertical="bottom"/>
    </xf>
    <xf borderId="1" fillId="2" fontId="50" numFmtId="0" xfId="0" applyBorder="1" applyFont="1"/>
    <xf borderId="0" fillId="0" fontId="11" numFmtId="0" xfId="0" applyAlignment="1" applyFont="1">
      <alignment readingOrder="0"/>
    </xf>
    <xf borderId="1" fillId="0" fontId="50" numFmtId="0" xfId="0" applyBorder="1" applyFont="1"/>
    <xf borderId="1" fillId="0" fontId="50" numFmtId="0" xfId="0" applyAlignment="1" applyBorder="1" applyFont="1">
      <alignment readingOrder="0"/>
    </xf>
    <xf borderId="0" fillId="2" fontId="6" numFmtId="0" xfId="0" applyAlignment="1" applyFont="1">
      <alignment horizontal="right" vertical="bottom"/>
    </xf>
    <xf borderId="1" fillId="2" fontId="10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28.13"/>
    <col customWidth="1" min="4" max="4" width="24.25"/>
    <col customWidth="1" min="5" max="5" width="17.88"/>
  </cols>
  <sheetData>
    <row r="1">
      <c r="A1" s="1" t="s">
        <v>1</v>
      </c>
      <c r="B1" s="3"/>
    </row>
    <row r="2">
      <c r="A2" s="12" t="s">
        <v>3</v>
      </c>
      <c r="B2" s="14" t="s">
        <v>5</v>
      </c>
      <c r="D2" s="17" t="s">
        <v>8</v>
      </c>
    </row>
    <row r="3">
      <c r="A3" s="12" t="s">
        <v>11</v>
      </c>
      <c r="B3" s="12" t="s">
        <v>12</v>
      </c>
    </row>
    <row r="4">
      <c r="A4" s="12" t="s">
        <v>14</v>
      </c>
      <c r="B4" s="21" t="s">
        <v>16</v>
      </c>
    </row>
    <row r="5">
      <c r="A5" s="14" t="s">
        <v>21</v>
      </c>
      <c r="B5" s="14" t="s">
        <v>23</v>
      </c>
      <c r="D5" s="12" t="s">
        <v>25</v>
      </c>
      <c r="E5" s="21" t="s">
        <v>26</v>
      </c>
      <c r="F5" s="12" t="s">
        <v>14</v>
      </c>
      <c r="G5" s="21" t="s">
        <v>16</v>
      </c>
    </row>
    <row r="6">
      <c r="A6" s="21" t="s">
        <v>31</v>
      </c>
      <c r="B6" s="21" t="s">
        <v>32</v>
      </c>
      <c r="D6" s="26" t="s">
        <v>34</v>
      </c>
      <c r="E6" s="27" t="s">
        <v>36</v>
      </c>
      <c r="F6" s="21" t="s">
        <v>39</v>
      </c>
      <c r="G6" s="21" t="s">
        <v>41</v>
      </c>
    </row>
    <row r="7">
      <c r="A7" s="31" t="s">
        <v>44</v>
      </c>
      <c r="B7" s="32" t="s">
        <v>47</v>
      </c>
      <c r="D7" s="12" t="s">
        <v>48</v>
      </c>
      <c r="E7" s="34" t="s">
        <v>49</v>
      </c>
      <c r="F7" s="12" t="s">
        <v>51</v>
      </c>
      <c r="G7" s="38" t="s">
        <v>52</v>
      </c>
    </row>
    <row r="8">
      <c r="A8" s="12" t="s">
        <v>55</v>
      </c>
      <c r="B8" s="12" t="s">
        <v>55</v>
      </c>
      <c r="D8" s="31" t="s">
        <v>56</v>
      </c>
      <c r="E8" s="32" t="s">
        <v>57</v>
      </c>
      <c r="F8" s="21" t="s">
        <v>31</v>
      </c>
      <c r="G8" s="42" t="s">
        <v>32</v>
      </c>
    </row>
    <row r="9">
      <c r="A9" s="31" t="s">
        <v>56</v>
      </c>
      <c r="B9" s="32" t="s">
        <v>57</v>
      </c>
      <c r="D9" s="12" t="s">
        <v>59</v>
      </c>
      <c r="E9" s="12" t="s">
        <v>61</v>
      </c>
      <c r="F9" s="31" t="s">
        <v>44</v>
      </c>
      <c r="G9" s="32" t="s">
        <v>47</v>
      </c>
    </row>
    <row r="10">
      <c r="A10" s="12" t="s">
        <v>62</v>
      </c>
      <c r="B10" s="21" t="s">
        <v>62</v>
      </c>
      <c r="D10" s="12" t="s">
        <v>63</v>
      </c>
      <c r="E10" s="21" t="s">
        <v>64</v>
      </c>
    </row>
    <row r="11">
      <c r="D11" s="31" t="s">
        <v>44</v>
      </c>
      <c r="E11" s="32" t="s">
        <v>47</v>
      </c>
    </row>
    <row r="12">
      <c r="D12" s="48" t="s">
        <v>68</v>
      </c>
      <c r="F12" s="12" t="s">
        <v>11</v>
      </c>
      <c r="G12" s="12" t="s">
        <v>12</v>
      </c>
    </row>
    <row r="13">
      <c r="D13" s="12" t="s">
        <v>14</v>
      </c>
      <c r="E13" s="21" t="s">
        <v>16</v>
      </c>
    </row>
    <row r="14">
      <c r="D14" s="31" t="s">
        <v>69</v>
      </c>
      <c r="E14" s="32" t="s">
        <v>70</v>
      </c>
    </row>
    <row r="17">
      <c r="C17" s="19"/>
    </row>
    <row r="18">
      <c r="C18" s="19"/>
      <c r="D18" s="17"/>
      <c r="E18" s="17"/>
    </row>
    <row r="19">
      <c r="C19" s="19"/>
      <c r="D19" s="12" t="s">
        <v>73</v>
      </c>
      <c r="E19" s="21" t="s">
        <v>75</v>
      </c>
      <c r="F19" s="27" t="s">
        <v>77</v>
      </c>
      <c r="G19" s="56" t="s">
        <v>78</v>
      </c>
    </row>
    <row r="20">
      <c r="A20" s="27" t="s">
        <v>77</v>
      </c>
      <c r="B20" s="56" t="s">
        <v>78</v>
      </c>
      <c r="C20" s="19"/>
      <c r="D20" s="26" t="s">
        <v>81</v>
      </c>
      <c r="E20" s="27" t="s">
        <v>82</v>
      </c>
      <c r="F20" s="58" t="s">
        <v>83</v>
      </c>
      <c r="G20" s="59" t="s">
        <v>85</v>
      </c>
    </row>
    <row r="21">
      <c r="A21" s="31" t="s">
        <v>86</v>
      </c>
      <c r="B21" s="60" t="s">
        <v>87</v>
      </c>
      <c r="C21" s="19"/>
      <c r="D21" s="61" t="s">
        <v>88</v>
      </c>
      <c r="E21" s="42" t="s">
        <v>89</v>
      </c>
    </row>
    <row r="22">
      <c r="A22" s="14" t="s">
        <v>90</v>
      </c>
      <c r="B22" s="14" t="s">
        <v>65</v>
      </c>
      <c r="C22" s="19"/>
      <c r="D22" s="31" t="s">
        <v>92</v>
      </c>
      <c r="E22" s="60" t="s">
        <v>93</v>
      </c>
      <c r="F22" s="32" t="s">
        <v>94</v>
      </c>
      <c r="G22" s="32" t="s">
        <v>95</v>
      </c>
    </row>
    <row r="23">
      <c r="A23" s="58" t="s">
        <v>83</v>
      </c>
      <c r="B23" s="59" t="s">
        <v>85</v>
      </c>
      <c r="C23" s="19"/>
      <c r="D23" s="58" t="s">
        <v>99</v>
      </c>
      <c r="E23" s="21" t="s">
        <v>101</v>
      </c>
      <c r="F23" s="58" t="s">
        <v>102</v>
      </c>
      <c r="G23" s="1" t="s">
        <v>103</v>
      </c>
    </row>
    <row r="24">
      <c r="A24" s="31" t="s">
        <v>104</v>
      </c>
      <c r="B24" s="60" t="s">
        <v>105</v>
      </c>
      <c r="C24" s="19"/>
      <c r="D24" s="32" t="s">
        <v>106</v>
      </c>
      <c r="E24" s="12" t="s">
        <v>107</v>
      </c>
      <c r="F24" s="58" t="s">
        <v>108</v>
      </c>
      <c r="G24" s="1" t="s">
        <v>110</v>
      </c>
    </row>
    <row r="25">
      <c r="A25" s="32" t="s">
        <v>94</v>
      </c>
      <c r="B25" s="32" t="s">
        <v>95</v>
      </c>
      <c r="C25" s="19"/>
      <c r="D25" s="14" t="s">
        <v>90</v>
      </c>
      <c r="E25" s="14" t="s">
        <v>65</v>
      </c>
      <c r="F25" s="56" t="s">
        <v>114</v>
      </c>
      <c r="G25" s="62" t="s">
        <v>71</v>
      </c>
    </row>
    <row r="26">
      <c r="A26" s="31" t="s">
        <v>116</v>
      </c>
      <c r="B26" s="56" t="s">
        <v>117</v>
      </c>
      <c r="C26" s="19"/>
      <c r="D26" s="64" t="s">
        <v>118</v>
      </c>
      <c r="E26" s="64" t="s">
        <v>118</v>
      </c>
      <c r="F26" s="14" t="s">
        <v>73</v>
      </c>
      <c r="G26" s="14" t="s">
        <v>120</v>
      </c>
    </row>
    <row r="27">
      <c r="C27" s="19"/>
      <c r="D27" s="60" t="s">
        <v>108</v>
      </c>
      <c r="E27" s="60" t="s">
        <v>121</v>
      </c>
    </row>
    <row r="28">
      <c r="D28" s="58" t="s">
        <v>83</v>
      </c>
      <c r="E28" s="59" t="s">
        <v>85</v>
      </c>
    </row>
    <row r="29">
      <c r="D29" s="31" t="s">
        <v>116</v>
      </c>
      <c r="E29" s="56" t="s">
        <v>117</v>
      </c>
    </row>
    <row r="30">
      <c r="A30" s="67"/>
      <c r="B30" s="67"/>
      <c r="D30" s="14" t="s">
        <v>73</v>
      </c>
      <c r="E30" s="14" t="s">
        <v>120</v>
      </c>
    </row>
    <row r="31">
      <c r="A31" s="67"/>
      <c r="B31" s="67"/>
      <c r="D31" s="32" t="s">
        <v>94</v>
      </c>
      <c r="E31" s="32" t="s">
        <v>95</v>
      </c>
    </row>
    <row r="32">
      <c r="A32" s="67"/>
      <c r="B32" s="67"/>
      <c r="D32" s="58" t="s">
        <v>128</v>
      </c>
      <c r="E32" s="12" t="s">
        <v>130</v>
      </c>
    </row>
    <row r="33">
      <c r="A33" s="70"/>
      <c r="B33" s="70"/>
    </row>
    <row r="34">
      <c r="A34" s="70"/>
      <c r="B34" s="70"/>
      <c r="E34" s="71" t="s">
        <v>132</v>
      </c>
      <c r="F34" s="21" t="s">
        <v>134</v>
      </c>
    </row>
    <row r="35">
      <c r="A35" s="70"/>
      <c r="B35" s="70"/>
    </row>
    <row r="36">
      <c r="A36" s="31" t="s">
        <v>135</v>
      </c>
      <c r="B36" s="12" t="s">
        <v>126</v>
      </c>
      <c r="C36" s="74"/>
      <c r="E36" s="31" t="s">
        <v>137</v>
      </c>
      <c r="F36" s="27" t="s">
        <v>138</v>
      </c>
      <c r="H36" s="32" t="s">
        <v>140</v>
      </c>
      <c r="K36" s="71" t="s">
        <v>141</v>
      </c>
      <c r="L36" s="14" t="s">
        <v>142</v>
      </c>
    </row>
    <row r="37">
      <c r="A37" s="12" t="s">
        <v>143</v>
      </c>
      <c r="B37" s="60" t="s">
        <v>67</v>
      </c>
      <c r="C37" s="74"/>
      <c r="E37" s="56" t="s">
        <v>144</v>
      </c>
      <c r="F37" s="32" t="s">
        <v>146</v>
      </c>
      <c r="K37" s="38" t="s">
        <v>147</v>
      </c>
      <c r="L37" s="38" t="s">
        <v>148</v>
      </c>
    </row>
    <row r="38">
      <c r="A38" s="78" t="s">
        <v>149</v>
      </c>
      <c r="B38" s="42" t="s">
        <v>150</v>
      </c>
      <c r="C38" s="74"/>
      <c r="E38" s="56" t="s">
        <v>152</v>
      </c>
      <c r="F38" s="12" t="s">
        <v>154</v>
      </c>
      <c r="H38" s="56" t="s">
        <v>155</v>
      </c>
      <c r="I38" s="60" t="s">
        <v>67</v>
      </c>
    </row>
    <row r="39">
      <c r="A39" s="12" t="s">
        <v>156</v>
      </c>
      <c r="B39" s="21" t="s">
        <v>157</v>
      </c>
      <c r="C39" s="74"/>
      <c r="E39" s="31"/>
      <c r="F39" s="31"/>
      <c r="H39" s="12"/>
      <c r="I39" s="21"/>
    </row>
    <row r="40">
      <c r="A40" s="21" t="s">
        <v>159</v>
      </c>
      <c r="B40" s="21" t="s">
        <v>161</v>
      </c>
      <c r="C40" s="74"/>
      <c r="E40" s="31" t="s">
        <v>162</v>
      </c>
      <c r="F40" s="31" t="s">
        <v>164</v>
      </c>
      <c r="H40" s="12" t="s">
        <v>149</v>
      </c>
      <c r="I40" s="21" t="s">
        <v>150</v>
      </c>
    </row>
    <row r="41">
      <c r="A41" s="31" t="s">
        <v>166</v>
      </c>
      <c r="B41" s="31" t="s">
        <v>166</v>
      </c>
      <c r="C41" s="74"/>
      <c r="E41" s="31"/>
      <c r="F41" s="31"/>
      <c r="H41" s="12" t="s">
        <v>156</v>
      </c>
      <c r="I41" s="21" t="s">
        <v>157</v>
      </c>
    </row>
    <row r="42">
      <c r="A42" s="71" t="s">
        <v>169</v>
      </c>
      <c r="B42" s="71" t="s">
        <v>169</v>
      </c>
      <c r="C42" s="74"/>
      <c r="E42" s="31"/>
      <c r="F42" s="31"/>
      <c r="H42" s="60" t="s">
        <v>171</v>
      </c>
      <c r="I42" s="21" t="s">
        <v>172</v>
      </c>
    </row>
    <row r="43">
      <c r="A43" s="14" t="s">
        <v>173</v>
      </c>
      <c r="B43" s="14" t="s">
        <v>173</v>
      </c>
      <c r="C43" s="74"/>
      <c r="E43" s="27" t="s">
        <v>176</v>
      </c>
      <c r="F43" s="27" t="s">
        <v>177</v>
      </c>
      <c r="H43" s="32" t="s">
        <v>178</v>
      </c>
      <c r="I43" s="21" t="s">
        <v>179</v>
      </c>
    </row>
    <row r="44">
      <c r="A44" s="56" t="s">
        <v>181</v>
      </c>
      <c r="B44" s="21" t="s">
        <v>181</v>
      </c>
      <c r="C44" s="74"/>
      <c r="E44" s="31" t="s">
        <v>182</v>
      </c>
      <c r="F44" s="12" t="s">
        <v>183</v>
      </c>
      <c r="H44" s="31"/>
      <c r="I44" s="31"/>
    </row>
    <row r="45">
      <c r="A45" s="64" t="s">
        <v>186</v>
      </c>
      <c r="B45" s="1" t="s">
        <v>187</v>
      </c>
      <c r="C45" s="74"/>
      <c r="E45" s="31" t="s">
        <v>188</v>
      </c>
      <c r="F45" s="32" t="s">
        <v>189</v>
      </c>
      <c r="H45" s="71" t="s">
        <v>169</v>
      </c>
      <c r="I45" s="71" t="s">
        <v>169</v>
      </c>
    </row>
    <row r="46">
      <c r="A46" s="31" t="s">
        <v>190</v>
      </c>
      <c r="B46" s="21" t="s">
        <v>191</v>
      </c>
      <c r="C46" s="74"/>
      <c r="E46" s="38" t="s">
        <v>193</v>
      </c>
      <c r="F46" s="38" t="s">
        <v>148</v>
      </c>
      <c r="H46" s="71" t="s">
        <v>194</v>
      </c>
      <c r="I46" s="14" t="s">
        <v>196</v>
      </c>
    </row>
    <row r="47">
      <c r="A47" s="83" t="s">
        <v>165</v>
      </c>
      <c r="B47" s="83" t="s">
        <v>165</v>
      </c>
      <c r="C47" s="74"/>
      <c r="E47" s="56" t="s">
        <v>197</v>
      </c>
      <c r="H47" s="58" t="s">
        <v>198</v>
      </c>
      <c r="I47" s="1" t="s">
        <v>200</v>
      </c>
    </row>
    <row r="48">
      <c r="A48" s="14" t="s">
        <v>112</v>
      </c>
      <c r="B48" s="14" t="s">
        <v>112</v>
      </c>
      <c r="C48" s="74"/>
      <c r="E48" s="31" t="s">
        <v>201</v>
      </c>
      <c r="H48" s="31" t="s">
        <v>190</v>
      </c>
      <c r="I48" s="21" t="s">
        <v>191</v>
      </c>
    </row>
    <row r="49">
      <c r="A49" s="31" t="s">
        <v>203</v>
      </c>
      <c r="B49" s="32" t="s">
        <v>204</v>
      </c>
      <c r="C49" s="74"/>
      <c r="E49" s="12" t="s">
        <v>206</v>
      </c>
      <c r="F49" s="21" t="s">
        <v>207</v>
      </c>
      <c r="H49" s="12" t="s">
        <v>144</v>
      </c>
      <c r="I49" s="14" t="s">
        <v>208</v>
      </c>
    </row>
    <row r="50">
      <c r="A50" s="31" t="s">
        <v>210</v>
      </c>
      <c r="B50" s="32" t="s">
        <v>211</v>
      </c>
      <c r="C50" s="74"/>
      <c r="E50" s="31" t="s">
        <v>212</v>
      </c>
      <c r="H50" s="14" t="s">
        <v>112</v>
      </c>
      <c r="I50" s="14" t="s">
        <v>112</v>
      </c>
    </row>
    <row r="51">
      <c r="A51" s="71" t="s">
        <v>214</v>
      </c>
      <c r="B51" s="14" t="s">
        <v>97</v>
      </c>
      <c r="C51" s="74"/>
      <c r="E51" s="71" t="s">
        <v>215</v>
      </c>
      <c r="F51" s="14" t="s">
        <v>216</v>
      </c>
      <c r="H51" s="31" t="s">
        <v>182</v>
      </c>
      <c r="I51" s="12" t="s">
        <v>183</v>
      </c>
    </row>
    <row r="52">
      <c r="A52" s="71" t="s">
        <v>79</v>
      </c>
      <c r="B52" s="71" t="s">
        <v>79</v>
      </c>
      <c r="C52" s="74"/>
      <c r="E52" s="71" t="s">
        <v>219</v>
      </c>
      <c r="F52" s="85" t="s">
        <v>220</v>
      </c>
      <c r="H52" s="31" t="s">
        <v>210</v>
      </c>
      <c r="I52" s="32" t="s">
        <v>211</v>
      </c>
    </row>
    <row r="53">
      <c r="A53" s="71" t="s">
        <v>222</v>
      </c>
      <c r="B53" s="14" t="s">
        <v>222</v>
      </c>
      <c r="C53" s="74"/>
      <c r="E53" s="27" t="s">
        <v>223</v>
      </c>
      <c r="F53" s="32" t="s">
        <v>223</v>
      </c>
      <c r="H53" s="71" t="s">
        <v>79</v>
      </c>
      <c r="I53" s="71" t="s">
        <v>79</v>
      </c>
    </row>
    <row r="54">
      <c r="A54" s="14" t="s">
        <v>209</v>
      </c>
      <c r="B54" s="14" t="s">
        <v>209</v>
      </c>
      <c r="C54" s="74"/>
      <c r="E54" s="56" t="s">
        <v>226</v>
      </c>
      <c r="H54" s="12" t="s">
        <v>227</v>
      </c>
      <c r="I54" s="85" t="s">
        <v>228</v>
      </c>
    </row>
    <row r="55">
      <c r="A55" s="88"/>
      <c r="B55" s="88"/>
      <c r="C55" s="74"/>
      <c r="E55" s="31" t="s">
        <v>229</v>
      </c>
      <c r="H55" s="14" t="s">
        <v>231</v>
      </c>
      <c r="I55" s="14" t="s">
        <v>232</v>
      </c>
    </row>
    <row r="56">
      <c r="C56" s="74"/>
      <c r="E56" s="27" t="s">
        <v>223</v>
      </c>
      <c r="F56" s="32" t="s">
        <v>223</v>
      </c>
      <c r="H56" s="12" t="s">
        <v>156</v>
      </c>
      <c r="I56" s="21" t="s">
        <v>157</v>
      </c>
    </row>
    <row r="57">
      <c r="C57" s="74"/>
      <c r="E57" s="71" t="s">
        <v>235</v>
      </c>
      <c r="F57" s="21" t="s">
        <v>236</v>
      </c>
      <c r="H57" s="56" t="s">
        <v>162</v>
      </c>
      <c r="I57" s="12" t="s">
        <v>237</v>
      </c>
    </row>
    <row r="58">
      <c r="C58" s="74"/>
      <c r="E58" s="27" t="s">
        <v>144</v>
      </c>
      <c r="F58" s="21" t="s">
        <v>208</v>
      </c>
      <c r="H58" s="64" t="s">
        <v>186</v>
      </c>
      <c r="I58" s="1" t="s">
        <v>187</v>
      </c>
    </row>
    <row r="59">
      <c r="C59" s="74"/>
      <c r="E59" s="31" t="s">
        <v>203</v>
      </c>
      <c r="F59" s="32" t="s">
        <v>204</v>
      </c>
      <c r="H59" s="58" t="s">
        <v>240</v>
      </c>
      <c r="I59" s="1" t="s">
        <v>241</v>
      </c>
    </row>
    <row r="60">
      <c r="A60" s="88"/>
      <c r="B60" s="88"/>
      <c r="C60" s="19"/>
      <c r="D60" s="19"/>
      <c r="E60" s="12" t="s">
        <v>243</v>
      </c>
      <c r="F60" s="21" t="s">
        <v>244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71"/>
      <c r="B61" s="14"/>
      <c r="C61" s="19"/>
      <c r="D61" s="19"/>
      <c r="E61" s="56" t="s">
        <v>162</v>
      </c>
      <c r="F61" s="12" t="s">
        <v>237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C62" s="19"/>
      <c r="D62" s="19"/>
      <c r="E62" s="71" t="s">
        <v>247</v>
      </c>
      <c r="F62" s="21" t="s">
        <v>247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B63" s="70"/>
      <c r="C63" s="19"/>
      <c r="D63" s="19"/>
      <c r="E63" s="12" t="s">
        <v>251</v>
      </c>
      <c r="F63" s="85" t="s">
        <v>252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70"/>
      <c r="B64" s="70"/>
      <c r="C64" s="19"/>
      <c r="D64" s="19"/>
      <c r="E64" s="12" t="s">
        <v>256</v>
      </c>
      <c r="F64" s="85" t="s">
        <v>68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70"/>
      <c r="B65" s="70"/>
      <c r="C65" s="19"/>
      <c r="D65" s="19"/>
      <c r="E65" s="56" t="s">
        <v>181</v>
      </c>
      <c r="F65" s="21" t="s">
        <v>181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70"/>
      <c r="B66" s="70"/>
      <c r="C66" s="19"/>
      <c r="D66" s="19"/>
      <c r="E66" s="85" t="s">
        <v>261</v>
      </c>
      <c r="F66" s="85" t="s">
        <v>261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70"/>
      <c r="B67" s="70"/>
      <c r="C67" s="19"/>
      <c r="D67" s="19"/>
      <c r="E67" s="14" t="s">
        <v>264</v>
      </c>
      <c r="F67" s="14" t="s">
        <v>265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70"/>
      <c r="B68" s="70"/>
      <c r="C68" s="19"/>
      <c r="D68" s="19"/>
      <c r="E68" s="71"/>
      <c r="F68" s="21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70"/>
      <c r="B69" s="70"/>
      <c r="C69" s="19"/>
      <c r="D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70"/>
      <c r="B70" s="70"/>
      <c r="C70" s="19"/>
      <c r="D70" s="19"/>
      <c r="E70" s="31" t="s">
        <v>188</v>
      </c>
      <c r="F70" s="32" t="s">
        <v>189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70"/>
      <c r="B71" s="70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70"/>
      <c r="B72" s="70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70"/>
      <c r="B73" s="70"/>
      <c r="E73" s="31" t="s">
        <v>281</v>
      </c>
      <c r="F73" s="12" t="s">
        <v>282</v>
      </c>
    </row>
    <row r="74">
      <c r="A74" s="14" t="s">
        <v>284</v>
      </c>
      <c r="B74" s="14" t="s">
        <v>113</v>
      </c>
      <c r="E74" s="31" t="s">
        <v>285</v>
      </c>
      <c r="F74" s="32" t="s">
        <v>286</v>
      </c>
    </row>
    <row r="75">
      <c r="A75" s="31" t="s">
        <v>288</v>
      </c>
      <c r="B75" s="12" t="s">
        <v>127</v>
      </c>
      <c r="E75" s="12" t="s">
        <v>289</v>
      </c>
      <c r="F75" s="12" t="s">
        <v>290</v>
      </c>
    </row>
    <row r="76">
      <c r="A76" s="31" t="s">
        <v>291</v>
      </c>
      <c r="B76" s="32" t="s">
        <v>80</v>
      </c>
      <c r="E76" s="31" t="s">
        <v>293</v>
      </c>
      <c r="F76" s="12" t="s">
        <v>122</v>
      </c>
    </row>
    <row r="77">
      <c r="A77" s="12" t="s">
        <v>294</v>
      </c>
      <c r="B77" s="12" t="s">
        <v>98</v>
      </c>
      <c r="E77" s="31" t="s">
        <v>296</v>
      </c>
      <c r="F77" s="32" t="s">
        <v>272</v>
      </c>
    </row>
    <row r="78">
      <c r="A78" s="31" t="s">
        <v>296</v>
      </c>
      <c r="B78" s="32" t="s">
        <v>272</v>
      </c>
    </row>
    <row r="79">
      <c r="A79" s="31" t="s">
        <v>293</v>
      </c>
      <c r="B79" s="12" t="s">
        <v>122</v>
      </c>
    </row>
    <row r="80">
      <c r="A80" s="14" t="s">
        <v>298</v>
      </c>
      <c r="B80" s="14" t="s">
        <v>276</v>
      </c>
    </row>
    <row r="86">
      <c r="A86" s="88"/>
      <c r="B86" s="88"/>
    </row>
    <row r="87">
      <c r="A87" s="88"/>
      <c r="B87" s="88"/>
    </row>
    <row r="88">
      <c r="A88" s="88"/>
      <c r="B88" s="88"/>
    </row>
    <row r="89">
      <c r="A89" s="88"/>
      <c r="B89" s="88"/>
    </row>
    <row r="90">
      <c r="A90" s="88"/>
      <c r="B90" s="88"/>
    </row>
    <row r="92">
      <c r="A92" s="101" t="s">
        <v>302</v>
      </c>
    </row>
    <row r="94">
      <c r="A94" s="104" t="s">
        <v>54</v>
      </c>
    </row>
    <row r="95">
      <c r="A95" s="104" t="s">
        <v>71</v>
      </c>
    </row>
    <row r="98">
      <c r="A98" s="19" t="s">
        <v>66</v>
      </c>
    </row>
    <row r="99">
      <c r="A99" s="105" t="s">
        <v>76</v>
      </c>
    </row>
    <row r="100">
      <c r="A100" s="105" t="s">
        <v>100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6.63"/>
    <col hidden="1" min="2" max="2" width="12.63"/>
    <col customWidth="1" hidden="1" min="3" max="3" width="36.63"/>
    <col hidden="1" min="4" max="4" width="12.63"/>
    <col customWidth="1" hidden="1" min="5" max="5" width="36.63"/>
    <col hidden="1" min="6" max="6" width="12.63"/>
    <col customWidth="1" hidden="1" min="7" max="7" width="36.63"/>
    <col hidden="1" min="8" max="8" width="12.63"/>
    <col customWidth="1" hidden="1" min="9" max="9" width="36.63"/>
    <col hidden="1" min="10" max="10" width="12.63"/>
    <col customWidth="1" hidden="1" min="11" max="11" width="36.63"/>
    <col hidden="1" min="12" max="12" width="12.63"/>
    <col customWidth="1" hidden="1" min="13" max="13" width="36.63"/>
    <col hidden="1" min="14" max="14" width="12.63"/>
    <col customWidth="1" hidden="1" min="15" max="15" width="36.63"/>
    <col hidden="1" min="16" max="16" width="12.63"/>
    <col customWidth="1" hidden="1" min="17" max="17" width="36.63"/>
    <col hidden="1" min="18" max="18" width="12.63"/>
    <col customWidth="1" hidden="1" min="19" max="19" width="36.63"/>
    <col hidden="1" min="20" max="20" width="12.63"/>
    <col customWidth="1" hidden="1" min="21" max="21" width="36.63"/>
    <col hidden="1" min="22" max="22" width="12.63"/>
    <col customWidth="1" hidden="1" min="23" max="23" width="36.63"/>
    <col hidden="1" min="24" max="24" width="12.63"/>
    <col customWidth="1" hidden="1" min="25" max="25" width="36.63"/>
    <col hidden="1" min="26" max="26" width="12.63"/>
    <col customWidth="1" hidden="1" min="27" max="27" width="36.63"/>
    <col hidden="1" min="28" max="28" width="12.63"/>
    <col customWidth="1" hidden="1" min="29" max="29" width="36.63"/>
    <col hidden="1" min="30" max="30" width="12.63"/>
    <col customWidth="1" hidden="1" min="31" max="31" width="36.63"/>
    <col hidden="1" min="32" max="32" width="12.63"/>
    <col customWidth="1" hidden="1" min="33" max="33" width="36.63"/>
    <col hidden="1" min="34" max="34" width="12.63"/>
    <col customWidth="1" hidden="1" min="35" max="35" width="36.63"/>
    <col hidden="1" min="36" max="36" width="12.63"/>
    <col customWidth="1" hidden="1" min="37" max="37" width="36.63"/>
    <col hidden="1" min="38" max="38" width="12.63"/>
    <col customWidth="1" hidden="1" min="39" max="39" width="36.63"/>
    <col hidden="1" min="40" max="40" width="12.63"/>
    <col customWidth="1" hidden="1" min="41" max="41" width="36.63"/>
    <col hidden="1" min="42" max="42" width="12.63"/>
    <col customWidth="1" min="43" max="43" width="36.63"/>
    <col customWidth="1" min="45" max="45" width="36.63"/>
  </cols>
  <sheetData>
    <row r="1">
      <c r="A1" s="2" t="s">
        <v>0</v>
      </c>
      <c r="B1" s="8"/>
      <c r="C1" s="11" t="s">
        <v>4</v>
      </c>
      <c r="D1" s="13"/>
      <c r="E1" s="11" t="s">
        <v>6</v>
      </c>
      <c r="F1" s="13"/>
      <c r="G1" s="11" t="s">
        <v>7</v>
      </c>
      <c r="H1" s="16"/>
      <c r="I1" s="11" t="s">
        <v>9</v>
      </c>
      <c r="J1" s="13"/>
      <c r="K1" s="11" t="s">
        <v>10</v>
      </c>
      <c r="L1" s="13"/>
      <c r="M1" s="11" t="s">
        <v>13</v>
      </c>
      <c r="N1" s="13"/>
      <c r="O1" s="11" t="s">
        <v>15</v>
      </c>
      <c r="P1" s="13"/>
      <c r="Q1" s="11" t="s">
        <v>17</v>
      </c>
      <c r="R1" s="13"/>
      <c r="S1" s="11" t="s">
        <v>20</v>
      </c>
      <c r="T1" s="13"/>
      <c r="U1" s="11" t="s">
        <v>22</v>
      </c>
      <c r="V1" s="13"/>
      <c r="W1" s="11" t="s">
        <v>24</v>
      </c>
      <c r="X1" s="13"/>
      <c r="Y1" s="11" t="s">
        <v>27</v>
      </c>
      <c r="Z1" s="13"/>
      <c r="AA1" s="11" t="s">
        <v>29</v>
      </c>
      <c r="AB1" s="13"/>
      <c r="AC1" s="11" t="s">
        <v>30</v>
      </c>
      <c r="AD1" s="13"/>
      <c r="AE1" s="11" t="s">
        <v>33</v>
      </c>
      <c r="AF1" s="13"/>
      <c r="AG1" s="11" t="s">
        <v>35</v>
      </c>
      <c r="AH1" s="13"/>
      <c r="AI1" s="11" t="s">
        <v>37</v>
      </c>
      <c r="AJ1" s="13"/>
      <c r="AK1" s="11" t="s">
        <v>40</v>
      </c>
      <c r="AL1" s="13"/>
      <c r="AM1" s="11" t="s">
        <v>43</v>
      </c>
      <c r="AN1" s="13"/>
      <c r="AO1" s="11" t="s">
        <v>46</v>
      </c>
      <c r="AP1" s="13"/>
      <c r="AQ1" s="11" t="s">
        <v>19</v>
      </c>
      <c r="AR1" s="13"/>
      <c r="AS1" s="11" t="s">
        <v>18</v>
      </c>
      <c r="AT1" s="13"/>
    </row>
    <row r="2">
      <c r="A2" s="35" t="s">
        <v>12</v>
      </c>
      <c r="B2" s="35">
        <v>3.0</v>
      </c>
      <c r="C2" s="35" t="s">
        <v>12</v>
      </c>
      <c r="D2" s="35">
        <v>6.0</v>
      </c>
      <c r="E2" s="35" t="s">
        <v>12</v>
      </c>
      <c r="F2" s="35">
        <v>8.0</v>
      </c>
      <c r="G2" s="35" t="s">
        <v>54</v>
      </c>
      <c r="H2" s="35">
        <v>42.0</v>
      </c>
      <c r="I2" s="35" t="s">
        <v>12</v>
      </c>
      <c r="J2" s="35">
        <v>4.0</v>
      </c>
      <c r="K2" s="35" t="s">
        <v>12</v>
      </c>
      <c r="L2" s="35">
        <v>5.0</v>
      </c>
      <c r="M2" s="35" t="s">
        <v>12</v>
      </c>
      <c r="N2" s="35">
        <v>2.0</v>
      </c>
      <c r="O2" s="35" t="s">
        <v>12</v>
      </c>
      <c r="P2" s="35">
        <v>11.0</v>
      </c>
      <c r="Q2" s="35" t="s">
        <v>12</v>
      </c>
      <c r="R2" s="35">
        <v>8.0</v>
      </c>
      <c r="S2" s="35" t="s">
        <v>54</v>
      </c>
      <c r="T2" s="35">
        <v>47.0</v>
      </c>
      <c r="U2" s="35" t="s">
        <v>12</v>
      </c>
      <c r="V2" s="35">
        <v>4.0</v>
      </c>
      <c r="W2" s="35" t="s">
        <v>12</v>
      </c>
      <c r="X2" s="35">
        <v>6.0</v>
      </c>
      <c r="Y2" s="35" t="s">
        <v>12</v>
      </c>
      <c r="Z2" s="35">
        <v>1.0</v>
      </c>
      <c r="AA2" s="35" t="s">
        <v>12</v>
      </c>
      <c r="AB2" s="35">
        <v>6.0</v>
      </c>
      <c r="AC2" s="35" t="s">
        <v>12</v>
      </c>
      <c r="AD2" s="35">
        <v>6.0</v>
      </c>
      <c r="AE2" s="35" t="s">
        <v>54</v>
      </c>
      <c r="AF2" s="35">
        <v>46.0</v>
      </c>
      <c r="AG2" s="35" t="s">
        <v>12</v>
      </c>
      <c r="AH2" s="35">
        <v>2.0</v>
      </c>
      <c r="AI2" s="35" t="s">
        <v>12</v>
      </c>
      <c r="AJ2" s="35">
        <v>6.0</v>
      </c>
      <c r="AK2" s="35" t="s">
        <v>12</v>
      </c>
      <c r="AL2" s="35">
        <v>2.0</v>
      </c>
      <c r="AM2" s="35" t="s">
        <v>12</v>
      </c>
      <c r="AN2" s="35">
        <v>6.0</v>
      </c>
      <c r="AO2" s="35" t="s">
        <v>12</v>
      </c>
      <c r="AP2" s="35">
        <v>5.0</v>
      </c>
      <c r="AQ2" s="49" t="s">
        <v>54</v>
      </c>
      <c r="AR2" s="49">
        <v>46.0</v>
      </c>
      <c r="AS2" s="51" t="s">
        <v>12</v>
      </c>
      <c r="AT2" s="51">
        <v>2.0</v>
      </c>
    </row>
    <row r="3">
      <c r="A3" s="35" t="s">
        <v>16</v>
      </c>
      <c r="B3" s="35">
        <v>15.0</v>
      </c>
      <c r="C3" s="35" t="s">
        <v>16</v>
      </c>
      <c r="D3" s="35">
        <v>17.0</v>
      </c>
      <c r="E3" s="35" t="s">
        <v>16</v>
      </c>
      <c r="F3" s="35">
        <v>21.0</v>
      </c>
      <c r="G3" s="35" t="s">
        <v>71</v>
      </c>
      <c r="H3" s="35">
        <v>23.0</v>
      </c>
      <c r="I3" s="35" t="s">
        <v>16</v>
      </c>
      <c r="J3" s="35">
        <v>17.0</v>
      </c>
      <c r="K3" s="35" t="s">
        <v>16</v>
      </c>
      <c r="L3" s="35">
        <v>22.0</v>
      </c>
      <c r="M3" s="35" t="s">
        <v>16</v>
      </c>
      <c r="N3" s="35">
        <v>16.0</v>
      </c>
      <c r="O3" s="35" t="s">
        <v>16</v>
      </c>
      <c r="P3" s="35">
        <v>25.0</v>
      </c>
      <c r="Q3" s="35" t="s">
        <v>16</v>
      </c>
      <c r="R3" s="35">
        <v>22.0</v>
      </c>
      <c r="S3" s="35" t="s">
        <v>71</v>
      </c>
      <c r="T3" s="35">
        <v>21.0</v>
      </c>
      <c r="U3" s="35" t="s">
        <v>16</v>
      </c>
      <c r="V3" s="35">
        <v>19.0</v>
      </c>
      <c r="W3" s="35" t="s">
        <v>16</v>
      </c>
      <c r="X3" s="35">
        <v>14.0</v>
      </c>
      <c r="Y3" s="35" t="s">
        <v>16</v>
      </c>
      <c r="Z3" s="35">
        <v>19.0</v>
      </c>
      <c r="AA3" s="35" t="s">
        <v>16</v>
      </c>
      <c r="AB3" s="35">
        <v>25.0</v>
      </c>
      <c r="AC3" s="35" t="s">
        <v>16</v>
      </c>
      <c r="AD3" s="35">
        <v>24.0</v>
      </c>
      <c r="AE3" s="35" t="s">
        <v>71</v>
      </c>
      <c r="AF3" s="35">
        <v>22.0</v>
      </c>
      <c r="AG3" s="35" t="s">
        <v>16</v>
      </c>
      <c r="AH3" s="35">
        <v>23.0</v>
      </c>
      <c r="AI3" s="35" t="s">
        <v>16</v>
      </c>
      <c r="AJ3" s="35">
        <v>16.0</v>
      </c>
      <c r="AK3" s="35" t="s">
        <v>16</v>
      </c>
      <c r="AL3" s="35">
        <v>16.0</v>
      </c>
      <c r="AM3" s="35" t="s">
        <v>16</v>
      </c>
      <c r="AN3" s="35">
        <v>25.0</v>
      </c>
      <c r="AO3" s="35" t="s">
        <v>16</v>
      </c>
      <c r="AP3" s="35">
        <v>28.0</v>
      </c>
      <c r="AQ3" s="49" t="s">
        <v>71</v>
      </c>
      <c r="AR3" s="49">
        <v>21.0</v>
      </c>
      <c r="AS3" s="51" t="s">
        <v>16</v>
      </c>
      <c r="AT3" s="51">
        <v>23.0</v>
      </c>
    </row>
    <row r="4">
      <c r="A4" s="35" t="s">
        <v>23</v>
      </c>
      <c r="B4" s="35">
        <v>6.0</v>
      </c>
      <c r="C4" s="35" t="s">
        <v>23</v>
      </c>
      <c r="D4" s="35">
        <v>5.0</v>
      </c>
      <c r="E4" s="35" t="s">
        <v>23</v>
      </c>
      <c r="F4" s="35">
        <v>5.0</v>
      </c>
      <c r="G4" s="8"/>
      <c r="H4" s="8"/>
      <c r="I4" s="35" t="s">
        <v>23</v>
      </c>
      <c r="J4" s="35">
        <v>2.0</v>
      </c>
      <c r="K4" s="35" t="s">
        <v>23</v>
      </c>
      <c r="L4" s="35">
        <v>7.0</v>
      </c>
      <c r="M4" s="35" t="s">
        <v>23</v>
      </c>
      <c r="N4" s="35">
        <v>5.0</v>
      </c>
      <c r="O4" s="35" t="s">
        <v>23</v>
      </c>
      <c r="P4" s="35">
        <v>2.0</v>
      </c>
      <c r="Q4" s="35" t="s">
        <v>23</v>
      </c>
      <c r="R4" s="35">
        <v>5.0</v>
      </c>
      <c r="S4" s="8"/>
      <c r="T4" s="8"/>
      <c r="U4" s="35" t="s">
        <v>23</v>
      </c>
      <c r="V4" s="35">
        <v>2.0</v>
      </c>
      <c r="W4" s="35" t="s">
        <v>23</v>
      </c>
      <c r="X4" s="35">
        <v>8.0</v>
      </c>
      <c r="Y4" s="35" t="s">
        <v>23</v>
      </c>
      <c r="Z4" s="35">
        <v>7.0</v>
      </c>
      <c r="AA4" s="35" t="s">
        <v>23</v>
      </c>
      <c r="AB4" s="35">
        <v>3.0</v>
      </c>
      <c r="AC4" s="35" t="s">
        <v>23</v>
      </c>
      <c r="AD4" s="35">
        <v>6.0</v>
      </c>
      <c r="AE4" s="35"/>
      <c r="AF4" s="35"/>
      <c r="AG4" s="35" t="s">
        <v>23</v>
      </c>
      <c r="AH4" s="35">
        <v>4.0</v>
      </c>
      <c r="AI4" s="35" t="s">
        <v>23</v>
      </c>
      <c r="AJ4" s="35">
        <v>9.0</v>
      </c>
      <c r="AK4" s="35" t="s">
        <v>23</v>
      </c>
      <c r="AL4" s="35">
        <v>7.0</v>
      </c>
      <c r="AM4" s="35" t="s">
        <v>23</v>
      </c>
      <c r="AN4" s="35">
        <v>4.0</v>
      </c>
      <c r="AO4" s="35" t="s">
        <v>23</v>
      </c>
      <c r="AP4" s="35">
        <v>6.0</v>
      </c>
      <c r="AQ4" s="35"/>
      <c r="AR4" s="35"/>
      <c r="AS4" s="51" t="s">
        <v>23</v>
      </c>
      <c r="AT4" s="51">
        <v>4.0</v>
      </c>
    </row>
    <row r="5">
      <c r="A5" s="35" t="s">
        <v>47</v>
      </c>
      <c r="B5" s="35">
        <v>2.0</v>
      </c>
      <c r="C5" s="35" t="s">
        <v>47</v>
      </c>
      <c r="D5" s="35">
        <v>6.0</v>
      </c>
      <c r="E5" s="35" t="s">
        <v>47</v>
      </c>
      <c r="F5" s="35">
        <v>7.0</v>
      </c>
      <c r="G5" s="8"/>
      <c r="H5" s="69">
        <v>65.0</v>
      </c>
      <c r="I5" s="35" t="s">
        <v>47</v>
      </c>
      <c r="J5" s="35">
        <v>14.0</v>
      </c>
      <c r="K5" s="35" t="s">
        <v>47</v>
      </c>
      <c r="L5" s="35">
        <v>3.0</v>
      </c>
      <c r="M5" s="35" t="s">
        <v>47</v>
      </c>
      <c r="N5" s="35">
        <v>5.0</v>
      </c>
      <c r="O5" s="35" t="s">
        <v>47</v>
      </c>
      <c r="P5" s="35">
        <v>7.0</v>
      </c>
      <c r="Q5" s="35" t="s">
        <v>47</v>
      </c>
      <c r="R5" s="35">
        <v>5.0</v>
      </c>
      <c r="S5" s="8"/>
      <c r="T5" s="69">
        <v>68.0</v>
      </c>
      <c r="U5" s="35" t="s">
        <v>47</v>
      </c>
      <c r="V5" s="35">
        <v>9.0</v>
      </c>
      <c r="W5" s="35" t="s">
        <v>47</v>
      </c>
      <c r="X5" s="35">
        <v>4.0</v>
      </c>
      <c r="Y5" s="35" t="s">
        <v>47</v>
      </c>
      <c r="Z5" s="35">
        <v>5.0</v>
      </c>
      <c r="AA5" s="35" t="s">
        <v>47</v>
      </c>
      <c r="AB5" s="35">
        <v>9.0</v>
      </c>
      <c r="AC5" s="35" t="s">
        <v>47</v>
      </c>
      <c r="AD5" s="35">
        <v>8.0</v>
      </c>
      <c r="AE5" s="35"/>
      <c r="AF5" s="72">
        <v>68.0</v>
      </c>
      <c r="AG5" s="35" t="s">
        <v>47</v>
      </c>
      <c r="AH5" s="35">
        <v>13.0</v>
      </c>
      <c r="AI5" s="35" t="s">
        <v>47</v>
      </c>
      <c r="AJ5" s="35">
        <v>4.0</v>
      </c>
      <c r="AK5" s="35" t="s">
        <v>47</v>
      </c>
      <c r="AL5" s="35">
        <v>5.0</v>
      </c>
      <c r="AM5" s="35" t="s">
        <v>47</v>
      </c>
      <c r="AN5" s="35">
        <v>9.0</v>
      </c>
      <c r="AO5" s="35" t="s">
        <v>47</v>
      </c>
      <c r="AP5" s="35">
        <v>6.0</v>
      </c>
      <c r="AQ5" s="35"/>
      <c r="AR5" s="72">
        <v>67.0</v>
      </c>
      <c r="AS5" s="51" t="s">
        <v>47</v>
      </c>
      <c r="AT5" s="51">
        <v>13.0</v>
      </c>
    </row>
    <row r="6">
      <c r="A6" s="35" t="s">
        <v>55</v>
      </c>
      <c r="B6" s="35">
        <v>4.0</v>
      </c>
      <c r="C6" s="35" t="s">
        <v>55</v>
      </c>
      <c r="D6" s="35">
        <v>6.0</v>
      </c>
      <c r="E6" s="35" t="s">
        <v>55</v>
      </c>
      <c r="F6" s="35">
        <v>13.0</v>
      </c>
      <c r="G6" s="8"/>
      <c r="H6" s="8"/>
      <c r="I6" s="35" t="s">
        <v>55</v>
      </c>
      <c r="J6" s="35">
        <v>17.0</v>
      </c>
      <c r="K6" s="35" t="s">
        <v>55</v>
      </c>
      <c r="L6" s="35">
        <v>14.0</v>
      </c>
      <c r="M6" s="35" t="s">
        <v>55</v>
      </c>
      <c r="N6" s="35">
        <v>3.0</v>
      </c>
      <c r="O6" s="35" t="s">
        <v>55</v>
      </c>
      <c r="P6" s="35">
        <v>7.0</v>
      </c>
      <c r="Q6" s="35" t="s">
        <v>55</v>
      </c>
      <c r="R6" s="35">
        <v>14.0</v>
      </c>
      <c r="S6" s="8"/>
      <c r="T6" s="8"/>
      <c r="U6" s="35" t="s">
        <v>55</v>
      </c>
      <c r="V6" s="35">
        <v>15.0</v>
      </c>
      <c r="W6" s="35" t="s">
        <v>55</v>
      </c>
      <c r="X6" s="35">
        <v>15.0</v>
      </c>
      <c r="Y6" s="35" t="s">
        <v>55</v>
      </c>
      <c r="Z6" s="35">
        <v>6.0</v>
      </c>
      <c r="AA6" s="35" t="s">
        <v>55</v>
      </c>
      <c r="AB6" s="35">
        <v>8.0</v>
      </c>
      <c r="AC6" s="35" t="s">
        <v>55</v>
      </c>
      <c r="AD6" s="35">
        <v>16.0</v>
      </c>
      <c r="AE6" s="35"/>
      <c r="AF6" s="35"/>
      <c r="AG6" s="35" t="s">
        <v>55</v>
      </c>
      <c r="AH6" s="35">
        <v>11.0</v>
      </c>
      <c r="AI6" s="35" t="s">
        <v>55</v>
      </c>
      <c r="AJ6" s="35">
        <v>14.0</v>
      </c>
      <c r="AK6" s="35" t="s">
        <v>55</v>
      </c>
      <c r="AL6" s="35">
        <v>8.0</v>
      </c>
      <c r="AM6" s="35" t="s">
        <v>55</v>
      </c>
      <c r="AN6" s="35">
        <v>8.0</v>
      </c>
      <c r="AO6" s="35" t="s">
        <v>55</v>
      </c>
      <c r="AP6" s="35">
        <v>14.0</v>
      </c>
      <c r="AQ6" s="35"/>
      <c r="AR6" s="35"/>
      <c r="AS6" s="51" t="s">
        <v>55</v>
      </c>
      <c r="AT6" s="51">
        <v>11.0</v>
      </c>
    </row>
    <row r="7">
      <c r="A7" s="35" t="s">
        <v>57</v>
      </c>
      <c r="B7" s="35">
        <v>17.0</v>
      </c>
      <c r="C7" s="35" t="s">
        <v>57</v>
      </c>
      <c r="D7" s="35">
        <v>15.0</v>
      </c>
      <c r="E7" s="35" t="s">
        <v>57</v>
      </c>
      <c r="F7" s="35">
        <v>13.0</v>
      </c>
      <c r="G7" s="35" t="s">
        <v>66</v>
      </c>
      <c r="H7" s="35">
        <v>17.0</v>
      </c>
      <c r="I7" s="35" t="s">
        <v>57</v>
      </c>
      <c r="J7" s="35">
        <v>11.0</v>
      </c>
      <c r="K7" s="35" t="s">
        <v>57</v>
      </c>
      <c r="L7" s="35">
        <v>2.0</v>
      </c>
      <c r="M7" s="35" t="s">
        <v>57</v>
      </c>
      <c r="N7" s="35">
        <v>21.0</v>
      </c>
      <c r="O7" s="35" t="s">
        <v>57</v>
      </c>
      <c r="P7" s="35">
        <v>14.0</v>
      </c>
      <c r="Q7" s="35" t="s">
        <v>57</v>
      </c>
      <c r="R7" s="35">
        <v>11.0</v>
      </c>
      <c r="S7" s="35" t="s">
        <v>66</v>
      </c>
      <c r="T7" s="35">
        <v>19.0</v>
      </c>
      <c r="U7" s="35" t="s">
        <v>57</v>
      </c>
      <c r="V7" s="35">
        <v>11.0</v>
      </c>
      <c r="W7" s="35" t="s">
        <v>57</v>
      </c>
      <c r="X7" s="35">
        <v>5.0</v>
      </c>
      <c r="Y7" s="35" t="s">
        <v>57</v>
      </c>
      <c r="Z7" s="35">
        <v>18.0</v>
      </c>
      <c r="AA7" s="35" t="s">
        <v>57</v>
      </c>
      <c r="AB7" s="35">
        <v>16.0</v>
      </c>
      <c r="AC7" s="35" t="s">
        <v>57</v>
      </c>
      <c r="AD7" s="35">
        <v>6.0</v>
      </c>
      <c r="AE7" s="35" t="s">
        <v>66</v>
      </c>
      <c r="AF7" s="35">
        <v>17.0</v>
      </c>
      <c r="AG7" s="35" t="s">
        <v>57</v>
      </c>
      <c r="AH7" s="35">
        <v>10.0</v>
      </c>
      <c r="AI7" s="35" t="s">
        <v>57</v>
      </c>
      <c r="AJ7" s="35">
        <v>6.0</v>
      </c>
      <c r="AK7" s="35" t="s">
        <v>57</v>
      </c>
      <c r="AL7" s="35">
        <v>15.0</v>
      </c>
      <c r="AM7" s="35" t="s">
        <v>57</v>
      </c>
      <c r="AN7" s="35">
        <v>12.0</v>
      </c>
      <c r="AO7" s="35" t="s">
        <v>57</v>
      </c>
      <c r="AP7" s="35">
        <v>6.0</v>
      </c>
      <c r="AQ7" s="49" t="s">
        <v>66</v>
      </c>
      <c r="AR7" s="49">
        <v>17.0</v>
      </c>
      <c r="AS7" s="51" t="s">
        <v>57</v>
      </c>
      <c r="AT7" s="51">
        <v>11.0</v>
      </c>
    </row>
    <row r="8">
      <c r="A8" s="35" t="s">
        <v>62</v>
      </c>
      <c r="B8" s="35">
        <v>9.0</v>
      </c>
      <c r="C8" s="35" t="s">
        <v>62</v>
      </c>
      <c r="D8" s="35">
        <v>6.0</v>
      </c>
      <c r="E8" s="35" t="s">
        <v>62</v>
      </c>
      <c r="F8" s="35">
        <v>6.0</v>
      </c>
      <c r="G8" s="35" t="s">
        <v>76</v>
      </c>
      <c r="H8" s="35">
        <v>11.0</v>
      </c>
      <c r="I8" s="35" t="s">
        <v>62</v>
      </c>
      <c r="J8" s="35">
        <v>5.0</v>
      </c>
      <c r="K8" s="35" t="s">
        <v>62</v>
      </c>
      <c r="L8" s="35">
        <v>11.0</v>
      </c>
      <c r="M8" s="35" t="s">
        <v>62</v>
      </c>
      <c r="N8" s="35">
        <v>6.0</v>
      </c>
      <c r="O8" s="35" t="s">
        <v>62</v>
      </c>
      <c r="P8" s="35">
        <v>5.0</v>
      </c>
      <c r="Q8" s="35" t="s">
        <v>62</v>
      </c>
      <c r="R8" s="35">
        <v>9.0</v>
      </c>
      <c r="S8" s="35" t="s">
        <v>76</v>
      </c>
      <c r="T8" s="35">
        <v>10.0</v>
      </c>
      <c r="U8" s="35" t="s">
        <v>62</v>
      </c>
      <c r="V8" s="35">
        <v>6.0</v>
      </c>
      <c r="W8" s="35" t="s">
        <v>62</v>
      </c>
      <c r="X8" s="35">
        <v>10.0</v>
      </c>
      <c r="Y8" s="35" t="s">
        <v>62</v>
      </c>
      <c r="Z8" s="35">
        <v>5.0</v>
      </c>
      <c r="AA8" s="35" t="s">
        <v>62</v>
      </c>
      <c r="AB8" s="35">
        <v>5.0</v>
      </c>
      <c r="AC8" s="35" t="s">
        <v>62</v>
      </c>
      <c r="AD8" s="35">
        <v>11.0</v>
      </c>
      <c r="AE8" s="35" t="s">
        <v>76</v>
      </c>
      <c r="AF8" s="35">
        <v>11.0</v>
      </c>
      <c r="AG8" s="35" t="s">
        <v>62</v>
      </c>
      <c r="AH8" s="35">
        <v>8.0</v>
      </c>
      <c r="AI8" s="35" t="s">
        <v>62</v>
      </c>
      <c r="AJ8" s="35">
        <v>10.0</v>
      </c>
      <c r="AK8" s="35" t="s">
        <v>62</v>
      </c>
      <c r="AL8" s="35">
        <v>4.0</v>
      </c>
      <c r="AM8" s="35" t="s">
        <v>62</v>
      </c>
      <c r="AN8" s="35">
        <v>7.0</v>
      </c>
      <c r="AO8" s="35" t="s">
        <v>62</v>
      </c>
      <c r="AP8" s="35">
        <v>7.0</v>
      </c>
      <c r="AQ8" s="49" t="s">
        <v>76</v>
      </c>
      <c r="AR8" s="49">
        <v>10.0</v>
      </c>
      <c r="AS8" s="51" t="s">
        <v>62</v>
      </c>
      <c r="AT8" s="51">
        <v>7.0</v>
      </c>
    </row>
    <row r="9">
      <c r="A9" s="35" t="s">
        <v>5</v>
      </c>
      <c r="B9" s="35">
        <v>5.0</v>
      </c>
      <c r="C9" s="35" t="s">
        <v>5</v>
      </c>
      <c r="D9" s="35">
        <v>11.0</v>
      </c>
      <c r="E9" s="35" t="s">
        <v>5</v>
      </c>
      <c r="F9" s="35">
        <v>13.0</v>
      </c>
      <c r="G9" s="35" t="s">
        <v>100</v>
      </c>
      <c r="H9" s="35">
        <v>37.0</v>
      </c>
      <c r="I9" s="35" t="s">
        <v>5</v>
      </c>
      <c r="J9" s="35">
        <v>2.0</v>
      </c>
      <c r="K9" s="35" t="s">
        <v>5</v>
      </c>
      <c r="L9" s="35">
        <v>7.0</v>
      </c>
      <c r="M9" s="35" t="s">
        <v>5</v>
      </c>
      <c r="N9" s="35">
        <v>4.0</v>
      </c>
      <c r="O9" s="35" t="s">
        <v>5</v>
      </c>
      <c r="P9" s="35">
        <v>9.0</v>
      </c>
      <c r="Q9" s="35" t="s">
        <v>5</v>
      </c>
      <c r="R9" s="35">
        <v>9.0</v>
      </c>
      <c r="S9" s="35" t="s">
        <v>100</v>
      </c>
      <c r="T9" s="35">
        <v>39.0</v>
      </c>
      <c r="U9" s="35" t="s">
        <v>5</v>
      </c>
      <c r="V9" s="35">
        <v>4.0</v>
      </c>
      <c r="W9" s="35" t="s">
        <v>5</v>
      </c>
      <c r="X9" s="35">
        <v>7.0</v>
      </c>
      <c r="Y9" s="35" t="s">
        <v>5</v>
      </c>
      <c r="Z9" s="35">
        <v>2.0</v>
      </c>
      <c r="AA9" s="35" t="s">
        <v>5</v>
      </c>
      <c r="AB9" s="35">
        <v>7.0</v>
      </c>
      <c r="AC9" s="35" t="s">
        <v>5</v>
      </c>
      <c r="AD9" s="35">
        <v>11.0</v>
      </c>
      <c r="AE9" s="35" t="s">
        <v>100</v>
      </c>
      <c r="AF9" s="35">
        <v>40.0</v>
      </c>
      <c r="AG9" s="35" t="s">
        <v>5</v>
      </c>
      <c r="AH9" s="35">
        <v>2.0</v>
      </c>
      <c r="AI9" s="35" t="s">
        <v>5</v>
      </c>
      <c r="AJ9" s="35">
        <v>7.0</v>
      </c>
      <c r="AK9" s="35" t="s">
        <v>5</v>
      </c>
      <c r="AL9" s="35">
        <v>6.0</v>
      </c>
      <c r="AM9" s="35" t="s">
        <v>5</v>
      </c>
      <c r="AN9" s="35">
        <v>9.0</v>
      </c>
      <c r="AO9" s="35" t="s">
        <v>5</v>
      </c>
      <c r="AP9" s="35">
        <v>10.0</v>
      </c>
      <c r="AQ9" s="49" t="s">
        <v>100</v>
      </c>
      <c r="AR9" s="49">
        <v>40.0</v>
      </c>
      <c r="AS9" s="51" t="s">
        <v>5</v>
      </c>
      <c r="AT9" s="51">
        <v>2.0</v>
      </c>
    </row>
    <row r="10">
      <c r="A10" s="35" t="s">
        <v>32</v>
      </c>
      <c r="B10" s="35">
        <v>6.0</v>
      </c>
      <c r="C10" s="35" t="s">
        <v>32</v>
      </c>
      <c r="D10" s="35">
        <v>9.0</v>
      </c>
      <c r="E10" s="35" t="s">
        <v>32</v>
      </c>
      <c r="F10" s="35">
        <v>6.0</v>
      </c>
      <c r="G10" s="8"/>
      <c r="H10" s="8"/>
      <c r="I10" s="87" t="s">
        <v>32</v>
      </c>
      <c r="J10" s="35">
        <v>10.0</v>
      </c>
      <c r="K10" s="35" t="s">
        <v>32</v>
      </c>
      <c r="L10" s="35">
        <v>11.0</v>
      </c>
      <c r="M10" s="35" t="s">
        <v>32</v>
      </c>
      <c r="N10" s="35">
        <v>9.0</v>
      </c>
      <c r="O10" s="35" t="s">
        <v>32</v>
      </c>
      <c r="P10" s="35">
        <v>7.0</v>
      </c>
      <c r="Q10" s="35" t="s">
        <v>32</v>
      </c>
      <c r="R10" s="72">
        <v>4.0</v>
      </c>
      <c r="S10" s="8"/>
      <c r="T10" s="8"/>
      <c r="U10" s="87" t="s">
        <v>32</v>
      </c>
      <c r="V10" s="35">
        <v>11.0</v>
      </c>
      <c r="W10" s="35" t="s">
        <v>32</v>
      </c>
      <c r="X10" s="35">
        <v>12.0</v>
      </c>
      <c r="Y10" s="35" t="s">
        <v>32</v>
      </c>
      <c r="Z10" s="35">
        <v>10.0</v>
      </c>
      <c r="AA10" s="35" t="s">
        <v>32</v>
      </c>
      <c r="AB10" s="35">
        <v>5.0</v>
      </c>
      <c r="AC10" s="35" t="s">
        <v>32</v>
      </c>
      <c r="AD10" s="35">
        <v>5.0</v>
      </c>
      <c r="AE10" s="35"/>
      <c r="AF10" s="35"/>
      <c r="AG10" s="35" t="s">
        <v>32</v>
      </c>
      <c r="AH10" s="35">
        <v>10.0</v>
      </c>
      <c r="AI10" s="35" t="s">
        <v>32</v>
      </c>
      <c r="AJ10" s="35">
        <v>11.0</v>
      </c>
      <c r="AK10" s="35" t="s">
        <v>32</v>
      </c>
      <c r="AL10" s="35">
        <v>9.0</v>
      </c>
      <c r="AM10" s="35" t="s">
        <v>32</v>
      </c>
      <c r="AN10" s="35">
        <v>7.0</v>
      </c>
      <c r="AO10" s="35" t="s">
        <v>32</v>
      </c>
      <c r="AP10" s="35">
        <v>7.0</v>
      </c>
      <c r="AQ10" s="35"/>
      <c r="AR10" s="35"/>
      <c r="AS10" s="89" t="s">
        <v>32</v>
      </c>
      <c r="AT10" s="51">
        <v>10.0</v>
      </c>
    </row>
    <row r="11">
      <c r="A11" s="8"/>
      <c r="B11" s="8"/>
      <c r="C11" s="8"/>
      <c r="D11" s="8"/>
      <c r="E11" s="8"/>
      <c r="F11" s="8"/>
      <c r="G11" s="8"/>
      <c r="H11" s="69">
        <v>65.0</v>
      </c>
      <c r="I11" s="8"/>
      <c r="J11" s="8"/>
      <c r="K11" s="8"/>
      <c r="L11" s="8"/>
      <c r="M11" s="8"/>
      <c r="N11" s="8"/>
      <c r="O11" s="35"/>
      <c r="P11" s="35"/>
      <c r="Q11" s="8"/>
      <c r="R11" s="8"/>
      <c r="S11" s="8"/>
      <c r="T11" s="69">
        <v>68.0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69">
        <v>68.0</v>
      </c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>
        <v>67.0</v>
      </c>
      <c r="AS11" s="69"/>
      <c r="AT11" s="69"/>
    </row>
    <row r="12">
      <c r="A12" s="8"/>
      <c r="B12" s="69">
        <v>67.0</v>
      </c>
      <c r="C12" s="8"/>
      <c r="D12" s="69">
        <v>81.0</v>
      </c>
      <c r="E12" s="8"/>
      <c r="F12" s="69">
        <v>92.0</v>
      </c>
      <c r="I12" s="8"/>
      <c r="J12" s="69">
        <v>82.0</v>
      </c>
      <c r="K12" s="8"/>
      <c r="L12" s="69">
        <v>82.0</v>
      </c>
      <c r="M12" s="8"/>
      <c r="N12" s="69">
        <v>71.0</v>
      </c>
      <c r="O12" s="8"/>
      <c r="P12" s="69">
        <v>87.0</v>
      </c>
      <c r="Q12" s="8"/>
      <c r="R12" s="69">
        <v>87.0</v>
      </c>
      <c r="U12" s="8"/>
      <c r="V12" s="69">
        <v>81.0</v>
      </c>
      <c r="W12" s="8"/>
      <c r="X12" s="69">
        <v>81.0</v>
      </c>
      <c r="Y12" s="8"/>
      <c r="Z12" s="69">
        <v>73.0</v>
      </c>
      <c r="AA12" s="69"/>
      <c r="AB12" s="69">
        <v>84.0</v>
      </c>
      <c r="AC12" s="69"/>
      <c r="AD12" s="69">
        <v>93.0</v>
      </c>
      <c r="AE12" s="92"/>
      <c r="AF12" s="92"/>
      <c r="AG12" s="69"/>
      <c r="AH12" s="69">
        <v>83.0</v>
      </c>
      <c r="AI12" s="69"/>
      <c r="AJ12" s="69">
        <v>83.0</v>
      </c>
      <c r="AK12" s="69"/>
      <c r="AL12" s="69">
        <v>72.0</v>
      </c>
      <c r="AM12" s="69"/>
      <c r="AN12" s="69">
        <v>87.0</v>
      </c>
      <c r="AO12" s="69"/>
      <c r="AP12" s="69">
        <v>89.0</v>
      </c>
      <c r="AQ12" s="92"/>
      <c r="AR12" s="92"/>
      <c r="AS12" s="69"/>
      <c r="AT12" s="69">
        <v>83.0</v>
      </c>
    </row>
    <row r="13">
      <c r="A13" s="8"/>
      <c r="B13" s="8"/>
      <c r="C13" s="8"/>
      <c r="D13" s="8"/>
      <c r="E13" s="8"/>
      <c r="F13" s="8"/>
      <c r="I13" s="8"/>
      <c r="J13" s="8"/>
      <c r="K13" s="8"/>
      <c r="L13" s="8"/>
      <c r="M13" s="8"/>
      <c r="N13" s="8"/>
      <c r="O13" s="8"/>
      <c r="P13" s="8"/>
      <c r="Q13" s="8"/>
      <c r="R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3"/>
      <c r="AF13" s="93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3"/>
      <c r="AR13" s="93"/>
      <c r="AS13" s="8"/>
      <c r="AT13" s="8"/>
    </row>
    <row r="14">
      <c r="A14" s="35" t="s">
        <v>78</v>
      </c>
      <c r="B14" s="35">
        <v>9.0</v>
      </c>
      <c r="C14" s="35" t="s">
        <v>78</v>
      </c>
      <c r="D14" s="35">
        <v>15.0</v>
      </c>
      <c r="E14" s="35" t="s">
        <v>78</v>
      </c>
      <c r="F14" s="35">
        <v>16.0</v>
      </c>
      <c r="I14" s="35" t="s">
        <v>78</v>
      </c>
      <c r="J14" s="35">
        <v>20.0</v>
      </c>
      <c r="K14" s="35" t="s">
        <v>78</v>
      </c>
      <c r="L14" s="35">
        <v>23.0</v>
      </c>
      <c r="M14" s="35" t="s">
        <v>78</v>
      </c>
      <c r="N14" s="35">
        <v>10.0</v>
      </c>
      <c r="O14" s="35" t="s">
        <v>78</v>
      </c>
      <c r="P14" s="35">
        <v>10.0</v>
      </c>
      <c r="Q14" s="35" t="s">
        <v>78</v>
      </c>
      <c r="R14" s="35">
        <v>16.0</v>
      </c>
      <c r="U14" s="35" t="s">
        <v>78</v>
      </c>
      <c r="V14" s="35">
        <v>22.0</v>
      </c>
      <c r="W14" s="35" t="s">
        <v>78</v>
      </c>
      <c r="X14" s="35">
        <v>21.0</v>
      </c>
      <c r="Y14" s="35" t="s">
        <v>78</v>
      </c>
      <c r="Z14" s="35">
        <v>10.0</v>
      </c>
      <c r="AA14" s="35" t="s">
        <v>78</v>
      </c>
      <c r="AB14" s="35">
        <v>16.0</v>
      </c>
      <c r="AC14" s="35" t="s">
        <v>78</v>
      </c>
      <c r="AD14" s="35">
        <v>15.0</v>
      </c>
      <c r="AE14" s="95"/>
      <c r="AF14" s="95"/>
      <c r="AG14" s="35" t="s">
        <v>78</v>
      </c>
      <c r="AH14" s="35">
        <v>20.0</v>
      </c>
      <c r="AI14" s="35" t="s">
        <v>78</v>
      </c>
      <c r="AJ14" s="35">
        <v>22.0</v>
      </c>
      <c r="AK14" s="35" t="s">
        <v>78</v>
      </c>
      <c r="AL14" s="35">
        <v>9.0</v>
      </c>
      <c r="AM14" s="35" t="s">
        <v>78</v>
      </c>
      <c r="AN14" s="35">
        <v>16.0</v>
      </c>
      <c r="AO14" s="35" t="s">
        <v>78</v>
      </c>
      <c r="AP14" s="35">
        <v>14.0</v>
      </c>
      <c r="AQ14" s="95"/>
      <c r="AR14" s="95"/>
      <c r="AS14" s="51" t="s">
        <v>78</v>
      </c>
      <c r="AT14" s="51">
        <v>20.0</v>
      </c>
    </row>
    <row r="15">
      <c r="A15" s="35" t="s">
        <v>87</v>
      </c>
      <c r="B15" s="35">
        <v>10.0</v>
      </c>
      <c r="C15" s="35" t="s">
        <v>87</v>
      </c>
      <c r="D15" s="35">
        <v>17.0</v>
      </c>
      <c r="E15" s="35" t="s">
        <v>87</v>
      </c>
      <c r="F15" s="35">
        <v>19.0</v>
      </c>
      <c r="I15" s="35" t="s">
        <v>87</v>
      </c>
      <c r="J15" s="35">
        <v>15.0</v>
      </c>
      <c r="K15" s="35" t="s">
        <v>87</v>
      </c>
      <c r="L15" s="35">
        <v>19.0</v>
      </c>
      <c r="M15" s="35" t="s">
        <v>87</v>
      </c>
      <c r="N15" s="35">
        <v>14.0</v>
      </c>
      <c r="O15" s="35" t="s">
        <v>87</v>
      </c>
      <c r="P15" s="35">
        <v>14.0</v>
      </c>
      <c r="Q15" s="35" t="s">
        <v>87</v>
      </c>
      <c r="R15" s="72">
        <v>20.0</v>
      </c>
      <c r="U15" s="35" t="s">
        <v>87</v>
      </c>
      <c r="V15" s="35">
        <v>19.0</v>
      </c>
      <c r="W15" s="35" t="s">
        <v>87</v>
      </c>
      <c r="X15" s="35">
        <v>19.0</v>
      </c>
      <c r="Y15" s="35" t="s">
        <v>87</v>
      </c>
      <c r="Z15" s="35">
        <v>14.0</v>
      </c>
      <c r="AA15" s="35" t="s">
        <v>87</v>
      </c>
      <c r="AB15" s="35">
        <v>23.0</v>
      </c>
      <c r="AC15" s="35" t="s">
        <v>87</v>
      </c>
      <c r="AD15" s="35">
        <v>24.0</v>
      </c>
      <c r="AE15" s="95"/>
      <c r="AF15" s="95"/>
      <c r="AG15" s="35" t="s">
        <v>87</v>
      </c>
      <c r="AH15" s="35">
        <v>21.0</v>
      </c>
      <c r="AI15" s="35" t="s">
        <v>87</v>
      </c>
      <c r="AJ15" s="35">
        <v>19.0</v>
      </c>
      <c r="AK15" s="35" t="s">
        <v>87</v>
      </c>
      <c r="AL15" s="35">
        <v>16.0</v>
      </c>
      <c r="AM15" s="35" t="s">
        <v>87</v>
      </c>
      <c r="AN15" s="35">
        <v>23.0</v>
      </c>
      <c r="AO15" s="35" t="s">
        <v>87</v>
      </c>
      <c r="AP15" s="35">
        <v>16.0</v>
      </c>
      <c r="AQ15" s="95"/>
      <c r="AR15" s="95"/>
      <c r="AS15" s="51" t="s">
        <v>87</v>
      </c>
      <c r="AT15" s="51">
        <v>21.0</v>
      </c>
    </row>
    <row r="16">
      <c r="A16" s="35" t="s">
        <v>65</v>
      </c>
      <c r="B16" s="35">
        <v>11.0</v>
      </c>
      <c r="C16" s="35" t="s">
        <v>65</v>
      </c>
      <c r="D16" s="35">
        <v>9.0</v>
      </c>
      <c r="E16" s="35" t="s">
        <v>65</v>
      </c>
      <c r="F16" s="35">
        <v>13.0</v>
      </c>
      <c r="I16" s="35" t="s">
        <v>65</v>
      </c>
      <c r="J16" s="35">
        <v>15.0</v>
      </c>
      <c r="K16" s="35" t="s">
        <v>65</v>
      </c>
      <c r="L16" s="35">
        <v>10.0</v>
      </c>
      <c r="M16" s="35" t="s">
        <v>65</v>
      </c>
      <c r="N16" s="35">
        <v>6.0</v>
      </c>
      <c r="O16" s="35" t="s">
        <v>65</v>
      </c>
      <c r="P16" s="35">
        <v>6.0</v>
      </c>
      <c r="Q16" s="35" t="s">
        <v>65</v>
      </c>
      <c r="R16" s="35">
        <v>10.0</v>
      </c>
      <c r="U16" s="35" t="s">
        <v>65</v>
      </c>
      <c r="V16" s="35">
        <v>10.0</v>
      </c>
      <c r="W16" s="35" t="s">
        <v>65</v>
      </c>
      <c r="X16" s="35">
        <v>11.0</v>
      </c>
      <c r="Y16" s="35" t="s">
        <v>65</v>
      </c>
      <c r="Z16" s="35">
        <v>14.0</v>
      </c>
      <c r="AA16" s="35" t="s">
        <v>65</v>
      </c>
      <c r="AB16" s="35">
        <v>8.0</v>
      </c>
      <c r="AC16" s="35" t="s">
        <v>65</v>
      </c>
      <c r="AD16" s="35">
        <v>10.0</v>
      </c>
      <c r="AE16" s="95"/>
      <c r="AF16" s="95"/>
      <c r="AG16" s="35" t="s">
        <v>65</v>
      </c>
      <c r="AH16" s="35">
        <v>13.0</v>
      </c>
      <c r="AI16" s="35" t="s">
        <v>65</v>
      </c>
      <c r="AJ16" s="35">
        <v>11.0</v>
      </c>
      <c r="AK16" s="35" t="s">
        <v>65</v>
      </c>
      <c r="AL16" s="35">
        <v>12.0</v>
      </c>
      <c r="AM16" s="35" t="s">
        <v>65</v>
      </c>
      <c r="AN16" s="35">
        <v>7.0</v>
      </c>
      <c r="AO16" s="35" t="s">
        <v>65</v>
      </c>
      <c r="AP16" s="35">
        <v>13.0</v>
      </c>
      <c r="AQ16" s="95"/>
      <c r="AR16" s="95"/>
      <c r="AS16" s="51" t="s">
        <v>65</v>
      </c>
      <c r="AT16" s="51">
        <v>14.0</v>
      </c>
    </row>
    <row r="17">
      <c r="A17" s="35" t="s">
        <v>85</v>
      </c>
      <c r="B17" s="35">
        <v>10.0</v>
      </c>
      <c r="C17" s="35" t="s">
        <v>85</v>
      </c>
      <c r="D17" s="35">
        <v>9.0</v>
      </c>
      <c r="E17" s="35" t="s">
        <v>85</v>
      </c>
      <c r="F17" s="35">
        <v>7.0</v>
      </c>
      <c r="I17" s="35" t="s">
        <v>85</v>
      </c>
      <c r="J17" s="35">
        <v>5.0</v>
      </c>
      <c r="K17" s="35" t="s">
        <v>85</v>
      </c>
      <c r="L17" s="35">
        <v>6.0</v>
      </c>
      <c r="M17" s="35" t="s">
        <v>85</v>
      </c>
      <c r="N17" s="35">
        <v>9.0</v>
      </c>
      <c r="O17" s="35" t="s">
        <v>85</v>
      </c>
      <c r="P17" s="35">
        <v>9.0</v>
      </c>
      <c r="Q17" s="35" t="s">
        <v>85</v>
      </c>
      <c r="R17" s="35">
        <v>9.0</v>
      </c>
      <c r="U17" s="35" t="s">
        <v>85</v>
      </c>
      <c r="V17" s="35">
        <v>8.0</v>
      </c>
      <c r="W17" s="35" t="s">
        <v>85</v>
      </c>
      <c r="X17" s="35">
        <v>6.0</v>
      </c>
      <c r="Y17" s="35" t="s">
        <v>85</v>
      </c>
      <c r="Z17" s="35">
        <v>4.0</v>
      </c>
      <c r="AA17" s="35" t="s">
        <v>85</v>
      </c>
      <c r="AB17" s="35">
        <v>8.0</v>
      </c>
      <c r="AC17" s="35" t="s">
        <v>85</v>
      </c>
      <c r="AD17" s="35">
        <v>7.0</v>
      </c>
      <c r="AE17" s="95"/>
      <c r="AF17" s="95"/>
      <c r="AG17" s="35" t="s">
        <v>85</v>
      </c>
      <c r="AH17" s="35">
        <v>7.0</v>
      </c>
      <c r="AI17" s="35" t="s">
        <v>85</v>
      </c>
      <c r="AJ17" s="35">
        <v>4.0</v>
      </c>
      <c r="AK17" s="35" t="s">
        <v>85</v>
      </c>
      <c r="AL17" s="35">
        <v>5.0</v>
      </c>
      <c r="AM17" s="35" t="s">
        <v>85</v>
      </c>
      <c r="AN17" s="35">
        <v>12.0</v>
      </c>
      <c r="AO17" s="35" t="s">
        <v>85</v>
      </c>
      <c r="AP17" s="35">
        <v>6.0</v>
      </c>
      <c r="AQ17" s="95"/>
      <c r="AR17" s="95"/>
      <c r="AS17" s="51" t="s">
        <v>85</v>
      </c>
      <c r="AT17" s="51">
        <v>7.0</v>
      </c>
    </row>
    <row r="18">
      <c r="A18" s="35" t="s">
        <v>105</v>
      </c>
      <c r="B18" s="35">
        <v>17.0</v>
      </c>
      <c r="C18" s="35" t="s">
        <v>105</v>
      </c>
      <c r="D18" s="35">
        <v>24.0</v>
      </c>
      <c r="E18" s="35" t="s">
        <v>105</v>
      </c>
      <c r="F18" s="35">
        <v>19.0</v>
      </c>
      <c r="I18" s="35" t="s">
        <v>105</v>
      </c>
      <c r="J18" s="35">
        <v>18.0</v>
      </c>
      <c r="K18" s="35" t="s">
        <v>105</v>
      </c>
      <c r="L18" s="35">
        <v>15.0</v>
      </c>
      <c r="M18" s="35" t="s">
        <v>105</v>
      </c>
      <c r="N18" s="35">
        <v>18.0</v>
      </c>
      <c r="O18" s="35" t="s">
        <v>105</v>
      </c>
      <c r="P18" s="35">
        <v>18.0</v>
      </c>
      <c r="Q18" s="35" t="s">
        <v>105</v>
      </c>
      <c r="R18" s="35">
        <v>18.0</v>
      </c>
      <c r="U18" s="35" t="s">
        <v>105</v>
      </c>
      <c r="V18" s="35">
        <v>13.0</v>
      </c>
      <c r="W18" s="35" t="s">
        <v>105</v>
      </c>
      <c r="X18" s="35">
        <v>15.0</v>
      </c>
      <c r="Y18" s="35" t="s">
        <v>105</v>
      </c>
      <c r="Z18" s="35">
        <v>15.0</v>
      </c>
      <c r="AA18" s="35" t="s">
        <v>105</v>
      </c>
      <c r="AB18" s="35">
        <v>22.0</v>
      </c>
      <c r="AC18" s="35" t="s">
        <v>105</v>
      </c>
      <c r="AD18" s="35">
        <v>23.0</v>
      </c>
      <c r="AE18" s="95"/>
      <c r="AF18" s="95"/>
      <c r="AG18" s="35" t="s">
        <v>105</v>
      </c>
      <c r="AH18" s="35">
        <v>15.0</v>
      </c>
      <c r="AI18" s="35" t="s">
        <v>105</v>
      </c>
      <c r="AJ18" s="35">
        <v>18.0</v>
      </c>
      <c r="AK18" s="35" t="s">
        <v>105</v>
      </c>
      <c r="AL18" s="35">
        <v>17.0</v>
      </c>
      <c r="AM18" s="35" t="s">
        <v>105</v>
      </c>
      <c r="AN18" s="35">
        <v>21.0</v>
      </c>
      <c r="AO18" s="35" t="s">
        <v>105</v>
      </c>
      <c r="AP18" s="35">
        <v>26.0</v>
      </c>
      <c r="AQ18" s="95"/>
      <c r="AR18" s="95"/>
      <c r="AS18" s="51" t="s">
        <v>105</v>
      </c>
      <c r="AT18" s="51">
        <v>15.0</v>
      </c>
    </row>
    <row r="19">
      <c r="A19" s="35" t="s">
        <v>95</v>
      </c>
      <c r="B19" s="35">
        <v>2.0</v>
      </c>
      <c r="C19" s="35" t="s">
        <v>95</v>
      </c>
      <c r="D19" s="35">
        <v>4.0</v>
      </c>
      <c r="E19" s="35" t="s">
        <v>95</v>
      </c>
      <c r="F19" s="35">
        <v>9.0</v>
      </c>
      <c r="I19" s="35" t="s">
        <v>95</v>
      </c>
      <c r="J19" s="35">
        <v>5.0</v>
      </c>
      <c r="K19" s="35" t="s">
        <v>95</v>
      </c>
      <c r="L19" s="35">
        <v>5.0</v>
      </c>
      <c r="M19" s="35" t="s">
        <v>95</v>
      </c>
      <c r="N19" s="35">
        <v>6.0</v>
      </c>
      <c r="O19" s="35" t="s">
        <v>95</v>
      </c>
      <c r="P19" s="35">
        <v>6.0</v>
      </c>
      <c r="Q19" s="35" t="s">
        <v>95</v>
      </c>
      <c r="R19" s="35">
        <v>5.0</v>
      </c>
      <c r="U19" s="35" t="s">
        <v>95</v>
      </c>
      <c r="V19" s="35">
        <v>7.0</v>
      </c>
      <c r="W19" s="35" t="s">
        <v>95</v>
      </c>
      <c r="X19" s="35">
        <v>5.0</v>
      </c>
      <c r="Y19" s="35" t="s">
        <v>95</v>
      </c>
      <c r="Z19" s="35">
        <v>6.0</v>
      </c>
      <c r="AA19" s="35" t="s">
        <v>95</v>
      </c>
      <c r="AB19" s="35">
        <v>2.0</v>
      </c>
      <c r="AC19" s="35" t="s">
        <v>95</v>
      </c>
      <c r="AD19" s="35">
        <v>4.0</v>
      </c>
      <c r="AE19" s="95"/>
      <c r="AF19" s="95"/>
      <c r="AG19" s="35" t="s">
        <v>95</v>
      </c>
      <c r="AH19" s="35">
        <v>5.0</v>
      </c>
      <c r="AI19" s="35" t="s">
        <v>95</v>
      </c>
      <c r="AJ19" s="35">
        <v>6.0</v>
      </c>
      <c r="AK19" s="35" t="s">
        <v>95</v>
      </c>
      <c r="AL19" s="35">
        <v>4.0</v>
      </c>
      <c r="AM19" s="35" t="s">
        <v>95</v>
      </c>
      <c r="AN19" s="35">
        <v>3.0</v>
      </c>
      <c r="AO19" s="35" t="s">
        <v>95</v>
      </c>
      <c r="AP19" s="35">
        <v>7.0</v>
      </c>
      <c r="AQ19" s="95"/>
      <c r="AR19" s="95"/>
      <c r="AS19" s="51" t="s">
        <v>95</v>
      </c>
      <c r="AT19" s="51">
        <v>5.0</v>
      </c>
    </row>
    <row r="20">
      <c r="A20" s="35" t="s">
        <v>117</v>
      </c>
      <c r="B20" s="35">
        <v>5.0</v>
      </c>
      <c r="C20" s="35" t="s">
        <v>117</v>
      </c>
      <c r="D20" s="35">
        <v>3.0</v>
      </c>
      <c r="E20" s="35" t="s">
        <v>117</v>
      </c>
      <c r="F20" s="35">
        <v>7.0</v>
      </c>
      <c r="I20" s="35" t="s">
        <v>117</v>
      </c>
      <c r="J20" s="35">
        <v>3.0</v>
      </c>
      <c r="K20" s="35" t="s">
        <v>117</v>
      </c>
      <c r="L20" s="35">
        <v>3.0</v>
      </c>
      <c r="M20" s="35" t="s">
        <v>117</v>
      </c>
      <c r="N20" s="35">
        <v>5.0</v>
      </c>
      <c r="O20" s="35" t="s">
        <v>117</v>
      </c>
      <c r="P20" s="35">
        <v>5.0</v>
      </c>
      <c r="Q20" s="35" t="s">
        <v>117</v>
      </c>
      <c r="R20" s="35">
        <v>9.0</v>
      </c>
      <c r="U20" s="35" t="s">
        <v>117</v>
      </c>
      <c r="V20" s="35">
        <v>2.0</v>
      </c>
      <c r="W20" s="35" t="s">
        <v>117</v>
      </c>
      <c r="X20" s="35">
        <v>3.0</v>
      </c>
      <c r="Y20" s="35" t="s">
        <v>117</v>
      </c>
      <c r="Z20" s="35">
        <v>7.0</v>
      </c>
      <c r="AA20" s="35" t="s">
        <v>117</v>
      </c>
      <c r="AB20" s="35">
        <v>5.0</v>
      </c>
      <c r="AC20" s="35" t="s">
        <v>117</v>
      </c>
      <c r="AD20" s="35">
        <v>10.0</v>
      </c>
      <c r="AE20" s="95"/>
      <c r="AF20" s="95"/>
      <c r="AG20" s="35" t="s">
        <v>117</v>
      </c>
      <c r="AH20" s="35">
        <v>2.0</v>
      </c>
      <c r="AI20" s="35" t="s">
        <v>117</v>
      </c>
      <c r="AJ20" s="35">
        <v>3.0</v>
      </c>
      <c r="AK20" s="35" t="s">
        <v>117</v>
      </c>
      <c r="AL20" s="35">
        <v>7.0</v>
      </c>
      <c r="AM20" s="35" t="s">
        <v>117</v>
      </c>
      <c r="AN20" s="35">
        <v>5.0</v>
      </c>
      <c r="AO20" s="35" t="s">
        <v>117</v>
      </c>
      <c r="AP20" s="35">
        <v>7.0</v>
      </c>
      <c r="AQ20" s="95"/>
      <c r="AR20" s="95"/>
      <c r="AS20" s="51" t="s">
        <v>117</v>
      </c>
      <c r="AT20" s="51">
        <v>2.0</v>
      </c>
    </row>
    <row r="21">
      <c r="A21" s="8"/>
      <c r="B21" s="8"/>
      <c r="C21" s="8"/>
      <c r="D21" s="8"/>
      <c r="E21" s="8"/>
      <c r="F21" s="8"/>
      <c r="I21" s="8"/>
      <c r="J21" s="8"/>
      <c r="K21" s="8"/>
      <c r="L21" s="8"/>
      <c r="M21" s="8"/>
      <c r="N21" s="8"/>
      <c r="O21" s="8"/>
      <c r="P21" s="8"/>
      <c r="Q21" s="8"/>
      <c r="R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93"/>
      <c r="AF21" s="93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93"/>
      <c r="AR21" s="93"/>
      <c r="AS21" s="8"/>
      <c r="AT21" s="8"/>
    </row>
    <row r="22">
      <c r="A22" s="8"/>
      <c r="B22" s="69">
        <v>64.0</v>
      </c>
      <c r="C22" s="8"/>
      <c r="D22" s="69">
        <v>81.0</v>
      </c>
      <c r="E22" s="8"/>
      <c r="F22" s="69">
        <v>90.0</v>
      </c>
      <c r="I22" s="8"/>
      <c r="J22" s="69">
        <v>81.0</v>
      </c>
      <c r="K22" s="8"/>
      <c r="L22" s="69">
        <v>81.0</v>
      </c>
      <c r="M22" s="8"/>
      <c r="N22" s="69">
        <v>68.0</v>
      </c>
      <c r="O22" s="8"/>
      <c r="P22" s="69">
        <v>68.0</v>
      </c>
      <c r="Q22" s="8"/>
      <c r="R22" s="69">
        <v>87.0</v>
      </c>
      <c r="U22" s="8"/>
      <c r="V22" s="69">
        <v>81.0</v>
      </c>
      <c r="W22" s="8"/>
      <c r="X22" s="69">
        <v>80.0</v>
      </c>
      <c r="Y22" s="8"/>
      <c r="Z22" s="69">
        <v>70.0</v>
      </c>
      <c r="AA22" s="69"/>
      <c r="AB22" s="69">
        <v>84.0</v>
      </c>
      <c r="AC22" s="69"/>
      <c r="AD22" s="69">
        <v>93.0</v>
      </c>
      <c r="AE22" s="92"/>
      <c r="AF22" s="92"/>
      <c r="AG22" s="69"/>
      <c r="AH22" s="69">
        <v>83.0</v>
      </c>
      <c r="AI22" s="69"/>
      <c r="AJ22" s="69">
        <v>83.0</v>
      </c>
      <c r="AK22" s="69"/>
      <c r="AL22" s="69">
        <v>70.0</v>
      </c>
      <c r="AM22" s="69"/>
      <c r="AN22" s="69">
        <v>87.0</v>
      </c>
      <c r="AO22" s="69"/>
      <c r="AP22" s="69">
        <v>89.0</v>
      </c>
      <c r="AQ22" s="92"/>
      <c r="AR22" s="92"/>
      <c r="AS22" s="69"/>
      <c r="AT22" s="69">
        <v>84.0</v>
      </c>
    </row>
    <row r="23">
      <c r="A23" s="8"/>
      <c r="B23" s="8"/>
      <c r="C23" s="8"/>
      <c r="D23" s="8"/>
      <c r="E23" s="8"/>
      <c r="F23" s="8"/>
      <c r="I23" s="8"/>
      <c r="J23" s="8"/>
      <c r="K23" s="8"/>
      <c r="L23" s="8"/>
      <c r="M23" s="8"/>
      <c r="N23" s="8"/>
      <c r="O23" s="8"/>
      <c r="P23" s="8"/>
      <c r="Q23" s="8"/>
      <c r="R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93"/>
      <c r="AF23" s="93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93"/>
      <c r="AR23" s="93"/>
      <c r="AS23" s="8"/>
      <c r="AT23" s="8"/>
    </row>
    <row r="24">
      <c r="A24" s="35" t="s">
        <v>335</v>
      </c>
      <c r="B24" s="35">
        <v>5.0</v>
      </c>
      <c r="C24" s="35" t="s">
        <v>336</v>
      </c>
      <c r="D24" s="35">
        <v>1.0</v>
      </c>
      <c r="E24" s="35" t="s">
        <v>336</v>
      </c>
      <c r="F24" s="35">
        <v>1.0</v>
      </c>
      <c r="I24" s="35" t="s">
        <v>336</v>
      </c>
      <c r="J24" s="35">
        <v>1.0</v>
      </c>
      <c r="K24" s="35" t="s">
        <v>336</v>
      </c>
      <c r="L24" s="35">
        <v>1.0</v>
      </c>
      <c r="M24" s="35" t="s">
        <v>337</v>
      </c>
      <c r="N24" s="35">
        <v>1.0</v>
      </c>
      <c r="O24" s="35" t="s">
        <v>336</v>
      </c>
      <c r="P24" s="35">
        <v>2.0</v>
      </c>
      <c r="Q24" s="35" t="s">
        <v>336</v>
      </c>
      <c r="R24" s="35">
        <v>2.0</v>
      </c>
      <c r="U24" s="109" t="s">
        <v>336</v>
      </c>
      <c r="V24" s="35">
        <v>1.0</v>
      </c>
      <c r="W24" s="35" t="s">
        <v>336</v>
      </c>
      <c r="X24" s="35">
        <v>1.0</v>
      </c>
      <c r="Y24" s="35" t="s">
        <v>337</v>
      </c>
      <c r="Z24" s="35">
        <v>3.0</v>
      </c>
      <c r="AA24" s="35" t="s">
        <v>336</v>
      </c>
      <c r="AB24" s="35">
        <v>2.0</v>
      </c>
      <c r="AC24" s="35" t="s">
        <v>336</v>
      </c>
      <c r="AD24" s="35">
        <v>2.0</v>
      </c>
      <c r="AE24" s="95"/>
      <c r="AF24" s="95"/>
      <c r="AG24" s="35" t="s">
        <v>336</v>
      </c>
      <c r="AH24" s="35">
        <v>1.0</v>
      </c>
      <c r="AI24" s="35" t="s">
        <v>336</v>
      </c>
      <c r="AJ24" s="35">
        <v>1.0</v>
      </c>
      <c r="AK24" s="35" t="s">
        <v>337</v>
      </c>
      <c r="AL24" s="35">
        <v>3.0</v>
      </c>
      <c r="AM24" s="35" t="s">
        <v>336</v>
      </c>
      <c r="AN24" s="35">
        <v>2.0</v>
      </c>
      <c r="AO24" s="35" t="s">
        <v>336</v>
      </c>
      <c r="AP24" s="35">
        <v>1.0</v>
      </c>
      <c r="AQ24" s="95"/>
      <c r="AR24" s="95"/>
      <c r="AS24" s="51" t="s">
        <v>336</v>
      </c>
      <c r="AT24" s="51">
        <v>1.0</v>
      </c>
    </row>
    <row r="25">
      <c r="A25" s="35" t="s">
        <v>340</v>
      </c>
      <c r="B25" s="35">
        <v>4.0</v>
      </c>
      <c r="C25" s="35" t="s">
        <v>335</v>
      </c>
      <c r="D25" s="35">
        <v>4.0</v>
      </c>
      <c r="E25" s="35" t="s">
        <v>337</v>
      </c>
      <c r="F25" s="35">
        <v>1.0</v>
      </c>
      <c r="I25" s="35" t="s">
        <v>337</v>
      </c>
      <c r="J25" s="35">
        <v>2.0</v>
      </c>
      <c r="K25" s="35" t="s">
        <v>335</v>
      </c>
      <c r="L25" s="35">
        <v>5.0</v>
      </c>
      <c r="M25" s="35" t="s">
        <v>335</v>
      </c>
      <c r="N25" s="35">
        <v>6.0</v>
      </c>
      <c r="O25" s="35" t="s">
        <v>337</v>
      </c>
      <c r="P25" s="35">
        <v>2.0</v>
      </c>
      <c r="Q25" s="35" t="s">
        <v>335</v>
      </c>
      <c r="R25" s="35">
        <v>7.0</v>
      </c>
      <c r="U25" s="35" t="s">
        <v>337</v>
      </c>
      <c r="V25" s="35">
        <v>3.0</v>
      </c>
      <c r="W25" s="35" t="s">
        <v>335</v>
      </c>
      <c r="X25" s="35">
        <v>4.0</v>
      </c>
      <c r="Y25" s="35" t="s">
        <v>335</v>
      </c>
      <c r="Z25" s="35">
        <v>4.0</v>
      </c>
      <c r="AA25" s="35" t="s">
        <v>337</v>
      </c>
      <c r="AB25" s="35">
        <v>2.0</v>
      </c>
      <c r="AC25" s="35" t="s">
        <v>337</v>
      </c>
      <c r="AD25" s="35">
        <v>3.0</v>
      </c>
      <c r="AE25" s="95"/>
      <c r="AF25" s="95"/>
      <c r="AG25" s="35" t="s">
        <v>337</v>
      </c>
      <c r="AH25" s="35">
        <v>3.0</v>
      </c>
      <c r="AI25" s="35" t="s">
        <v>337</v>
      </c>
      <c r="AJ25" s="35">
        <v>1.0</v>
      </c>
      <c r="AK25" s="35" t="s">
        <v>335</v>
      </c>
      <c r="AL25" s="35">
        <v>6.0</v>
      </c>
      <c r="AM25" s="35" t="s">
        <v>337</v>
      </c>
      <c r="AN25" s="35">
        <v>2.0</v>
      </c>
      <c r="AO25" s="35" t="s">
        <v>337</v>
      </c>
      <c r="AP25" s="35">
        <v>2.0</v>
      </c>
      <c r="AQ25" s="95"/>
      <c r="AR25" s="95"/>
      <c r="AS25" s="51" t="s">
        <v>337</v>
      </c>
      <c r="AT25" s="51">
        <v>3.0</v>
      </c>
    </row>
    <row r="26">
      <c r="A26" s="35" t="s">
        <v>343</v>
      </c>
      <c r="B26" s="35">
        <v>6.0</v>
      </c>
      <c r="C26" s="35" t="s">
        <v>340</v>
      </c>
      <c r="D26" s="35">
        <v>6.0</v>
      </c>
      <c r="E26" s="35" t="s">
        <v>335</v>
      </c>
      <c r="F26" s="35">
        <v>6.0</v>
      </c>
      <c r="I26" s="35" t="s">
        <v>335</v>
      </c>
      <c r="J26" s="35">
        <v>2.0</v>
      </c>
      <c r="K26" s="35" t="s">
        <v>340</v>
      </c>
      <c r="L26" s="35">
        <v>1.0</v>
      </c>
      <c r="M26" s="35" t="s">
        <v>340</v>
      </c>
      <c r="N26" s="35">
        <v>4.0</v>
      </c>
      <c r="O26" s="35" t="s">
        <v>335</v>
      </c>
      <c r="P26" s="35">
        <v>3.0</v>
      </c>
      <c r="Q26" s="35" t="s">
        <v>340</v>
      </c>
      <c r="R26" s="35">
        <v>4.0</v>
      </c>
      <c r="U26" s="35" t="s">
        <v>335</v>
      </c>
      <c r="V26" s="35">
        <v>1.0</v>
      </c>
      <c r="W26" s="35" t="s">
        <v>340</v>
      </c>
      <c r="X26" s="35">
        <v>1.0</v>
      </c>
      <c r="Y26" s="35" t="s">
        <v>340</v>
      </c>
      <c r="Z26" s="35">
        <v>4.0</v>
      </c>
      <c r="AA26" s="35" t="s">
        <v>335</v>
      </c>
      <c r="AB26" s="35">
        <v>2.0</v>
      </c>
      <c r="AC26" s="35" t="s">
        <v>335</v>
      </c>
      <c r="AD26" s="35">
        <v>9.0</v>
      </c>
      <c r="AE26" s="95"/>
      <c r="AF26" s="95"/>
      <c r="AG26" s="35" t="s">
        <v>335</v>
      </c>
      <c r="AH26" s="35">
        <v>2.0</v>
      </c>
      <c r="AI26" s="35" t="s">
        <v>335</v>
      </c>
      <c r="AJ26" s="35">
        <v>5.0</v>
      </c>
      <c r="AK26" s="35" t="s">
        <v>340</v>
      </c>
      <c r="AL26" s="35">
        <v>3.0</v>
      </c>
      <c r="AM26" s="35" t="s">
        <v>335</v>
      </c>
      <c r="AN26" s="35">
        <v>3.0</v>
      </c>
      <c r="AO26" s="35" t="s">
        <v>335</v>
      </c>
      <c r="AP26" s="35">
        <v>11.0</v>
      </c>
      <c r="AQ26" s="95"/>
      <c r="AR26" s="95"/>
      <c r="AS26" s="51" t="s">
        <v>335</v>
      </c>
      <c r="AT26" s="51">
        <v>2.0</v>
      </c>
    </row>
    <row r="27">
      <c r="A27" s="35" t="s">
        <v>346</v>
      </c>
      <c r="B27" s="35">
        <v>1.0</v>
      </c>
      <c r="C27" s="35" t="s">
        <v>343</v>
      </c>
      <c r="D27" s="35">
        <v>3.0</v>
      </c>
      <c r="E27" s="35" t="s">
        <v>340</v>
      </c>
      <c r="F27" s="35">
        <v>3.0</v>
      </c>
      <c r="I27" s="109" t="s">
        <v>340</v>
      </c>
      <c r="J27" s="35">
        <v>3.0</v>
      </c>
      <c r="K27" s="35" t="s">
        <v>348</v>
      </c>
      <c r="L27" s="35">
        <v>1.0</v>
      </c>
      <c r="M27" s="35" t="s">
        <v>343</v>
      </c>
      <c r="N27" s="35">
        <v>1.0</v>
      </c>
      <c r="O27" s="35" t="s">
        <v>340</v>
      </c>
      <c r="P27" s="35">
        <v>3.0</v>
      </c>
      <c r="Q27" s="35" t="s">
        <v>343</v>
      </c>
      <c r="R27" s="35">
        <v>2.0</v>
      </c>
      <c r="U27" s="35" t="s">
        <v>340</v>
      </c>
      <c r="V27" s="35">
        <v>2.0</v>
      </c>
      <c r="W27" s="35" t="s">
        <v>343</v>
      </c>
      <c r="X27" s="35">
        <v>2.0</v>
      </c>
      <c r="Y27" s="35" t="s">
        <v>343</v>
      </c>
      <c r="Z27" s="35">
        <v>1.0</v>
      </c>
      <c r="AA27" s="35" t="s">
        <v>340</v>
      </c>
      <c r="AB27" s="35">
        <v>2.0</v>
      </c>
      <c r="AC27" s="35" t="s">
        <v>340</v>
      </c>
      <c r="AD27" s="35">
        <v>3.0</v>
      </c>
      <c r="AE27" s="95"/>
      <c r="AF27" s="95"/>
      <c r="AG27" s="109" t="s">
        <v>340</v>
      </c>
      <c r="AH27" s="35">
        <v>2.0</v>
      </c>
      <c r="AI27" s="35" t="s">
        <v>340</v>
      </c>
      <c r="AJ27" s="35">
        <v>1.0</v>
      </c>
      <c r="AK27" s="35" t="s">
        <v>343</v>
      </c>
      <c r="AL27" s="35">
        <v>2.0</v>
      </c>
      <c r="AM27" s="35" t="s">
        <v>340</v>
      </c>
      <c r="AN27" s="35">
        <v>5.0</v>
      </c>
      <c r="AO27" s="35" t="s">
        <v>340</v>
      </c>
      <c r="AP27" s="35">
        <v>2.0</v>
      </c>
      <c r="AQ27" s="95"/>
      <c r="AR27" s="95"/>
      <c r="AS27" s="125" t="s">
        <v>340</v>
      </c>
      <c r="AT27" s="51">
        <v>2.0</v>
      </c>
    </row>
    <row r="28">
      <c r="A28" s="35" t="s">
        <v>352</v>
      </c>
      <c r="B28" s="35">
        <v>1.0</v>
      </c>
      <c r="C28" s="35" t="s">
        <v>348</v>
      </c>
      <c r="D28" s="35">
        <v>2.0</v>
      </c>
      <c r="E28" s="35" t="s">
        <v>343</v>
      </c>
      <c r="F28" s="35">
        <v>1.0</v>
      </c>
      <c r="I28" s="109" t="s">
        <v>343</v>
      </c>
      <c r="J28" s="35">
        <v>1.0</v>
      </c>
      <c r="K28" s="35" t="s">
        <v>346</v>
      </c>
      <c r="L28" s="35">
        <v>3.0</v>
      </c>
      <c r="M28" s="35" t="s">
        <v>348</v>
      </c>
      <c r="N28" s="35">
        <v>1.0</v>
      </c>
      <c r="O28" s="35" t="s">
        <v>343</v>
      </c>
      <c r="P28" s="35">
        <v>1.0</v>
      </c>
      <c r="Q28" s="35" t="s">
        <v>346</v>
      </c>
      <c r="R28" s="35">
        <v>2.0</v>
      </c>
      <c r="U28" s="35" t="s">
        <v>346</v>
      </c>
      <c r="V28" s="35">
        <v>1.0</v>
      </c>
      <c r="W28" s="35" t="s">
        <v>348</v>
      </c>
      <c r="X28" s="35">
        <v>1.0</v>
      </c>
      <c r="Y28" s="35" t="s">
        <v>348</v>
      </c>
      <c r="Z28" s="35">
        <v>2.0</v>
      </c>
      <c r="AA28" s="35" t="s">
        <v>343</v>
      </c>
      <c r="AB28" s="35">
        <v>1.0</v>
      </c>
      <c r="AC28" s="35" t="s">
        <v>343</v>
      </c>
      <c r="AD28" s="35">
        <v>1.0</v>
      </c>
      <c r="AE28" s="95"/>
      <c r="AF28" s="95"/>
      <c r="AG28" s="109" t="s">
        <v>346</v>
      </c>
      <c r="AH28" s="35">
        <v>2.0</v>
      </c>
      <c r="AI28" s="35" t="s">
        <v>348</v>
      </c>
      <c r="AJ28" s="35">
        <v>1.0</v>
      </c>
      <c r="AK28" s="35" t="s">
        <v>348</v>
      </c>
      <c r="AL28" s="35">
        <v>1.0</v>
      </c>
      <c r="AM28" s="35" t="s">
        <v>343</v>
      </c>
      <c r="AN28" s="35">
        <v>1.0</v>
      </c>
      <c r="AO28" s="109" t="s">
        <v>343</v>
      </c>
      <c r="AP28" s="35">
        <v>2.0</v>
      </c>
      <c r="AQ28" s="95"/>
      <c r="AR28" s="95"/>
      <c r="AS28" s="125" t="s">
        <v>346</v>
      </c>
      <c r="AT28" s="51">
        <v>2.0</v>
      </c>
    </row>
    <row r="29">
      <c r="A29" s="35" t="s">
        <v>356</v>
      </c>
      <c r="B29" s="35">
        <v>1.0</v>
      </c>
      <c r="C29" s="35" t="s">
        <v>346</v>
      </c>
      <c r="D29" s="35">
        <v>2.0</v>
      </c>
      <c r="E29" s="109" t="s">
        <v>346</v>
      </c>
      <c r="F29" s="35">
        <v>2.0</v>
      </c>
      <c r="I29" s="35" t="s">
        <v>352</v>
      </c>
      <c r="J29" s="35">
        <v>4.0</v>
      </c>
      <c r="K29" s="35" t="s">
        <v>352</v>
      </c>
      <c r="L29" s="35">
        <v>1.0</v>
      </c>
      <c r="M29" s="35" t="s">
        <v>346</v>
      </c>
      <c r="N29" s="35">
        <v>1.0</v>
      </c>
      <c r="O29" s="35" t="s">
        <v>346</v>
      </c>
      <c r="P29" s="35">
        <v>4.0</v>
      </c>
      <c r="Q29" s="109" t="s">
        <v>352</v>
      </c>
      <c r="R29" s="35">
        <v>4.0</v>
      </c>
      <c r="U29" s="35" t="s">
        <v>352</v>
      </c>
      <c r="V29" s="35">
        <v>3.0</v>
      </c>
      <c r="W29" s="35" t="s">
        <v>346</v>
      </c>
      <c r="X29" s="35">
        <v>3.0</v>
      </c>
      <c r="Y29" s="35" t="s">
        <v>346</v>
      </c>
      <c r="Z29" s="35">
        <v>1.0</v>
      </c>
      <c r="AA29" s="35" t="s">
        <v>346</v>
      </c>
      <c r="AB29" s="35">
        <v>3.0</v>
      </c>
      <c r="AC29" s="109" t="s">
        <v>346</v>
      </c>
      <c r="AD29" s="35">
        <v>2.0</v>
      </c>
      <c r="AE29" s="95"/>
      <c r="AF29" s="95"/>
      <c r="AG29" s="35" t="s">
        <v>352</v>
      </c>
      <c r="AH29" s="35">
        <v>3.0</v>
      </c>
      <c r="AI29" s="35" t="s">
        <v>346</v>
      </c>
      <c r="AJ29" s="35">
        <v>3.0</v>
      </c>
      <c r="AK29" s="35" t="s">
        <v>346</v>
      </c>
      <c r="AL29" s="35">
        <v>3.0</v>
      </c>
      <c r="AM29" s="35" t="s">
        <v>346</v>
      </c>
      <c r="AN29" s="35">
        <v>3.0</v>
      </c>
      <c r="AO29" s="109" t="s">
        <v>346</v>
      </c>
      <c r="AP29" s="35">
        <v>1.0</v>
      </c>
      <c r="AQ29" s="95"/>
      <c r="AR29" s="95"/>
      <c r="AS29" s="51" t="s">
        <v>352</v>
      </c>
      <c r="AT29" s="51">
        <v>3.0</v>
      </c>
    </row>
    <row r="30">
      <c r="A30" s="35" t="s">
        <v>359</v>
      </c>
      <c r="B30" s="35">
        <v>1.0</v>
      </c>
      <c r="C30" s="35" t="s">
        <v>352</v>
      </c>
      <c r="D30" s="35">
        <v>2.0</v>
      </c>
      <c r="E30" s="109" t="s">
        <v>352</v>
      </c>
      <c r="F30" s="35">
        <v>3.0</v>
      </c>
      <c r="I30" s="35" t="s">
        <v>356</v>
      </c>
      <c r="J30" s="35">
        <v>2.0</v>
      </c>
      <c r="K30" s="35" t="s">
        <v>361</v>
      </c>
      <c r="L30" s="35">
        <v>1.0</v>
      </c>
      <c r="M30" s="35" t="s">
        <v>352</v>
      </c>
      <c r="N30" s="35">
        <v>1.0</v>
      </c>
      <c r="O30" s="35" t="s">
        <v>352</v>
      </c>
      <c r="P30" s="35">
        <v>3.0</v>
      </c>
      <c r="Q30" s="109" t="s">
        <v>356</v>
      </c>
      <c r="R30" s="35">
        <v>1.0</v>
      </c>
      <c r="U30" s="35" t="s">
        <v>356</v>
      </c>
      <c r="V30" s="35">
        <v>1.0</v>
      </c>
      <c r="W30" s="35" t="s">
        <v>352</v>
      </c>
      <c r="X30" s="35">
        <v>1.0</v>
      </c>
      <c r="Y30" s="35" t="s">
        <v>352</v>
      </c>
      <c r="Z30" s="35">
        <v>1.0</v>
      </c>
      <c r="AA30" s="35" t="s">
        <v>352</v>
      </c>
      <c r="AB30" s="35">
        <v>3.0</v>
      </c>
      <c r="AC30" s="109" t="s">
        <v>352</v>
      </c>
      <c r="AD30" s="35">
        <v>3.0</v>
      </c>
      <c r="AE30" s="95"/>
      <c r="AF30" s="95"/>
      <c r="AG30" s="35" t="s">
        <v>356</v>
      </c>
      <c r="AH30" s="35">
        <v>1.0</v>
      </c>
      <c r="AI30" s="35" t="s">
        <v>352</v>
      </c>
      <c r="AJ30" s="35">
        <v>1.0</v>
      </c>
      <c r="AK30" s="35" t="s">
        <v>352</v>
      </c>
      <c r="AL30" s="35">
        <v>1.0</v>
      </c>
      <c r="AM30" s="35" t="s">
        <v>352</v>
      </c>
      <c r="AN30" s="35">
        <v>4.0</v>
      </c>
      <c r="AO30" s="109" t="s">
        <v>352</v>
      </c>
      <c r="AP30" s="35">
        <v>3.0</v>
      </c>
      <c r="AQ30" s="95"/>
      <c r="AR30" s="95"/>
      <c r="AS30" s="51" t="s">
        <v>356</v>
      </c>
      <c r="AT30" s="51">
        <v>1.0</v>
      </c>
    </row>
    <row r="31">
      <c r="A31" s="35" t="s">
        <v>364</v>
      </c>
      <c r="B31" s="35">
        <v>1.0</v>
      </c>
      <c r="C31" s="35" t="s">
        <v>356</v>
      </c>
      <c r="D31" s="35">
        <v>1.0</v>
      </c>
      <c r="E31" s="109" t="s">
        <v>365</v>
      </c>
      <c r="F31" s="35">
        <v>1.0</v>
      </c>
      <c r="I31" s="35" t="s">
        <v>359</v>
      </c>
      <c r="J31" s="35">
        <v>2.0</v>
      </c>
      <c r="K31" s="35" t="s">
        <v>365</v>
      </c>
      <c r="L31" s="35">
        <v>5.0</v>
      </c>
      <c r="M31" s="35" t="s">
        <v>356</v>
      </c>
      <c r="N31" s="35">
        <v>2.0</v>
      </c>
      <c r="O31" s="35" t="s">
        <v>361</v>
      </c>
      <c r="P31" s="35">
        <v>1.0</v>
      </c>
      <c r="Q31" s="109" t="s">
        <v>359</v>
      </c>
      <c r="R31" s="35">
        <v>2.0</v>
      </c>
      <c r="U31" s="35" t="s">
        <v>361</v>
      </c>
      <c r="V31" s="35">
        <v>1.0</v>
      </c>
      <c r="W31" s="35" t="s">
        <v>361</v>
      </c>
      <c r="X31" s="35">
        <v>1.0</v>
      </c>
      <c r="Y31" s="35" t="s">
        <v>356</v>
      </c>
      <c r="Z31" s="35">
        <v>1.0</v>
      </c>
      <c r="AA31" s="35" t="s">
        <v>361</v>
      </c>
      <c r="AB31" s="35">
        <v>1.0</v>
      </c>
      <c r="AC31" s="109" t="s">
        <v>356</v>
      </c>
      <c r="AD31" s="35">
        <v>1.0</v>
      </c>
      <c r="AE31" s="95"/>
      <c r="AF31" s="95"/>
      <c r="AG31" s="35" t="s">
        <v>361</v>
      </c>
      <c r="AH31" s="35">
        <v>1.0</v>
      </c>
      <c r="AI31" s="35" t="s">
        <v>356</v>
      </c>
      <c r="AJ31" s="35">
        <v>1.0</v>
      </c>
      <c r="AK31" s="35" t="s">
        <v>356</v>
      </c>
      <c r="AL31" s="35">
        <v>1.0</v>
      </c>
      <c r="AM31" s="35" t="s">
        <v>364</v>
      </c>
      <c r="AN31" s="35">
        <v>1.0</v>
      </c>
      <c r="AO31" s="109" t="s">
        <v>365</v>
      </c>
      <c r="AP31" s="35">
        <v>1.0</v>
      </c>
      <c r="AQ31" s="95"/>
      <c r="AR31" s="95"/>
      <c r="AS31" s="51" t="s">
        <v>361</v>
      </c>
      <c r="AT31" s="51">
        <v>1.0</v>
      </c>
    </row>
    <row r="32">
      <c r="A32" s="35" t="s">
        <v>367</v>
      </c>
      <c r="B32" s="35">
        <v>2.0</v>
      </c>
      <c r="C32" s="35" t="s">
        <v>367</v>
      </c>
      <c r="D32" s="35">
        <v>1.0</v>
      </c>
      <c r="E32" s="109" t="s">
        <v>359</v>
      </c>
      <c r="F32" s="35">
        <v>1.0</v>
      </c>
      <c r="I32" s="35" t="s">
        <v>370</v>
      </c>
      <c r="J32" s="35">
        <v>1.0</v>
      </c>
      <c r="K32" s="35" t="s">
        <v>359</v>
      </c>
      <c r="L32" s="35">
        <v>2.0</v>
      </c>
      <c r="M32" s="35" t="s">
        <v>359</v>
      </c>
      <c r="N32" s="35">
        <v>2.0</v>
      </c>
      <c r="O32" s="35" t="s">
        <v>364</v>
      </c>
      <c r="P32" s="35">
        <v>1.0</v>
      </c>
      <c r="Q32" s="109" t="s">
        <v>371</v>
      </c>
      <c r="R32" s="35">
        <v>3.0</v>
      </c>
      <c r="U32" s="35" t="s">
        <v>359</v>
      </c>
      <c r="V32" s="35">
        <v>3.0</v>
      </c>
      <c r="W32" s="35" t="s">
        <v>365</v>
      </c>
      <c r="X32" s="35">
        <v>5.0</v>
      </c>
      <c r="Y32" s="35" t="s">
        <v>361</v>
      </c>
      <c r="Z32" s="35">
        <v>2.0</v>
      </c>
      <c r="AA32" s="35" t="s">
        <v>364</v>
      </c>
      <c r="AB32" s="35">
        <v>1.0</v>
      </c>
      <c r="AC32" s="109" t="s">
        <v>365</v>
      </c>
      <c r="AD32" s="35">
        <v>1.0</v>
      </c>
      <c r="AE32" s="95"/>
      <c r="AF32" s="95"/>
      <c r="AG32" s="35" t="s">
        <v>359</v>
      </c>
      <c r="AH32" s="35">
        <v>2.0</v>
      </c>
      <c r="AI32" s="35" t="s">
        <v>361</v>
      </c>
      <c r="AJ32" s="35">
        <v>1.0</v>
      </c>
      <c r="AK32" s="35" t="s">
        <v>361</v>
      </c>
      <c r="AL32" s="35">
        <v>1.0</v>
      </c>
      <c r="AM32" s="35" t="s">
        <v>373</v>
      </c>
      <c r="AN32" s="35">
        <v>1.0</v>
      </c>
      <c r="AO32" s="109" t="s">
        <v>371</v>
      </c>
      <c r="AP32" s="35">
        <v>2.0</v>
      </c>
      <c r="AQ32" s="95"/>
      <c r="AR32" s="95"/>
      <c r="AS32" s="51" t="s">
        <v>359</v>
      </c>
      <c r="AT32" s="51">
        <v>2.0</v>
      </c>
    </row>
    <row r="33">
      <c r="A33" s="35" t="s">
        <v>373</v>
      </c>
      <c r="B33" s="35">
        <v>1.0</v>
      </c>
      <c r="C33" s="35" t="s">
        <v>371</v>
      </c>
      <c r="D33" s="35">
        <v>3.0</v>
      </c>
      <c r="E33" s="109" t="s">
        <v>364</v>
      </c>
      <c r="F33" s="35">
        <v>1.0</v>
      </c>
      <c r="I33" s="35" t="s">
        <v>367</v>
      </c>
      <c r="J33" s="35">
        <v>7.0</v>
      </c>
      <c r="K33" s="35" t="s">
        <v>364</v>
      </c>
      <c r="L33" s="35">
        <v>1.0</v>
      </c>
      <c r="M33" s="35" t="s">
        <v>364</v>
      </c>
      <c r="N33" s="35">
        <v>1.0</v>
      </c>
      <c r="O33" s="35" t="s">
        <v>371</v>
      </c>
      <c r="P33" s="35">
        <v>2.0</v>
      </c>
      <c r="Q33" s="109" t="s">
        <v>376</v>
      </c>
      <c r="R33" s="35">
        <v>3.0</v>
      </c>
      <c r="U33" s="35" t="s">
        <v>367</v>
      </c>
      <c r="V33" s="35">
        <v>6.0</v>
      </c>
      <c r="W33" s="35" t="s">
        <v>359</v>
      </c>
      <c r="X33" s="35">
        <v>2.0</v>
      </c>
      <c r="Y33" s="35" t="s">
        <v>359</v>
      </c>
      <c r="Z33" s="35">
        <v>2.0</v>
      </c>
      <c r="AA33" s="35" t="s">
        <v>371</v>
      </c>
      <c r="AB33" s="35">
        <v>1.0</v>
      </c>
      <c r="AC33" s="109" t="s">
        <v>359</v>
      </c>
      <c r="AD33" s="35">
        <v>1.0</v>
      </c>
      <c r="AE33" s="95"/>
      <c r="AF33" s="95"/>
      <c r="AG33" s="35" t="s">
        <v>364</v>
      </c>
      <c r="AH33" s="35">
        <v>1.0</v>
      </c>
      <c r="AI33" s="35" t="s">
        <v>365</v>
      </c>
      <c r="AJ33" s="35">
        <v>5.0</v>
      </c>
      <c r="AK33" s="35" t="s">
        <v>365</v>
      </c>
      <c r="AL33" s="35">
        <v>1.0</v>
      </c>
      <c r="AM33" s="35" t="s">
        <v>371</v>
      </c>
      <c r="AN33" s="35">
        <v>1.0</v>
      </c>
      <c r="AO33" s="109" t="s">
        <v>379</v>
      </c>
      <c r="AP33" s="35">
        <v>1.0</v>
      </c>
      <c r="AQ33" s="95"/>
      <c r="AR33" s="95"/>
      <c r="AS33" s="51" t="s">
        <v>364</v>
      </c>
      <c r="AT33" s="51">
        <v>1.0</v>
      </c>
    </row>
    <row r="34">
      <c r="A34" s="35" t="s">
        <v>371</v>
      </c>
      <c r="B34" s="35">
        <v>1.0</v>
      </c>
      <c r="C34" s="35" t="s">
        <v>376</v>
      </c>
      <c r="D34" s="35">
        <v>2.0</v>
      </c>
      <c r="E34" s="109" t="s">
        <v>367</v>
      </c>
      <c r="F34" s="35">
        <v>1.0</v>
      </c>
      <c r="I34" s="35" t="s">
        <v>371</v>
      </c>
      <c r="J34" s="35">
        <v>4.0</v>
      </c>
      <c r="K34" s="35" t="s">
        <v>367</v>
      </c>
      <c r="L34" s="35">
        <v>2.0</v>
      </c>
      <c r="M34" s="35" t="s">
        <v>367</v>
      </c>
      <c r="N34" s="35">
        <v>3.0</v>
      </c>
      <c r="O34" s="35" t="s">
        <v>376</v>
      </c>
      <c r="P34" s="35">
        <v>2.0</v>
      </c>
      <c r="Q34" s="109" t="s">
        <v>382</v>
      </c>
      <c r="R34" s="35">
        <v>2.0</v>
      </c>
      <c r="U34" s="35" t="s">
        <v>371</v>
      </c>
      <c r="V34" s="35">
        <v>3.0</v>
      </c>
      <c r="W34" s="35" t="s">
        <v>364</v>
      </c>
      <c r="X34" s="35">
        <v>1.0</v>
      </c>
      <c r="Y34" s="35" t="s">
        <v>364</v>
      </c>
      <c r="Z34" s="35">
        <v>1.0</v>
      </c>
      <c r="AA34" s="35" t="s">
        <v>384</v>
      </c>
      <c r="AB34" s="35">
        <v>1.0</v>
      </c>
      <c r="AC34" s="109" t="s">
        <v>371</v>
      </c>
      <c r="AD34" s="35">
        <v>2.0</v>
      </c>
      <c r="AE34" s="95"/>
      <c r="AF34" s="95"/>
      <c r="AG34" s="35" t="s">
        <v>367</v>
      </c>
      <c r="AH34" s="35">
        <v>6.0</v>
      </c>
      <c r="AI34" s="35" t="s">
        <v>359</v>
      </c>
      <c r="AJ34" s="35">
        <v>3.0</v>
      </c>
      <c r="AK34" s="35" t="s">
        <v>359</v>
      </c>
      <c r="AL34" s="35">
        <v>1.0</v>
      </c>
      <c r="AM34" s="35" t="s">
        <v>384</v>
      </c>
      <c r="AN34" s="35">
        <v>1.0</v>
      </c>
      <c r="AO34" s="109" t="s">
        <v>376</v>
      </c>
      <c r="AP34" s="35">
        <v>6.0</v>
      </c>
      <c r="AQ34" s="95"/>
      <c r="AR34" s="95"/>
      <c r="AS34" s="51" t="s">
        <v>367</v>
      </c>
      <c r="AT34" s="51">
        <v>6.0</v>
      </c>
    </row>
    <row r="35">
      <c r="A35" s="35" t="s">
        <v>388</v>
      </c>
      <c r="B35" s="35">
        <v>1.0</v>
      </c>
      <c r="C35" s="35" t="s">
        <v>382</v>
      </c>
      <c r="D35" s="35">
        <v>2.0</v>
      </c>
      <c r="E35" s="109" t="s">
        <v>371</v>
      </c>
      <c r="F35" s="35">
        <v>1.0</v>
      </c>
      <c r="I35" s="35" t="s">
        <v>376</v>
      </c>
      <c r="J35" s="35">
        <v>1.0</v>
      </c>
      <c r="K35" s="35" t="s">
        <v>371</v>
      </c>
      <c r="L35" s="35">
        <v>2.0</v>
      </c>
      <c r="M35" s="35" t="s">
        <v>373</v>
      </c>
      <c r="N35" s="35">
        <v>1.0</v>
      </c>
      <c r="O35" s="35" t="s">
        <v>382</v>
      </c>
      <c r="P35" s="35">
        <v>5.0</v>
      </c>
      <c r="Q35" s="109" t="s">
        <v>391</v>
      </c>
      <c r="R35" s="35">
        <v>1.0</v>
      </c>
      <c r="U35" s="35" t="s">
        <v>379</v>
      </c>
      <c r="V35" s="35">
        <v>1.0</v>
      </c>
      <c r="W35" s="35" t="s">
        <v>367</v>
      </c>
      <c r="X35" s="35">
        <v>2.0</v>
      </c>
      <c r="Y35" s="35" t="s">
        <v>367</v>
      </c>
      <c r="Z35" s="35">
        <v>2.0</v>
      </c>
      <c r="AA35" s="35" t="s">
        <v>376</v>
      </c>
      <c r="AB35" s="35">
        <v>1.0</v>
      </c>
      <c r="AC35" s="109" t="s">
        <v>376</v>
      </c>
      <c r="AD35" s="35">
        <v>5.0</v>
      </c>
      <c r="AE35" s="95"/>
      <c r="AF35" s="95"/>
      <c r="AG35" s="35" t="s">
        <v>371</v>
      </c>
      <c r="AH35" s="35">
        <v>1.0</v>
      </c>
      <c r="AI35" s="35" t="s">
        <v>364</v>
      </c>
      <c r="AJ35" s="35">
        <v>1.0</v>
      </c>
      <c r="AK35" s="35" t="s">
        <v>364</v>
      </c>
      <c r="AL35" s="35">
        <v>1.0</v>
      </c>
      <c r="AM35" s="35" t="s">
        <v>376</v>
      </c>
      <c r="AN35" s="35">
        <v>1.0</v>
      </c>
      <c r="AO35" s="109" t="s">
        <v>382</v>
      </c>
      <c r="AP35" s="35">
        <v>1.0</v>
      </c>
      <c r="AQ35" s="95"/>
      <c r="AR35" s="95"/>
      <c r="AS35" s="51" t="s">
        <v>371</v>
      </c>
      <c r="AT35" s="51">
        <v>1.0</v>
      </c>
    </row>
    <row r="36">
      <c r="A36" s="35" t="s">
        <v>376</v>
      </c>
      <c r="B36" s="35">
        <v>1.0</v>
      </c>
      <c r="C36" s="109" t="s">
        <v>394</v>
      </c>
      <c r="D36" s="35">
        <v>1.0</v>
      </c>
      <c r="E36" s="109" t="s">
        <v>376</v>
      </c>
      <c r="F36" s="35">
        <v>2.0</v>
      </c>
      <c r="I36" s="35" t="s">
        <v>382</v>
      </c>
      <c r="J36" s="35">
        <v>2.0</v>
      </c>
      <c r="K36" s="35" t="s">
        <v>376</v>
      </c>
      <c r="L36" s="35">
        <v>1.0</v>
      </c>
      <c r="M36" s="35" t="s">
        <v>371</v>
      </c>
      <c r="N36" s="35">
        <v>2.0</v>
      </c>
      <c r="O36" s="109" t="s">
        <v>394</v>
      </c>
      <c r="P36" s="35">
        <v>1.0</v>
      </c>
      <c r="Q36" s="109" t="s">
        <v>396</v>
      </c>
      <c r="R36" s="35">
        <v>1.0</v>
      </c>
      <c r="U36" s="35" t="s">
        <v>376</v>
      </c>
      <c r="V36" s="35">
        <v>1.0</v>
      </c>
      <c r="W36" s="35" t="s">
        <v>371</v>
      </c>
      <c r="X36" s="35">
        <v>2.0</v>
      </c>
      <c r="Y36" s="35" t="s">
        <v>373</v>
      </c>
      <c r="Z36" s="35">
        <v>1.0</v>
      </c>
      <c r="AA36" s="109" t="s">
        <v>382</v>
      </c>
      <c r="AB36" s="35">
        <v>4.0</v>
      </c>
      <c r="AC36" s="109" t="s">
        <v>382</v>
      </c>
      <c r="AD36" s="35">
        <v>2.0</v>
      </c>
      <c r="AE36" s="95"/>
      <c r="AF36" s="95"/>
      <c r="AG36" s="35" t="s">
        <v>384</v>
      </c>
      <c r="AH36" s="35">
        <v>1.0</v>
      </c>
      <c r="AI36" s="35" t="s">
        <v>367</v>
      </c>
      <c r="AJ36" s="35">
        <v>2.0</v>
      </c>
      <c r="AK36" s="35" t="s">
        <v>367</v>
      </c>
      <c r="AL36" s="35">
        <v>3.0</v>
      </c>
      <c r="AM36" s="35" t="s">
        <v>382</v>
      </c>
      <c r="AN36" s="35">
        <v>3.0</v>
      </c>
      <c r="AO36" s="109" t="s">
        <v>398</v>
      </c>
      <c r="AP36" s="35">
        <v>1.0</v>
      </c>
      <c r="AQ36" s="95"/>
      <c r="AR36" s="95"/>
      <c r="AS36" s="51" t="s">
        <v>384</v>
      </c>
      <c r="AT36" s="51">
        <v>1.0</v>
      </c>
    </row>
    <row r="37">
      <c r="A37" s="35" t="s">
        <v>382</v>
      </c>
      <c r="B37" s="35">
        <v>3.0</v>
      </c>
      <c r="C37" s="109" t="s">
        <v>400</v>
      </c>
      <c r="D37" s="35">
        <v>1.0</v>
      </c>
      <c r="E37" s="109" t="s">
        <v>382</v>
      </c>
      <c r="F37" s="35">
        <v>1.0</v>
      </c>
      <c r="I37" s="35" t="s">
        <v>401</v>
      </c>
      <c r="J37" s="35">
        <v>2.0</v>
      </c>
      <c r="K37" s="35" t="s">
        <v>382</v>
      </c>
      <c r="L37" s="35">
        <v>4.0</v>
      </c>
      <c r="M37" s="35" t="s">
        <v>376</v>
      </c>
      <c r="N37" s="35">
        <v>2.0</v>
      </c>
      <c r="O37" s="109" t="s">
        <v>400</v>
      </c>
      <c r="P37" s="35">
        <v>1.0</v>
      </c>
      <c r="Q37" s="109" t="s">
        <v>403</v>
      </c>
      <c r="R37" s="35">
        <v>1.0</v>
      </c>
      <c r="U37" s="35" t="s">
        <v>405</v>
      </c>
      <c r="V37" s="35">
        <v>1.0</v>
      </c>
      <c r="W37" s="35" t="s">
        <v>376</v>
      </c>
      <c r="X37" s="35">
        <v>1.0</v>
      </c>
      <c r="Y37" s="35" t="s">
        <v>371</v>
      </c>
      <c r="Z37" s="35">
        <v>2.0</v>
      </c>
      <c r="AA37" s="109" t="s">
        <v>394</v>
      </c>
      <c r="AB37" s="35">
        <v>1.0</v>
      </c>
      <c r="AC37" s="109" t="s">
        <v>391</v>
      </c>
      <c r="AD37" s="35">
        <v>2.0</v>
      </c>
      <c r="AE37" s="95"/>
      <c r="AF37" s="95"/>
      <c r="AG37" s="35" t="s">
        <v>379</v>
      </c>
      <c r="AH37" s="35">
        <v>1.0</v>
      </c>
      <c r="AI37" s="35" t="s">
        <v>371</v>
      </c>
      <c r="AJ37" s="35">
        <v>2.0</v>
      </c>
      <c r="AK37" s="35" t="s">
        <v>371</v>
      </c>
      <c r="AL37" s="35">
        <v>2.0</v>
      </c>
      <c r="AM37" s="109" t="s">
        <v>401</v>
      </c>
      <c r="AN37" s="35">
        <v>1.0</v>
      </c>
      <c r="AO37" s="109" t="s">
        <v>391</v>
      </c>
      <c r="AP37" s="35">
        <v>2.0</v>
      </c>
      <c r="AQ37" s="95"/>
      <c r="AR37" s="95"/>
      <c r="AS37" s="51" t="s">
        <v>379</v>
      </c>
      <c r="AT37" s="51">
        <v>1.0</v>
      </c>
    </row>
    <row r="38">
      <c r="A38" s="35" t="s">
        <v>408</v>
      </c>
      <c r="B38" s="35">
        <v>1.0</v>
      </c>
      <c r="C38" s="109" t="s">
        <v>409</v>
      </c>
      <c r="D38" s="35">
        <v>1.0</v>
      </c>
      <c r="E38" s="109" t="s">
        <v>411</v>
      </c>
      <c r="F38" s="35">
        <v>1.0</v>
      </c>
      <c r="I38" s="35" t="s">
        <v>412</v>
      </c>
      <c r="J38" s="35">
        <v>1.0</v>
      </c>
      <c r="K38" s="35" t="s">
        <v>413</v>
      </c>
      <c r="L38" s="35">
        <v>1.0</v>
      </c>
      <c r="M38" s="35" t="s">
        <v>382</v>
      </c>
      <c r="N38" s="35">
        <v>3.0</v>
      </c>
      <c r="O38" s="109" t="s">
        <v>403</v>
      </c>
      <c r="P38" s="35">
        <v>1.0</v>
      </c>
      <c r="Q38" s="109" t="s">
        <v>408</v>
      </c>
      <c r="R38" s="35">
        <v>2.0</v>
      </c>
      <c r="U38" s="35" t="s">
        <v>382</v>
      </c>
      <c r="V38" s="35">
        <v>2.0</v>
      </c>
      <c r="W38" s="35" t="s">
        <v>382</v>
      </c>
      <c r="X38" s="35">
        <v>5.0</v>
      </c>
      <c r="Y38" s="35" t="s">
        <v>376</v>
      </c>
      <c r="Z38" s="35">
        <v>2.0</v>
      </c>
      <c r="AA38" s="109" t="s">
        <v>400</v>
      </c>
      <c r="AB38" s="35">
        <v>1.0</v>
      </c>
      <c r="AC38" s="109" t="s">
        <v>403</v>
      </c>
      <c r="AD38" s="35">
        <v>1.0</v>
      </c>
      <c r="AE38" s="95"/>
      <c r="AF38" s="95"/>
      <c r="AG38" s="35" t="s">
        <v>415</v>
      </c>
      <c r="AH38" s="35">
        <v>1.0</v>
      </c>
      <c r="AI38" s="35" t="s">
        <v>376</v>
      </c>
      <c r="AJ38" s="35">
        <v>3.0</v>
      </c>
      <c r="AK38" s="35" t="s">
        <v>376</v>
      </c>
      <c r="AL38" s="35">
        <v>1.0</v>
      </c>
      <c r="AM38" s="109" t="s">
        <v>394</v>
      </c>
      <c r="AN38" s="35">
        <v>1.0</v>
      </c>
      <c r="AO38" s="109" t="s">
        <v>403</v>
      </c>
      <c r="AP38" s="35">
        <v>1.0</v>
      </c>
      <c r="AQ38" s="95"/>
      <c r="AR38" s="95"/>
      <c r="AS38" s="51" t="s">
        <v>415</v>
      </c>
      <c r="AT38" s="51">
        <v>1.0</v>
      </c>
    </row>
    <row r="39">
      <c r="A39" s="35" t="s">
        <v>417</v>
      </c>
      <c r="B39" s="35">
        <v>3.0</v>
      </c>
      <c r="C39" s="35" t="s">
        <v>419</v>
      </c>
      <c r="D39" s="35">
        <v>1.0</v>
      </c>
      <c r="E39" s="109" t="s">
        <v>401</v>
      </c>
      <c r="F39" s="35">
        <v>1.0</v>
      </c>
      <c r="I39" s="35" t="s">
        <v>400</v>
      </c>
      <c r="J39" s="35">
        <v>1.0</v>
      </c>
      <c r="K39" s="35" t="s">
        <v>391</v>
      </c>
      <c r="L39" s="35">
        <v>1.0</v>
      </c>
      <c r="M39" s="35" t="s">
        <v>401</v>
      </c>
      <c r="N39" s="35">
        <v>2.0</v>
      </c>
      <c r="O39" s="109" t="s">
        <v>419</v>
      </c>
      <c r="P39" s="35">
        <v>3.0</v>
      </c>
      <c r="Q39" s="35" t="s">
        <v>421</v>
      </c>
      <c r="R39" s="35">
        <v>1.0</v>
      </c>
      <c r="U39" s="35" t="s">
        <v>422</v>
      </c>
      <c r="V39" s="35">
        <v>1.0</v>
      </c>
      <c r="W39" s="35" t="s">
        <v>398</v>
      </c>
      <c r="X39" s="35">
        <v>1.0</v>
      </c>
      <c r="Y39" s="35" t="s">
        <v>382</v>
      </c>
      <c r="Z39" s="35">
        <v>2.0</v>
      </c>
      <c r="AA39" s="109" t="s">
        <v>419</v>
      </c>
      <c r="AB39" s="35">
        <v>3.0</v>
      </c>
      <c r="AC39" s="109" t="s">
        <v>408</v>
      </c>
      <c r="AD39" s="35">
        <v>1.0</v>
      </c>
      <c r="AE39" s="95"/>
      <c r="AF39" s="95"/>
      <c r="AG39" s="35" t="s">
        <v>376</v>
      </c>
      <c r="AH39" s="35">
        <v>4.0</v>
      </c>
      <c r="AI39" s="35" t="s">
        <v>382</v>
      </c>
      <c r="AJ39" s="35">
        <v>3.0</v>
      </c>
      <c r="AK39" s="35" t="s">
        <v>382</v>
      </c>
      <c r="AL39" s="35">
        <v>2.0</v>
      </c>
      <c r="AM39" s="109" t="s">
        <v>400</v>
      </c>
      <c r="AN39" s="35">
        <v>1.0</v>
      </c>
      <c r="AO39" s="35" t="s">
        <v>408</v>
      </c>
      <c r="AP39" s="35">
        <v>2.0</v>
      </c>
      <c r="AQ39" s="95"/>
      <c r="AR39" s="95"/>
      <c r="AS39" s="51" t="s">
        <v>376</v>
      </c>
      <c r="AT39" s="51">
        <v>4.0</v>
      </c>
    </row>
    <row r="40">
      <c r="A40" s="35" t="s">
        <v>426</v>
      </c>
      <c r="B40" s="35">
        <v>1.0</v>
      </c>
      <c r="C40" s="35" t="s">
        <v>408</v>
      </c>
      <c r="D40" s="35">
        <v>4.0</v>
      </c>
      <c r="E40" s="35" t="s">
        <v>412</v>
      </c>
      <c r="F40" s="35">
        <v>1.0</v>
      </c>
      <c r="I40" s="35" t="s">
        <v>409</v>
      </c>
      <c r="J40" s="35">
        <v>1.0</v>
      </c>
      <c r="K40" s="35" t="s">
        <v>428</v>
      </c>
      <c r="L40" s="35">
        <v>1.0</v>
      </c>
      <c r="M40" s="35" t="s">
        <v>409</v>
      </c>
      <c r="N40" s="35">
        <v>1.0</v>
      </c>
      <c r="O40" s="109" t="s">
        <v>408</v>
      </c>
      <c r="P40" s="35">
        <v>4.0</v>
      </c>
      <c r="Q40" s="35" t="s">
        <v>431</v>
      </c>
      <c r="R40" s="35">
        <v>1.0</v>
      </c>
      <c r="U40" s="35" t="s">
        <v>432</v>
      </c>
      <c r="V40" s="35">
        <v>1.0</v>
      </c>
      <c r="W40" s="35" t="s">
        <v>413</v>
      </c>
      <c r="X40" s="35">
        <v>1.0</v>
      </c>
      <c r="Y40" s="35" t="s">
        <v>398</v>
      </c>
      <c r="Z40" s="35">
        <v>1.0</v>
      </c>
      <c r="AA40" s="35" t="s">
        <v>408</v>
      </c>
      <c r="AB40" s="35">
        <v>4.0</v>
      </c>
      <c r="AC40" s="35" t="s">
        <v>431</v>
      </c>
      <c r="AD40" s="35">
        <v>1.0</v>
      </c>
      <c r="AE40" s="95"/>
      <c r="AF40" s="95"/>
      <c r="AG40" s="35" t="s">
        <v>405</v>
      </c>
      <c r="AH40" s="35">
        <v>1.0</v>
      </c>
      <c r="AI40" s="35" t="s">
        <v>413</v>
      </c>
      <c r="AJ40" s="35">
        <v>1.0</v>
      </c>
      <c r="AK40" s="35" t="s">
        <v>411</v>
      </c>
      <c r="AL40" s="35">
        <v>1.0</v>
      </c>
      <c r="AM40" s="109" t="s">
        <v>419</v>
      </c>
      <c r="AN40" s="35">
        <v>2.0</v>
      </c>
      <c r="AO40" s="35" t="s">
        <v>436</v>
      </c>
      <c r="AP40" s="35">
        <v>1.0</v>
      </c>
      <c r="AQ40" s="95"/>
      <c r="AR40" s="95"/>
      <c r="AS40" s="51" t="s">
        <v>405</v>
      </c>
      <c r="AT40" s="51">
        <v>1.0</v>
      </c>
    </row>
    <row r="41">
      <c r="A41" s="35" t="s">
        <v>431</v>
      </c>
      <c r="B41" s="35">
        <v>1.0</v>
      </c>
      <c r="C41" s="35" t="s">
        <v>417</v>
      </c>
      <c r="D41" s="35">
        <v>1.0</v>
      </c>
      <c r="E41" s="35" t="s">
        <v>391</v>
      </c>
      <c r="F41" s="35">
        <v>1.0</v>
      </c>
      <c r="I41" s="35" t="s">
        <v>438</v>
      </c>
      <c r="J41" s="35">
        <v>1.0</v>
      </c>
      <c r="K41" s="35" t="s">
        <v>400</v>
      </c>
      <c r="L41" s="35">
        <v>1.0</v>
      </c>
      <c r="M41" s="35" t="s">
        <v>408</v>
      </c>
      <c r="N41" s="35">
        <v>1.0</v>
      </c>
      <c r="O41" s="35" t="s">
        <v>440</v>
      </c>
      <c r="P41" s="35">
        <v>1.0</v>
      </c>
      <c r="Q41" s="35" t="s">
        <v>436</v>
      </c>
      <c r="R41" s="35">
        <v>1.0</v>
      </c>
      <c r="U41" s="35" t="s">
        <v>412</v>
      </c>
      <c r="V41" s="35">
        <v>1.0</v>
      </c>
      <c r="W41" s="35" t="s">
        <v>391</v>
      </c>
      <c r="X41" s="35">
        <v>1.0</v>
      </c>
      <c r="Y41" s="35" t="s">
        <v>401</v>
      </c>
      <c r="Z41" s="35">
        <v>1.0</v>
      </c>
      <c r="AA41" s="35" t="s">
        <v>421</v>
      </c>
      <c r="AB41" s="35">
        <v>1.0</v>
      </c>
      <c r="AC41" s="35" t="s">
        <v>436</v>
      </c>
      <c r="AD41" s="35">
        <v>1.0</v>
      </c>
      <c r="AE41" s="95"/>
      <c r="AF41" s="95"/>
      <c r="AG41" s="35" t="s">
        <v>382</v>
      </c>
      <c r="AH41" s="35">
        <v>2.0</v>
      </c>
      <c r="AI41" s="35" t="s">
        <v>391</v>
      </c>
      <c r="AJ41" s="35">
        <v>1.0</v>
      </c>
      <c r="AK41" s="35" t="s">
        <v>422</v>
      </c>
      <c r="AL41" s="35">
        <v>1.0</v>
      </c>
      <c r="AM41" s="109" t="s">
        <v>408</v>
      </c>
      <c r="AN41" s="35">
        <v>3.0</v>
      </c>
      <c r="AO41" s="35" t="s">
        <v>442</v>
      </c>
      <c r="AP41" s="35">
        <v>1.0</v>
      </c>
      <c r="AQ41" s="95"/>
      <c r="AR41" s="95"/>
      <c r="AS41" s="51" t="s">
        <v>382</v>
      </c>
      <c r="AT41" s="51">
        <v>2.0</v>
      </c>
    </row>
    <row r="42">
      <c r="A42" s="35" t="s">
        <v>443</v>
      </c>
      <c r="B42" s="35">
        <v>1.0</v>
      </c>
      <c r="C42" s="35" t="s">
        <v>421</v>
      </c>
      <c r="D42" s="35">
        <v>1.0</v>
      </c>
      <c r="E42" s="35" t="s">
        <v>445</v>
      </c>
      <c r="F42" s="35">
        <v>1.0</v>
      </c>
      <c r="I42" s="35" t="s">
        <v>419</v>
      </c>
      <c r="J42" s="35">
        <v>1.0</v>
      </c>
      <c r="K42" s="35" t="s">
        <v>409</v>
      </c>
      <c r="L42" s="35">
        <v>3.0</v>
      </c>
      <c r="M42" s="35" t="s">
        <v>431</v>
      </c>
      <c r="N42" s="35">
        <v>1.0</v>
      </c>
      <c r="O42" s="35" t="s">
        <v>443</v>
      </c>
      <c r="P42" s="35">
        <v>1.0</v>
      </c>
      <c r="Q42" s="35" t="s">
        <v>442</v>
      </c>
      <c r="R42" s="35">
        <v>1.0</v>
      </c>
      <c r="U42" s="35" t="s">
        <v>394</v>
      </c>
      <c r="V42" s="35">
        <v>1.0</v>
      </c>
      <c r="W42" s="35" t="s">
        <v>428</v>
      </c>
      <c r="X42" s="35">
        <v>1.0</v>
      </c>
      <c r="Y42" s="35" t="s">
        <v>438</v>
      </c>
      <c r="Z42" s="35">
        <v>1.0</v>
      </c>
      <c r="AA42" s="35" t="s">
        <v>431</v>
      </c>
      <c r="AB42" s="35">
        <v>1.0</v>
      </c>
      <c r="AC42" s="35" t="s">
        <v>442</v>
      </c>
      <c r="AD42" s="35">
        <v>1.0</v>
      </c>
      <c r="AE42" s="95"/>
      <c r="AF42" s="95"/>
      <c r="AG42" s="35" t="s">
        <v>411</v>
      </c>
      <c r="AH42" s="35">
        <v>1.0</v>
      </c>
      <c r="AI42" s="35" t="s">
        <v>428</v>
      </c>
      <c r="AJ42" s="35">
        <v>1.0</v>
      </c>
      <c r="AK42" s="35" t="s">
        <v>401</v>
      </c>
      <c r="AL42" s="35">
        <v>1.0</v>
      </c>
      <c r="AM42" s="35" t="s">
        <v>421</v>
      </c>
      <c r="AN42" s="35">
        <v>1.0</v>
      </c>
      <c r="AO42" s="35" t="s">
        <v>446</v>
      </c>
      <c r="AP42" s="35">
        <v>1.0</v>
      </c>
      <c r="AQ42" s="95"/>
      <c r="AR42" s="95"/>
      <c r="AS42" s="51" t="s">
        <v>411</v>
      </c>
      <c r="AT42" s="51">
        <v>1.0</v>
      </c>
    </row>
    <row r="43">
      <c r="A43" s="35" t="s">
        <v>447</v>
      </c>
      <c r="B43" s="35">
        <v>1.0</v>
      </c>
      <c r="C43" s="35" t="s">
        <v>431</v>
      </c>
      <c r="D43" s="35">
        <v>1.0</v>
      </c>
      <c r="E43" s="35" t="s">
        <v>448</v>
      </c>
      <c r="F43" s="35">
        <v>1.0</v>
      </c>
      <c r="I43" s="35" t="s">
        <v>408</v>
      </c>
      <c r="J43" s="35">
        <v>1.0</v>
      </c>
      <c r="K43" s="87" t="s">
        <v>403</v>
      </c>
      <c r="L43" s="87">
        <v>1.0</v>
      </c>
      <c r="M43" s="35" t="s">
        <v>443</v>
      </c>
      <c r="N43" s="35">
        <v>2.0</v>
      </c>
      <c r="O43" s="35" t="s">
        <v>449</v>
      </c>
      <c r="P43" s="35">
        <v>1.0</v>
      </c>
      <c r="Q43" s="35" t="s">
        <v>446</v>
      </c>
      <c r="R43" s="35">
        <v>1.0</v>
      </c>
      <c r="U43" s="35" t="s">
        <v>428</v>
      </c>
      <c r="V43" s="35">
        <v>1.0</v>
      </c>
      <c r="W43" s="35" t="s">
        <v>400</v>
      </c>
      <c r="X43" s="35">
        <v>1.0</v>
      </c>
      <c r="Y43" s="35" t="s">
        <v>408</v>
      </c>
      <c r="Z43" s="35">
        <v>1.0</v>
      </c>
      <c r="AA43" s="35" t="s">
        <v>449</v>
      </c>
      <c r="AB43" s="35">
        <v>1.0</v>
      </c>
      <c r="AC43" s="35" t="s">
        <v>446</v>
      </c>
      <c r="AD43" s="35">
        <v>1.0</v>
      </c>
      <c r="AE43" s="95"/>
      <c r="AF43" s="95"/>
      <c r="AG43" s="35" t="s">
        <v>413</v>
      </c>
      <c r="AH43" s="35">
        <v>1.0</v>
      </c>
      <c r="AI43" s="35" t="s">
        <v>400</v>
      </c>
      <c r="AJ43" s="35">
        <v>2.0</v>
      </c>
      <c r="AK43" s="35" t="s">
        <v>408</v>
      </c>
      <c r="AL43" s="35">
        <v>2.0</v>
      </c>
      <c r="AM43" s="35" t="s">
        <v>440</v>
      </c>
      <c r="AN43" s="35">
        <v>1.0</v>
      </c>
      <c r="AO43" s="35" t="s">
        <v>453</v>
      </c>
      <c r="AP43" s="35">
        <v>3.0</v>
      </c>
      <c r="AQ43" s="95"/>
      <c r="AR43" s="95"/>
      <c r="AS43" s="51" t="s">
        <v>413</v>
      </c>
      <c r="AT43" s="51">
        <v>1.0</v>
      </c>
    </row>
    <row r="44">
      <c r="A44" s="35" t="s">
        <v>442</v>
      </c>
      <c r="B44" s="35">
        <v>2.0</v>
      </c>
      <c r="C44" s="35" t="s">
        <v>442</v>
      </c>
      <c r="D44" s="35">
        <v>1.0</v>
      </c>
      <c r="E44" s="35" t="s">
        <v>408</v>
      </c>
      <c r="F44" s="35">
        <v>2.0</v>
      </c>
      <c r="I44" s="35" t="s">
        <v>440</v>
      </c>
      <c r="J44" s="35">
        <v>1.0</v>
      </c>
      <c r="K44" s="87" t="s">
        <v>438</v>
      </c>
      <c r="L44" s="87">
        <v>1.0</v>
      </c>
      <c r="M44" s="35" t="s">
        <v>442</v>
      </c>
      <c r="N44" s="35">
        <v>2.0</v>
      </c>
      <c r="O44" s="35" t="s">
        <v>442</v>
      </c>
      <c r="P44" s="35">
        <v>1.0</v>
      </c>
      <c r="Q44" s="35" t="s">
        <v>453</v>
      </c>
      <c r="R44" s="35">
        <v>3.0</v>
      </c>
      <c r="U44" s="35" t="s">
        <v>400</v>
      </c>
      <c r="V44" s="35">
        <v>1.0</v>
      </c>
      <c r="W44" s="87" t="s">
        <v>409</v>
      </c>
      <c r="X44" s="87">
        <v>3.0</v>
      </c>
      <c r="Y44" s="35" t="s">
        <v>431</v>
      </c>
      <c r="Z44" s="35">
        <v>2.0</v>
      </c>
      <c r="AA44" s="35" t="s">
        <v>446</v>
      </c>
      <c r="AB44" s="35">
        <v>1.0</v>
      </c>
      <c r="AC44" s="35" t="s">
        <v>453</v>
      </c>
      <c r="AD44" s="35">
        <v>4.0</v>
      </c>
      <c r="AE44" s="95"/>
      <c r="AF44" s="95"/>
      <c r="AG44" s="35" t="s">
        <v>428</v>
      </c>
      <c r="AH44" s="35">
        <v>1.0</v>
      </c>
      <c r="AI44" s="35" t="s">
        <v>409</v>
      </c>
      <c r="AJ44" s="35">
        <v>3.0</v>
      </c>
      <c r="AK44" s="35" t="s">
        <v>417</v>
      </c>
      <c r="AL44" s="35">
        <v>1.0</v>
      </c>
      <c r="AM44" s="35" t="s">
        <v>446</v>
      </c>
      <c r="AN44" s="35">
        <v>1.0</v>
      </c>
      <c r="AO44" s="35" t="s">
        <v>457</v>
      </c>
      <c r="AP44" s="35">
        <v>1.0</v>
      </c>
      <c r="AQ44" s="95"/>
      <c r="AR44" s="95"/>
      <c r="AS44" s="51" t="s">
        <v>428</v>
      </c>
      <c r="AT44" s="51">
        <v>1.0</v>
      </c>
    </row>
    <row r="45">
      <c r="A45" s="35" t="s">
        <v>453</v>
      </c>
      <c r="B45" s="35">
        <v>1.0</v>
      </c>
      <c r="C45" s="35" t="s">
        <v>453</v>
      </c>
      <c r="D45" s="35">
        <v>3.0</v>
      </c>
      <c r="E45" s="35" t="s">
        <v>417</v>
      </c>
      <c r="F45" s="35">
        <v>1.0</v>
      </c>
      <c r="I45" s="35" t="s">
        <v>436</v>
      </c>
      <c r="J45" s="35">
        <v>1.0</v>
      </c>
      <c r="K45" s="87" t="s">
        <v>419</v>
      </c>
      <c r="L45" s="87">
        <v>2.0</v>
      </c>
      <c r="M45" s="35" t="s">
        <v>457</v>
      </c>
      <c r="N45" s="35">
        <v>3.0</v>
      </c>
      <c r="O45" s="35" t="s">
        <v>446</v>
      </c>
      <c r="P45" s="35">
        <v>1.0</v>
      </c>
      <c r="Q45" s="35" t="s">
        <v>457</v>
      </c>
      <c r="R45" s="35">
        <v>1.0</v>
      </c>
      <c r="U45" s="35" t="s">
        <v>438</v>
      </c>
      <c r="V45" s="35">
        <v>1.0</v>
      </c>
      <c r="W45" s="87" t="s">
        <v>403</v>
      </c>
      <c r="X45" s="87">
        <v>1.0</v>
      </c>
      <c r="Y45" s="35" t="s">
        <v>443</v>
      </c>
      <c r="Z45" s="35">
        <v>2.0</v>
      </c>
      <c r="AA45" s="35" t="s">
        <v>453</v>
      </c>
      <c r="AB45" s="35">
        <v>2.0</v>
      </c>
      <c r="AC45" s="35" t="s">
        <v>457</v>
      </c>
      <c r="AD45" s="35">
        <v>2.0</v>
      </c>
      <c r="AE45" s="95"/>
      <c r="AF45" s="95"/>
      <c r="AG45" s="35" t="s">
        <v>409</v>
      </c>
      <c r="AH45" s="35">
        <v>1.0</v>
      </c>
      <c r="AI45" s="87" t="s">
        <v>438</v>
      </c>
      <c r="AJ45" s="87">
        <v>1.0</v>
      </c>
      <c r="AK45" s="35" t="s">
        <v>431</v>
      </c>
      <c r="AL45" s="35">
        <v>2.0</v>
      </c>
      <c r="AM45" s="35" t="s">
        <v>453</v>
      </c>
      <c r="AN45" s="35">
        <v>3.0</v>
      </c>
      <c r="AO45" s="35" t="s">
        <v>460</v>
      </c>
      <c r="AP45" s="35">
        <v>1.0</v>
      </c>
      <c r="AQ45" s="95"/>
      <c r="AR45" s="95"/>
      <c r="AS45" s="51" t="s">
        <v>409</v>
      </c>
      <c r="AT45" s="51">
        <v>1.0</v>
      </c>
    </row>
    <row r="46">
      <c r="A46" s="35" t="s">
        <v>457</v>
      </c>
      <c r="B46" s="35">
        <v>4.0</v>
      </c>
      <c r="C46" s="35" t="s">
        <v>457</v>
      </c>
      <c r="D46" s="35">
        <v>2.0</v>
      </c>
      <c r="E46" s="35" t="s">
        <v>461</v>
      </c>
      <c r="F46" s="35">
        <v>1.0</v>
      </c>
      <c r="I46" s="35" t="s">
        <v>442</v>
      </c>
      <c r="J46" s="35">
        <v>3.0</v>
      </c>
      <c r="K46" s="87" t="s">
        <v>408</v>
      </c>
      <c r="L46" s="87">
        <v>1.0</v>
      </c>
      <c r="M46" s="35" t="s">
        <v>462</v>
      </c>
      <c r="N46" s="35">
        <v>3.0</v>
      </c>
      <c r="O46" s="35" t="s">
        <v>453</v>
      </c>
      <c r="P46" s="35">
        <v>3.0</v>
      </c>
      <c r="Q46" s="35" t="s">
        <v>463</v>
      </c>
      <c r="R46" s="35">
        <v>1.0</v>
      </c>
      <c r="U46" s="35" t="s">
        <v>419</v>
      </c>
      <c r="V46" s="35">
        <v>1.0</v>
      </c>
      <c r="W46" s="87" t="s">
        <v>438</v>
      </c>
      <c r="X46" s="87">
        <v>1.0</v>
      </c>
      <c r="Y46" s="35" t="s">
        <v>442</v>
      </c>
      <c r="Z46" s="35">
        <v>1.0</v>
      </c>
      <c r="AA46" s="35" t="s">
        <v>457</v>
      </c>
      <c r="AB46" s="35">
        <v>2.0</v>
      </c>
      <c r="AC46" s="35" t="s">
        <v>465</v>
      </c>
      <c r="AD46" s="35">
        <v>1.0</v>
      </c>
      <c r="AE46" s="95"/>
      <c r="AF46" s="95"/>
      <c r="AG46" s="35" t="s">
        <v>396</v>
      </c>
      <c r="AH46" s="35">
        <v>1.0</v>
      </c>
      <c r="AI46" s="87" t="s">
        <v>419</v>
      </c>
      <c r="AJ46" s="87">
        <v>2.0</v>
      </c>
      <c r="AK46" s="35" t="s">
        <v>443</v>
      </c>
      <c r="AL46" s="35">
        <v>1.0</v>
      </c>
      <c r="AM46" s="35" t="s">
        <v>457</v>
      </c>
      <c r="AN46" s="35">
        <v>2.0</v>
      </c>
      <c r="AO46" s="35" t="s">
        <v>463</v>
      </c>
      <c r="AP46" s="35">
        <v>1.0</v>
      </c>
      <c r="AQ46" s="95"/>
      <c r="AR46" s="95"/>
      <c r="AS46" s="51" t="s">
        <v>396</v>
      </c>
      <c r="AT46" s="51">
        <v>1.0</v>
      </c>
    </row>
    <row r="47">
      <c r="A47" s="35" t="s">
        <v>465</v>
      </c>
      <c r="B47" s="35">
        <v>1.0</v>
      </c>
      <c r="C47" s="35" t="s">
        <v>465</v>
      </c>
      <c r="D47" s="35">
        <v>1.0</v>
      </c>
      <c r="E47" s="35" t="s">
        <v>442</v>
      </c>
      <c r="F47" s="35">
        <v>4.0</v>
      </c>
      <c r="I47" s="35" t="s">
        <v>446</v>
      </c>
      <c r="J47" s="35">
        <v>1.0</v>
      </c>
      <c r="K47" s="87" t="s">
        <v>417</v>
      </c>
      <c r="L47" s="87">
        <v>1.0</v>
      </c>
      <c r="M47" s="35" t="s">
        <v>463</v>
      </c>
      <c r="N47" s="35">
        <v>1.0</v>
      </c>
      <c r="O47" s="35" t="s">
        <v>457</v>
      </c>
      <c r="P47" s="35">
        <v>1.0</v>
      </c>
      <c r="Q47" s="35" t="s">
        <v>468</v>
      </c>
      <c r="R47" s="35">
        <v>3.0</v>
      </c>
      <c r="U47" s="35" t="s">
        <v>408</v>
      </c>
      <c r="V47" s="35">
        <v>1.0</v>
      </c>
      <c r="W47" s="87" t="s">
        <v>419</v>
      </c>
      <c r="X47" s="87">
        <v>2.0</v>
      </c>
      <c r="Y47" s="35" t="s">
        <v>446</v>
      </c>
      <c r="Z47" s="35">
        <v>1.0</v>
      </c>
      <c r="AA47" s="35" t="s">
        <v>460</v>
      </c>
      <c r="AB47" s="35">
        <v>2.0</v>
      </c>
      <c r="AC47" s="35" t="s">
        <v>462</v>
      </c>
      <c r="AD47" s="35">
        <v>1.0</v>
      </c>
      <c r="AE47" s="95"/>
      <c r="AF47" s="95"/>
      <c r="AG47" s="35" t="s">
        <v>438</v>
      </c>
      <c r="AH47" s="35">
        <v>1.0</v>
      </c>
      <c r="AI47" s="87" t="s">
        <v>408</v>
      </c>
      <c r="AJ47" s="87">
        <v>1.0</v>
      </c>
      <c r="AK47" s="35" t="s">
        <v>449</v>
      </c>
      <c r="AL47" s="35">
        <v>1.0</v>
      </c>
      <c r="AM47" s="35" t="s">
        <v>460</v>
      </c>
      <c r="AN47" s="35">
        <v>2.0</v>
      </c>
      <c r="AO47" s="35" t="s">
        <v>468</v>
      </c>
      <c r="AP47" s="35">
        <v>2.0</v>
      </c>
      <c r="AQ47" s="95"/>
      <c r="AR47" s="95"/>
      <c r="AS47" s="51" t="s">
        <v>438</v>
      </c>
      <c r="AT47" s="51">
        <v>1.0</v>
      </c>
    </row>
    <row r="48">
      <c r="A48" s="35" t="s">
        <v>462</v>
      </c>
      <c r="B48" s="35">
        <v>1.0</v>
      </c>
      <c r="C48" s="35" t="s">
        <v>460</v>
      </c>
      <c r="D48" s="35">
        <v>2.0</v>
      </c>
      <c r="E48" s="35" t="s">
        <v>457</v>
      </c>
      <c r="F48" s="35">
        <v>2.0</v>
      </c>
      <c r="I48" s="35" t="s">
        <v>453</v>
      </c>
      <c r="J48" s="35">
        <v>2.0</v>
      </c>
      <c r="K48" s="87" t="s">
        <v>440</v>
      </c>
      <c r="L48" s="87">
        <v>1.0</v>
      </c>
      <c r="M48" s="35" t="s">
        <v>468</v>
      </c>
      <c r="N48" s="35">
        <v>1.0</v>
      </c>
      <c r="O48" s="35" t="s">
        <v>460</v>
      </c>
      <c r="P48" s="35">
        <v>2.0</v>
      </c>
      <c r="Q48" s="35" t="s">
        <v>471</v>
      </c>
      <c r="R48" s="35">
        <v>1.0</v>
      </c>
      <c r="U48" s="35" t="s">
        <v>443</v>
      </c>
      <c r="V48" s="35">
        <v>1.0</v>
      </c>
      <c r="W48" s="87" t="s">
        <v>408</v>
      </c>
      <c r="X48" s="87">
        <v>1.0</v>
      </c>
      <c r="Y48" s="35" t="s">
        <v>457</v>
      </c>
      <c r="Z48" s="35">
        <v>4.0</v>
      </c>
      <c r="AA48" s="35" t="s">
        <v>468</v>
      </c>
      <c r="AB48" s="35">
        <v>4.0</v>
      </c>
      <c r="AC48" s="35" t="s">
        <v>468</v>
      </c>
      <c r="AD48" s="35">
        <v>2.0</v>
      </c>
      <c r="AE48" s="95"/>
      <c r="AF48" s="95"/>
      <c r="AG48" s="35" t="s">
        <v>408</v>
      </c>
      <c r="AH48" s="35">
        <v>2.0</v>
      </c>
      <c r="AI48" s="87" t="s">
        <v>417</v>
      </c>
      <c r="AJ48" s="87">
        <v>1.0</v>
      </c>
      <c r="AK48" s="35" t="s">
        <v>442</v>
      </c>
      <c r="AL48" s="35">
        <v>1.0</v>
      </c>
      <c r="AM48" s="35" t="s">
        <v>468</v>
      </c>
      <c r="AN48" s="35">
        <v>2.0</v>
      </c>
      <c r="AO48" s="35" t="s">
        <v>472</v>
      </c>
      <c r="AP48" s="35">
        <v>1.0</v>
      </c>
      <c r="AQ48" s="95"/>
      <c r="AR48" s="95"/>
      <c r="AS48" s="51" t="s">
        <v>408</v>
      </c>
      <c r="AT48" s="51">
        <v>2.0</v>
      </c>
    </row>
    <row r="49">
      <c r="A49" s="35" t="s">
        <v>463</v>
      </c>
      <c r="B49" s="35">
        <v>1.0</v>
      </c>
      <c r="C49" s="35" t="s">
        <v>463</v>
      </c>
      <c r="D49" s="35">
        <v>1.0</v>
      </c>
      <c r="E49" s="35" t="s">
        <v>465</v>
      </c>
      <c r="F49" s="35">
        <v>1.0</v>
      </c>
      <c r="I49" s="35" t="s">
        <v>457</v>
      </c>
      <c r="J49" s="35">
        <v>2.0</v>
      </c>
      <c r="K49" s="87" t="s">
        <v>475</v>
      </c>
      <c r="L49" s="87">
        <v>1.0</v>
      </c>
      <c r="M49" s="35" t="s">
        <v>476</v>
      </c>
      <c r="N49" s="35">
        <v>1.0</v>
      </c>
      <c r="O49" s="35" t="s">
        <v>468</v>
      </c>
      <c r="P49" s="35">
        <v>1.0</v>
      </c>
      <c r="Q49" s="35" t="s">
        <v>477</v>
      </c>
      <c r="R49" s="35">
        <v>1.0</v>
      </c>
      <c r="U49" s="35" t="s">
        <v>442</v>
      </c>
      <c r="V49" s="35">
        <v>1.0</v>
      </c>
      <c r="W49" s="87" t="s">
        <v>440</v>
      </c>
      <c r="X49" s="87">
        <v>1.0</v>
      </c>
      <c r="Y49" s="35" t="s">
        <v>460</v>
      </c>
      <c r="Z49" s="35">
        <v>1.0</v>
      </c>
      <c r="AA49" s="35" t="s">
        <v>472</v>
      </c>
      <c r="AB49" s="35">
        <v>1.0</v>
      </c>
      <c r="AC49" s="35" t="s">
        <v>471</v>
      </c>
      <c r="AD49" s="35">
        <v>1.0</v>
      </c>
      <c r="AE49" s="95"/>
      <c r="AF49" s="95"/>
      <c r="AG49" s="35" t="s">
        <v>443</v>
      </c>
      <c r="AH49" s="35">
        <v>1.0</v>
      </c>
      <c r="AI49" s="87" t="s">
        <v>440</v>
      </c>
      <c r="AJ49" s="87">
        <v>1.0</v>
      </c>
      <c r="AK49" s="35" t="s">
        <v>446</v>
      </c>
      <c r="AL49" s="35">
        <v>1.0</v>
      </c>
      <c r="AM49" s="35" t="s">
        <v>476</v>
      </c>
      <c r="AN49" s="35">
        <v>1.0</v>
      </c>
      <c r="AO49" s="35" t="s">
        <v>471</v>
      </c>
      <c r="AP49" s="35">
        <v>1.0</v>
      </c>
      <c r="AQ49" s="95"/>
      <c r="AR49" s="95"/>
      <c r="AS49" s="51" t="s">
        <v>443</v>
      </c>
      <c r="AT49" s="51">
        <v>1.0</v>
      </c>
    </row>
    <row r="50">
      <c r="A50" s="35" t="s">
        <v>468</v>
      </c>
      <c r="B50" s="35">
        <v>3.0</v>
      </c>
      <c r="C50" s="35" t="s">
        <v>468</v>
      </c>
      <c r="D50" s="35">
        <v>3.0</v>
      </c>
      <c r="E50" s="35" t="s">
        <v>460</v>
      </c>
      <c r="F50" s="35">
        <v>1.0</v>
      </c>
      <c r="I50" s="35" t="s">
        <v>465</v>
      </c>
      <c r="J50" s="35">
        <v>3.0</v>
      </c>
      <c r="K50" s="87" t="s">
        <v>442</v>
      </c>
      <c r="L50" s="87">
        <v>1.0</v>
      </c>
      <c r="M50" s="35" t="s">
        <v>471</v>
      </c>
      <c r="N50" s="35">
        <v>1.0</v>
      </c>
      <c r="O50" s="35" t="s">
        <v>472</v>
      </c>
      <c r="P50" s="35">
        <v>1.0</v>
      </c>
      <c r="Q50" s="35" t="s">
        <v>479</v>
      </c>
      <c r="R50" s="35">
        <v>1.0</v>
      </c>
      <c r="U50" s="35" t="s">
        <v>457</v>
      </c>
      <c r="V50" s="35">
        <v>4.0</v>
      </c>
      <c r="W50" s="87" t="s">
        <v>475</v>
      </c>
      <c r="X50" s="87">
        <v>1.0</v>
      </c>
      <c r="Y50" s="35" t="s">
        <v>462</v>
      </c>
      <c r="Z50" s="35">
        <v>2.0</v>
      </c>
      <c r="AA50" s="35" t="s">
        <v>481</v>
      </c>
      <c r="AB50" s="35">
        <v>1.0</v>
      </c>
      <c r="AC50" s="35" t="s">
        <v>477</v>
      </c>
      <c r="AD50" s="35">
        <v>1.0</v>
      </c>
      <c r="AE50" s="95"/>
      <c r="AF50" s="95"/>
      <c r="AG50" s="35" t="s">
        <v>447</v>
      </c>
      <c r="AH50" s="35">
        <v>1.0</v>
      </c>
      <c r="AI50" s="87" t="s">
        <v>475</v>
      </c>
      <c r="AJ50" s="87">
        <v>1.0</v>
      </c>
      <c r="AK50" s="35" t="s">
        <v>457</v>
      </c>
      <c r="AL50" s="35">
        <v>2.0</v>
      </c>
      <c r="AM50" s="35" t="s">
        <v>472</v>
      </c>
      <c r="AN50" s="35">
        <v>1.0</v>
      </c>
      <c r="AO50" s="35" t="s">
        <v>477</v>
      </c>
      <c r="AP50" s="35">
        <v>1.0</v>
      </c>
      <c r="AQ50" s="95"/>
      <c r="AR50" s="95"/>
      <c r="AS50" s="51" t="s">
        <v>447</v>
      </c>
      <c r="AT50" s="51">
        <v>1.0</v>
      </c>
    </row>
    <row r="51">
      <c r="A51" s="35" t="s">
        <v>483</v>
      </c>
      <c r="B51" s="35">
        <v>1.0</v>
      </c>
      <c r="C51" s="35" t="s">
        <v>481</v>
      </c>
      <c r="D51" s="35">
        <v>1.0</v>
      </c>
      <c r="E51" s="35" t="s">
        <v>462</v>
      </c>
      <c r="F51" s="35">
        <v>3.0</v>
      </c>
      <c r="I51" s="35" t="s">
        <v>460</v>
      </c>
      <c r="J51" s="35">
        <v>1.0</v>
      </c>
      <c r="K51" s="87" t="s">
        <v>446</v>
      </c>
      <c r="L51" s="87">
        <v>1.0</v>
      </c>
      <c r="M51" s="35" t="s">
        <v>477</v>
      </c>
      <c r="N51" s="35">
        <v>1.0</v>
      </c>
      <c r="O51" s="35" t="s">
        <v>481</v>
      </c>
      <c r="P51" s="35">
        <v>1.0</v>
      </c>
      <c r="Q51" s="35" t="s">
        <v>483</v>
      </c>
      <c r="R51" s="35">
        <v>1.0</v>
      </c>
      <c r="U51" s="35" t="s">
        <v>465</v>
      </c>
      <c r="V51" s="35">
        <v>2.0</v>
      </c>
      <c r="W51" s="87" t="s">
        <v>449</v>
      </c>
      <c r="X51" s="87">
        <v>1.0</v>
      </c>
      <c r="Y51" s="35" t="s">
        <v>476</v>
      </c>
      <c r="Z51" s="35">
        <v>1.0</v>
      </c>
      <c r="AA51" s="35" t="s">
        <v>484</v>
      </c>
      <c r="AB51" s="35">
        <v>1.0</v>
      </c>
      <c r="AC51" s="35" t="s">
        <v>486</v>
      </c>
      <c r="AD51" s="35">
        <v>1.0</v>
      </c>
      <c r="AE51" s="95"/>
      <c r="AF51" s="95"/>
      <c r="AG51" s="35" t="s">
        <v>442</v>
      </c>
      <c r="AH51" s="35">
        <v>4.0</v>
      </c>
      <c r="AI51" s="87" t="s">
        <v>449</v>
      </c>
      <c r="AJ51" s="87">
        <v>2.0</v>
      </c>
      <c r="AK51" s="35" t="s">
        <v>460</v>
      </c>
      <c r="AL51" s="35">
        <v>1.0</v>
      </c>
      <c r="AM51" s="35" t="s">
        <v>484</v>
      </c>
      <c r="AN51" s="35">
        <v>1.0</v>
      </c>
      <c r="AO51" s="35" t="s">
        <v>479</v>
      </c>
      <c r="AP51" s="35">
        <v>2.0</v>
      </c>
      <c r="AQ51" s="95"/>
      <c r="AR51" s="95"/>
      <c r="AS51" s="51" t="s">
        <v>442</v>
      </c>
      <c r="AT51" s="51">
        <v>4.0</v>
      </c>
    </row>
    <row r="52">
      <c r="A52" s="35" t="s">
        <v>487</v>
      </c>
      <c r="B52" s="35">
        <v>2.0</v>
      </c>
      <c r="C52" s="35" t="s">
        <v>488</v>
      </c>
      <c r="D52" s="35">
        <v>1.0</v>
      </c>
      <c r="E52" s="35" t="s">
        <v>468</v>
      </c>
      <c r="F52" s="35">
        <v>3.0</v>
      </c>
      <c r="I52" s="35" t="s">
        <v>462</v>
      </c>
      <c r="J52" s="35">
        <v>2.0</v>
      </c>
      <c r="K52" s="87" t="s">
        <v>453</v>
      </c>
      <c r="L52" s="87">
        <v>3.0</v>
      </c>
      <c r="M52" s="35" t="s">
        <v>479</v>
      </c>
      <c r="N52" s="35">
        <v>1.0</v>
      </c>
      <c r="O52" s="35" t="s">
        <v>477</v>
      </c>
      <c r="P52" s="35">
        <v>1.0</v>
      </c>
      <c r="Q52" s="109" t="s">
        <v>487</v>
      </c>
      <c r="R52" s="35">
        <v>2.0</v>
      </c>
      <c r="U52" s="35" t="s">
        <v>462</v>
      </c>
      <c r="V52" s="35">
        <v>3.0</v>
      </c>
      <c r="W52" s="87" t="s">
        <v>442</v>
      </c>
      <c r="X52" s="87">
        <v>1.0</v>
      </c>
      <c r="Y52" s="35" t="s">
        <v>472</v>
      </c>
      <c r="Z52" s="35">
        <v>1.0</v>
      </c>
      <c r="AA52" s="35" t="s">
        <v>488</v>
      </c>
      <c r="AB52" s="35">
        <v>1.0</v>
      </c>
      <c r="AC52" s="35" t="s">
        <v>479</v>
      </c>
      <c r="AD52" s="35">
        <v>1.0</v>
      </c>
      <c r="AE52" s="95"/>
      <c r="AF52" s="95"/>
      <c r="AG52" s="35" t="s">
        <v>457</v>
      </c>
      <c r="AH52" s="35">
        <v>2.0</v>
      </c>
      <c r="AI52" s="87" t="s">
        <v>442</v>
      </c>
      <c r="AJ52" s="87">
        <v>1.0</v>
      </c>
      <c r="AK52" s="35" t="s">
        <v>462</v>
      </c>
      <c r="AL52" s="35">
        <v>2.0</v>
      </c>
      <c r="AM52" s="35" t="s">
        <v>488</v>
      </c>
      <c r="AN52" s="35">
        <v>1.0</v>
      </c>
      <c r="AO52" s="109" t="s">
        <v>483</v>
      </c>
      <c r="AP52" s="35">
        <v>1.0</v>
      </c>
      <c r="AQ52" s="95"/>
      <c r="AR52" s="95"/>
      <c r="AS52" s="51" t="s">
        <v>457</v>
      </c>
      <c r="AT52" s="51">
        <v>3.0</v>
      </c>
    </row>
    <row r="53">
      <c r="A53" s="35" t="s">
        <v>495</v>
      </c>
      <c r="B53" s="35">
        <v>2.0</v>
      </c>
      <c r="C53" s="35" t="s">
        <v>496</v>
      </c>
      <c r="D53" s="35">
        <v>1.0</v>
      </c>
      <c r="E53" s="35" t="s">
        <v>472</v>
      </c>
      <c r="F53" s="35">
        <v>1.0</v>
      </c>
      <c r="I53" s="35" t="s">
        <v>486</v>
      </c>
      <c r="J53" s="35">
        <v>1.0</v>
      </c>
      <c r="K53" s="87" t="s">
        <v>457</v>
      </c>
      <c r="L53" s="87">
        <v>1.0</v>
      </c>
      <c r="M53" s="35" t="s">
        <v>483</v>
      </c>
      <c r="N53" s="35">
        <v>1.0</v>
      </c>
      <c r="O53" s="35" t="s">
        <v>484</v>
      </c>
      <c r="P53" s="35">
        <v>1.0</v>
      </c>
      <c r="Q53" s="35" t="s">
        <v>497</v>
      </c>
      <c r="R53" s="35">
        <v>1.0</v>
      </c>
      <c r="U53" s="35" t="s">
        <v>468</v>
      </c>
      <c r="V53" s="35">
        <v>1.0</v>
      </c>
      <c r="W53" s="87" t="s">
        <v>446</v>
      </c>
      <c r="X53" s="87">
        <v>1.0</v>
      </c>
      <c r="Y53" s="35" t="s">
        <v>471</v>
      </c>
      <c r="Z53" s="35">
        <v>2.0</v>
      </c>
      <c r="AA53" s="35" t="s">
        <v>500</v>
      </c>
      <c r="AB53" s="35">
        <v>1.0</v>
      </c>
      <c r="AC53" s="109" t="s">
        <v>483</v>
      </c>
      <c r="AD53" s="35">
        <v>1.0</v>
      </c>
      <c r="AE53" s="95"/>
      <c r="AF53" s="95"/>
      <c r="AG53" s="35" t="s">
        <v>465</v>
      </c>
      <c r="AH53" s="35">
        <v>1.0</v>
      </c>
      <c r="AI53" s="87" t="s">
        <v>446</v>
      </c>
      <c r="AJ53" s="87">
        <v>1.0</v>
      </c>
      <c r="AK53" s="35" t="s">
        <v>468</v>
      </c>
      <c r="AL53" s="35">
        <v>1.0</v>
      </c>
      <c r="AM53" s="35" t="s">
        <v>500</v>
      </c>
      <c r="AN53" s="35">
        <v>1.0</v>
      </c>
      <c r="AO53" s="35" t="s">
        <v>501</v>
      </c>
      <c r="AP53" s="35">
        <v>1.0</v>
      </c>
      <c r="AQ53" s="95"/>
      <c r="AR53" s="95"/>
      <c r="AS53" s="51" t="s">
        <v>465</v>
      </c>
      <c r="AT53" s="51">
        <v>1.0</v>
      </c>
    </row>
    <row r="54">
      <c r="A54" s="35" t="s">
        <v>503</v>
      </c>
      <c r="B54" s="35">
        <v>1.0</v>
      </c>
      <c r="C54" s="35" t="s">
        <v>504</v>
      </c>
      <c r="D54" s="35">
        <v>1.0</v>
      </c>
      <c r="E54" s="109" t="s">
        <v>506</v>
      </c>
      <c r="F54" s="35">
        <v>1.0</v>
      </c>
      <c r="I54" s="35" t="s">
        <v>507</v>
      </c>
      <c r="J54" s="35">
        <v>2.0</v>
      </c>
      <c r="K54" s="35" t="s">
        <v>468</v>
      </c>
      <c r="L54" s="35">
        <v>2.0</v>
      </c>
      <c r="M54" s="35" t="s">
        <v>495</v>
      </c>
      <c r="N54" s="35">
        <v>2.0</v>
      </c>
      <c r="O54" s="35" t="s">
        <v>488</v>
      </c>
      <c r="P54" s="35">
        <v>1.0</v>
      </c>
      <c r="Q54" s="35" t="s">
        <v>508</v>
      </c>
      <c r="R54" s="35">
        <v>1.0</v>
      </c>
      <c r="U54" s="35" t="s">
        <v>510</v>
      </c>
      <c r="V54" s="35">
        <v>1.0</v>
      </c>
      <c r="W54" s="35" t="s">
        <v>453</v>
      </c>
      <c r="X54" s="35">
        <v>4.0</v>
      </c>
      <c r="Y54" s="35" t="s">
        <v>483</v>
      </c>
      <c r="Z54" s="35">
        <v>1.0</v>
      </c>
      <c r="AA54" s="35" t="s">
        <v>496</v>
      </c>
      <c r="AB54" s="35">
        <v>1.0</v>
      </c>
      <c r="AC54" s="35" t="s">
        <v>487</v>
      </c>
      <c r="AD54" s="35">
        <v>1.0</v>
      </c>
      <c r="AE54" s="95"/>
      <c r="AF54" s="95"/>
      <c r="AG54" s="35" t="s">
        <v>462</v>
      </c>
      <c r="AH54" s="35">
        <v>1.0</v>
      </c>
      <c r="AI54" s="87" t="s">
        <v>453</v>
      </c>
      <c r="AJ54" s="87">
        <v>4.0</v>
      </c>
      <c r="AK54" s="35" t="s">
        <v>511</v>
      </c>
      <c r="AL54" s="35">
        <v>1.0</v>
      </c>
      <c r="AM54" s="35" t="s">
        <v>507</v>
      </c>
      <c r="AN54" s="35">
        <v>1.0</v>
      </c>
      <c r="AO54" s="35" t="s">
        <v>487</v>
      </c>
      <c r="AP54" s="35">
        <v>1.0</v>
      </c>
      <c r="AQ54" s="95"/>
      <c r="AR54" s="95"/>
      <c r="AS54" s="51" t="s">
        <v>462</v>
      </c>
      <c r="AT54" s="51">
        <v>1.0</v>
      </c>
    </row>
    <row r="55">
      <c r="A55" s="35" t="s">
        <v>513</v>
      </c>
      <c r="B55" s="35">
        <v>3.0</v>
      </c>
      <c r="C55" s="35" t="s">
        <v>495</v>
      </c>
      <c r="D55" s="35">
        <v>4.0</v>
      </c>
      <c r="E55" s="35" t="s">
        <v>514</v>
      </c>
      <c r="F55" s="35">
        <v>1.0</v>
      </c>
      <c r="I55" s="35" t="s">
        <v>495</v>
      </c>
      <c r="J55" s="35">
        <v>4.0</v>
      </c>
      <c r="K55" s="35" t="s">
        <v>471</v>
      </c>
      <c r="L55" s="35">
        <v>1.0</v>
      </c>
      <c r="M55" s="35" t="s">
        <v>515</v>
      </c>
      <c r="N55" s="35">
        <v>1.0</v>
      </c>
      <c r="O55" s="35" t="s">
        <v>500</v>
      </c>
      <c r="P55" s="35">
        <v>1.0</v>
      </c>
      <c r="Q55" s="35" t="s">
        <v>495</v>
      </c>
      <c r="R55" s="35">
        <v>4.0</v>
      </c>
      <c r="U55" s="35" t="s">
        <v>517</v>
      </c>
      <c r="V55" s="35">
        <v>1.0</v>
      </c>
      <c r="W55" s="35" t="s">
        <v>463</v>
      </c>
      <c r="X55" s="35">
        <v>1.0</v>
      </c>
      <c r="Y55" s="35" t="s">
        <v>495</v>
      </c>
      <c r="Z55" s="35">
        <v>2.0</v>
      </c>
      <c r="AA55" s="35" t="s">
        <v>495</v>
      </c>
      <c r="AB55" s="35">
        <v>3.0</v>
      </c>
      <c r="AC55" s="35" t="s">
        <v>508</v>
      </c>
      <c r="AD55" s="35">
        <v>1.0</v>
      </c>
      <c r="AE55" s="95"/>
      <c r="AF55" s="95"/>
      <c r="AG55" s="35" t="s">
        <v>468</v>
      </c>
      <c r="AH55" s="35">
        <v>1.0</v>
      </c>
      <c r="AI55" s="87" t="s">
        <v>468</v>
      </c>
      <c r="AJ55" s="87">
        <v>3.0</v>
      </c>
      <c r="AK55" s="35" t="s">
        <v>471</v>
      </c>
      <c r="AL55" s="35">
        <v>1.0</v>
      </c>
      <c r="AM55" s="35" t="s">
        <v>496</v>
      </c>
      <c r="AN55" s="35">
        <v>1.0</v>
      </c>
      <c r="AO55" s="35" t="s">
        <v>508</v>
      </c>
      <c r="AP55" s="35">
        <v>1.0</v>
      </c>
      <c r="AQ55" s="95"/>
      <c r="AR55" s="95"/>
      <c r="AS55" s="51" t="s">
        <v>468</v>
      </c>
      <c r="AT55" s="51">
        <v>1.0</v>
      </c>
    </row>
    <row r="56">
      <c r="A56" s="35" t="s">
        <v>518</v>
      </c>
      <c r="B56" s="35">
        <v>1.0</v>
      </c>
      <c r="C56" s="35" t="s">
        <v>503</v>
      </c>
      <c r="D56" s="35">
        <v>3.0</v>
      </c>
      <c r="E56" s="35" t="s">
        <v>483</v>
      </c>
      <c r="F56" s="35">
        <v>1.0</v>
      </c>
      <c r="I56" s="35" t="s">
        <v>503</v>
      </c>
      <c r="J56" s="35">
        <v>2.0</v>
      </c>
      <c r="K56" s="35" t="s">
        <v>486</v>
      </c>
      <c r="L56" s="35">
        <v>1.0</v>
      </c>
      <c r="M56" s="35" t="s">
        <v>519</v>
      </c>
      <c r="N56" s="35">
        <v>4.0</v>
      </c>
      <c r="O56" s="35" t="s">
        <v>495</v>
      </c>
      <c r="P56" s="35">
        <v>4.0</v>
      </c>
      <c r="Q56" s="35" t="s">
        <v>515</v>
      </c>
      <c r="R56" s="35">
        <v>2.0</v>
      </c>
      <c r="U56" s="35" t="s">
        <v>481</v>
      </c>
      <c r="V56" s="35">
        <v>1.0</v>
      </c>
      <c r="W56" s="35" t="s">
        <v>468</v>
      </c>
      <c r="X56" s="35">
        <v>2.0</v>
      </c>
      <c r="Y56" s="35" t="s">
        <v>513</v>
      </c>
      <c r="Z56" s="35">
        <v>1.0</v>
      </c>
      <c r="AA56" s="35" t="s">
        <v>515</v>
      </c>
      <c r="AB56" s="35">
        <v>2.0</v>
      </c>
      <c r="AC56" s="35" t="s">
        <v>495</v>
      </c>
      <c r="AD56" s="35">
        <v>3.0</v>
      </c>
      <c r="AE56" s="95"/>
      <c r="AF56" s="95"/>
      <c r="AG56" s="35" t="s">
        <v>510</v>
      </c>
      <c r="AH56" s="35">
        <v>1.0</v>
      </c>
      <c r="AI56" s="87" t="s">
        <v>471</v>
      </c>
      <c r="AJ56" s="87">
        <v>1.0</v>
      </c>
      <c r="AK56" s="35" t="s">
        <v>486</v>
      </c>
      <c r="AL56" s="35">
        <v>1.0</v>
      </c>
      <c r="AM56" s="35" t="s">
        <v>495</v>
      </c>
      <c r="AN56" s="35">
        <v>3.0</v>
      </c>
      <c r="AO56" s="35" t="s">
        <v>495</v>
      </c>
      <c r="AP56" s="35">
        <v>3.0</v>
      </c>
      <c r="AQ56" s="95"/>
      <c r="AR56" s="95"/>
      <c r="AS56" s="51" t="s">
        <v>510</v>
      </c>
      <c r="AT56" s="51">
        <v>1.0</v>
      </c>
    </row>
    <row r="57">
      <c r="A57" s="35" t="s">
        <v>521</v>
      </c>
      <c r="B57" s="35">
        <v>1.0</v>
      </c>
      <c r="C57" s="35" t="s">
        <v>513</v>
      </c>
      <c r="D57" s="35">
        <v>1.0</v>
      </c>
      <c r="E57" s="35" t="s">
        <v>487</v>
      </c>
      <c r="F57" s="35">
        <v>2.0</v>
      </c>
      <c r="I57" s="35" t="s">
        <v>519</v>
      </c>
      <c r="J57" s="35">
        <v>2.0</v>
      </c>
      <c r="K57" s="35" t="s">
        <v>506</v>
      </c>
      <c r="L57" s="35">
        <v>1.0</v>
      </c>
      <c r="M57" s="35" t="s">
        <v>518</v>
      </c>
      <c r="N57" s="35">
        <v>1.0</v>
      </c>
      <c r="O57" s="35" t="s">
        <v>503</v>
      </c>
      <c r="P57" s="35">
        <v>2.0</v>
      </c>
      <c r="Q57" s="35" t="s">
        <v>503</v>
      </c>
      <c r="R57" s="35">
        <v>2.0</v>
      </c>
      <c r="U57" s="35" t="s">
        <v>507</v>
      </c>
      <c r="V57" s="35">
        <v>1.0</v>
      </c>
      <c r="W57" s="35" t="s">
        <v>471</v>
      </c>
      <c r="X57" s="35">
        <v>1.0</v>
      </c>
      <c r="Y57" s="35" t="s">
        <v>519</v>
      </c>
      <c r="Z57" s="35">
        <v>4.0</v>
      </c>
      <c r="AA57" s="35" t="s">
        <v>503</v>
      </c>
      <c r="AB57" s="35">
        <v>2.0</v>
      </c>
      <c r="AC57" s="35" t="s">
        <v>523</v>
      </c>
      <c r="AD57" s="35">
        <v>1.0</v>
      </c>
      <c r="AE57" s="95"/>
      <c r="AF57" s="95"/>
      <c r="AG57" s="35" t="s">
        <v>476</v>
      </c>
      <c r="AH57" s="35">
        <v>1.0</v>
      </c>
      <c r="AI57" s="35" t="s">
        <v>486</v>
      </c>
      <c r="AJ57" s="35">
        <v>1.0</v>
      </c>
      <c r="AK57" s="35" t="s">
        <v>487</v>
      </c>
      <c r="AL57" s="35">
        <v>1.0</v>
      </c>
      <c r="AM57" s="35" t="s">
        <v>515</v>
      </c>
      <c r="AN57" s="35">
        <v>1.0</v>
      </c>
      <c r="AO57" s="35" t="s">
        <v>515</v>
      </c>
      <c r="AP57" s="35">
        <v>2.0</v>
      </c>
      <c r="AQ57" s="95"/>
      <c r="AR57" s="95"/>
      <c r="AS57" s="51" t="s">
        <v>476</v>
      </c>
      <c r="AT57" s="51">
        <v>1.0</v>
      </c>
    </row>
    <row r="58">
      <c r="A58" s="35" t="s">
        <v>525</v>
      </c>
      <c r="B58" s="35">
        <v>1.0</v>
      </c>
      <c r="C58" s="35" t="s">
        <v>526</v>
      </c>
      <c r="D58" s="35">
        <v>1.0</v>
      </c>
      <c r="E58" s="35" t="s">
        <v>507</v>
      </c>
      <c r="F58" s="35">
        <v>3.0</v>
      </c>
      <c r="I58" s="35" t="s">
        <v>527</v>
      </c>
      <c r="J58" s="35">
        <v>1.0</v>
      </c>
      <c r="K58" s="35" t="s">
        <v>479</v>
      </c>
      <c r="L58" s="35">
        <v>1.0</v>
      </c>
      <c r="M58" s="35" t="s">
        <v>527</v>
      </c>
      <c r="N58" s="35">
        <v>1.0</v>
      </c>
      <c r="O58" s="35" t="s">
        <v>513</v>
      </c>
      <c r="P58" s="35">
        <v>3.0</v>
      </c>
      <c r="Q58" s="35" t="s">
        <v>513</v>
      </c>
      <c r="R58" s="35">
        <v>1.0</v>
      </c>
      <c r="U58" s="35" t="s">
        <v>508</v>
      </c>
      <c r="V58" s="35">
        <v>1.0</v>
      </c>
      <c r="W58" s="35" t="s">
        <v>486</v>
      </c>
      <c r="X58" s="35">
        <v>2.0</v>
      </c>
      <c r="Y58" s="35" t="s">
        <v>518</v>
      </c>
      <c r="Z58" s="35">
        <v>1.0</v>
      </c>
      <c r="AA58" s="35" t="s">
        <v>513</v>
      </c>
      <c r="AB58" s="35">
        <v>3.0</v>
      </c>
      <c r="AC58" s="35" t="s">
        <v>515</v>
      </c>
      <c r="AD58" s="35">
        <v>1.0</v>
      </c>
      <c r="AE58" s="95"/>
      <c r="AF58" s="95"/>
      <c r="AG58" s="35" t="s">
        <v>481</v>
      </c>
      <c r="AH58" s="35">
        <v>2.0</v>
      </c>
      <c r="AI58" s="35" t="s">
        <v>479</v>
      </c>
      <c r="AJ58" s="35">
        <v>1.0</v>
      </c>
      <c r="AK58" s="35" t="s">
        <v>497</v>
      </c>
      <c r="AL58" s="35">
        <v>1.0</v>
      </c>
      <c r="AM58" s="35" t="s">
        <v>503</v>
      </c>
      <c r="AN58" s="35">
        <v>2.0</v>
      </c>
      <c r="AO58" s="35" t="s">
        <v>503</v>
      </c>
      <c r="AP58" s="35">
        <v>1.0</v>
      </c>
      <c r="AQ58" s="95"/>
      <c r="AR58" s="95"/>
      <c r="AS58" s="51" t="s">
        <v>481</v>
      </c>
      <c r="AT58" s="51">
        <v>2.0</v>
      </c>
    </row>
    <row r="59">
      <c r="A59" s="35" t="s">
        <v>530</v>
      </c>
      <c r="B59" s="35">
        <v>1.0</v>
      </c>
      <c r="C59" s="35" t="s">
        <v>531</v>
      </c>
      <c r="D59" s="35">
        <v>2.0</v>
      </c>
      <c r="E59" s="35" t="s">
        <v>508</v>
      </c>
      <c r="F59" s="35">
        <v>1.0</v>
      </c>
      <c r="I59" s="35" t="s">
        <v>532</v>
      </c>
      <c r="J59" s="35">
        <v>3.0</v>
      </c>
      <c r="K59" s="35" t="s">
        <v>533</v>
      </c>
      <c r="L59" s="35">
        <v>1.0</v>
      </c>
      <c r="M59" s="35" t="s">
        <v>525</v>
      </c>
      <c r="N59" s="35">
        <v>1.0</v>
      </c>
      <c r="O59" s="35" t="s">
        <v>526</v>
      </c>
      <c r="P59" s="35">
        <v>3.0</v>
      </c>
      <c r="Q59" s="35" t="s">
        <v>519</v>
      </c>
      <c r="R59" s="35">
        <v>2.0</v>
      </c>
      <c r="U59" s="35" t="s">
        <v>495</v>
      </c>
      <c r="V59" s="35">
        <v>3.0</v>
      </c>
      <c r="W59" s="35" t="s">
        <v>479</v>
      </c>
      <c r="X59" s="35">
        <v>1.0</v>
      </c>
      <c r="Y59" s="35" t="s">
        <v>525</v>
      </c>
      <c r="Z59" s="35">
        <v>1.0</v>
      </c>
      <c r="AA59" s="35" t="s">
        <v>526</v>
      </c>
      <c r="AB59" s="35">
        <v>2.0</v>
      </c>
      <c r="AC59" s="35" t="s">
        <v>503</v>
      </c>
      <c r="AD59" s="35">
        <v>3.0</v>
      </c>
      <c r="AE59" s="95"/>
      <c r="AF59" s="95"/>
      <c r="AG59" s="35" t="s">
        <v>486</v>
      </c>
      <c r="AH59" s="35">
        <v>1.0</v>
      </c>
      <c r="AI59" s="35" t="s">
        <v>533</v>
      </c>
      <c r="AJ59" s="35">
        <v>1.0</v>
      </c>
      <c r="AK59" s="35" t="s">
        <v>495</v>
      </c>
      <c r="AL59" s="35">
        <v>2.0</v>
      </c>
      <c r="AM59" s="35" t="s">
        <v>513</v>
      </c>
      <c r="AN59" s="35">
        <v>3.0</v>
      </c>
      <c r="AO59" s="35" t="s">
        <v>513</v>
      </c>
      <c r="AP59" s="35">
        <v>1.0</v>
      </c>
      <c r="AQ59" s="95"/>
      <c r="AR59" s="95"/>
      <c r="AS59" s="51" t="s">
        <v>486</v>
      </c>
      <c r="AT59" s="51">
        <v>1.0</v>
      </c>
    </row>
    <row r="60">
      <c r="A60" s="35" t="s">
        <v>535</v>
      </c>
      <c r="B60" s="35">
        <v>1.0</v>
      </c>
      <c r="C60" s="35" t="s">
        <v>518</v>
      </c>
      <c r="D60" s="35">
        <v>1.0</v>
      </c>
      <c r="E60" s="35" t="s">
        <v>495</v>
      </c>
      <c r="F60" s="35">
        <v>6.0</v>
      </c>
      <c r="I60" s="35" t="s">
        <v>536</v>
      </c>
      <c r="J60" s="35">
        <v>1.0</v>
      </c>
      <c r="K60" s="35" t="s">
        <v>488</v>
      </c>
      <c r="L60" s="35">
        <v>1.0</v>
      </c>
      <c r="M60" s="35" t="s">
        <v>537</v>
      </c>
      <c r="N60" s="35">
        <v>1.0</v>
      </c>
      <c r="O60" s="35" t="s">
        <v>518</v>
      </c>
      <c r="P60" s="35">
        <v>3.0</v>
      </c>
      <c r="Q60" s="35" t="s">
        <v>531</v>
      </c>
      <c r="R60" s="35">
        <v>1.0</v>
      </c>
      <c r="U60" s="35" t="s">
        <v>515</v>
      </c>
      <c r="V60" s="35">
        <v>1.0</v>
      </c>
      <c r="W60" s="35" t="s">
        <v>533</v>
      </c>
      <c r="X60" s="35">
        <v>1.0</v>
      </c>
      <c r="Y60" s="35" t="s">
        <v>537</v>
      </c>
      <c r="Z60" s="35">
        <v>1.0</v>
      </c>
      <c r="AA60" s="35" t="s">
        <v>518</v>
      </c>
      <c r="AB60" s="35">
        <v>3.0</v>
      </c>
      <c r="AC60" s="35" t="s">
        <v>513</v>
      </c>
      <c r="AD60" s="35">
        <v>1.0</v>
      </c>
      <c r="AE60" s="95"/>
      <c r="AF60" s="95"/>
      <c r="AG60" s="35" t="s">
        <v>483</v>
      </c>
      <c r="AH60" s="35">
        <v>1.0</v>
      </c>
      <c r="AI60" s="35" t="s">
        <v>488</v>
      </c>
      <c r="AJ60" s="35">
        <v>1.0</v>
      </c>
      <c r="AK60" s="35" t="s">
        <v>519</v>
      </c>
      <c r="AL60" s="35">
        <v>3.0</v>
      </c>
      <c r="AM60" s="35" t="s">
        <v>526</v>
      </c>
      <c r="AN60" s="35">
        <v>2.0</v>
      </c>
      <c r="AO60" s="35" t="s">
        <v>519</v>
      </c>
      <c r="AP60" s="35">
        <v>1.0</v>
      </c>
      <c r="AQ60" s="95"/>
      <c r="AR60" s="95"/>
      <c r="AS60" s="51" t="s">
        <v>507</v>
      </c>
      <c r="AT60" s="51">
        <v>1.0</v>
      </c>
    </row>
    <row r="61">
      <c r="A61" s="35" t="s">
        <v>539</v>
      </c>
      <c r="B61" s="35">
        <v>1.0</v>
      </c>
      <c r="C61" s="35" t="s">
        <v>540</v>
      </c>
      <c r="D61" s="35">
        <v>2.0</v>
      </c>
      <c r="E61" s="35" t="s">
        <v>515</v>
      </c>
      <c r="F61" s="35">
        <v>1.0</v>
      </c>
      <c r="I61" s="35" t="s">
        <v>530</v>
      </c>
      <c r="J61" s="35">
        <v>1.0</v>
      </c>
      <c r="K61" s="35" t="s">
        <v>497</v>
      </c>
      <c r="L61" s="35">
        <v>2.0</v>
      </c>
      <c r="M61" s="35" t="s">
        <v>541</v>
      </c>
      <c r="N61" s="35">
        <v>2.0</v>
      </c>
      <c r="O61" s="35" t="s">
        <v>527</v>
      </c>
      <c r="P61" s="35">
        <v>2.0</v>
      </c>
      <c r="Q61" s="35" t="s">
        <v>518</v>
      </c>
      <c r="R61" s="35">
        <v>3.0</v>
      </c>
      <c r="U61" s="35" t="s">
        <v>503</v>
      </c>
      <c r="V61" s="35">
        <v>1.0</v>
      </c>
      <c r="W61" s="35" t="s">
        <v>488</v>
      </c>
      <c r="X61" s="35">
        <v>1.0</v>
      </c>
      <c r="Y61" s="35" t="s">
        <v>541</v>
      </c>
      <c r="Z61" s="35">
        <v>3.0</v>
      </c>
      <c r="AA61" s="35" t="s">
        <v>521</v>
      </c>
      <c r="AB61" s="35">
        <v>1.0</v>
      </c>
      <c r="AC61" s="35" t="s">
        <v>531</v>
      </c>
      <c r="AD61" s="35">
        <v>2.0</v>
      </c>
      <c r="AE61" s="95"/>
      <c r="AF61" s="95"/>
      <c r="AG61" s="35" t="s">
        <v>507</v>
      </c>
      <c r="AH61" s="35">
        <v>1.0</v>
      </c>
      <c r="AI61" s="35" t="s">
        <v>497</v>
      </c>
      <c r="AJ61" s="35">
        <v>2.0</v>
      </c>
      <c r="AK61" s="35" t="s">
        <v>518</v>
      </c>
      <c r="AL61" s="35">
        <v>1.0</v>
      </c>
      <c r="AM61" s="35" t="s">
        <v>518</v>
      </c>
      <c r="AN61" s="35">
        <v>5.0</v>
      </c>
      <c r="AO61" s="35" t="s">
        <v>531</v>
      </c>
      <c r="AP61" s="35">
        <v>1.0</v>
      </c>
      <c r="AQ61" s="95"/>
      <c r="AR61" s="95"/>
      <c r="AS61" s="51" t="s">
        <v>495</v>
      </c>
      <c r="AT61" s="51">
        <v>2.0</v>
      </c>
    </row>
    <row r="62">
      <c r="A62" s="35" t="s">
        <v>544</v>
      </c>
      <c r="B62" s="35">
        <v>1.0</v>
      </c>
      <c r="C62" s="35" t="s">
        <v>532</v>
      </c>
      <c r="D62" s="35">
        <v>1.0</v>
      </c>
      <c r="E62" s="35" t="s">
        <v>503</v>
      </c>
      <c r="F62" s="35">
        <v>1.0</v>
      </c>
      <c r="I62" s="35" t="s">
        <v>545</v>
      </c>
      <c r="J62" s="35">
        <v>1.0</v>
      </c>
      <c r="K62" s="35" t="s">
        <v>495</v>
      </c>
      <c r="L62" s="35">
        <v>3.0</v>
      </c>
      <c r="M62" s="35" t="s">
        <v>545</v>
      </c>
      <c r="N62" s="35">
        <v>1.0</v>
      </c>
      <c r="O62" s="35" t="s">
        <v>540</v>
      </c>
      <c r="P62" s="35">
        <v>4.0</v>
      </c>
      <c r="Q62" s="35" t="s">
        <v>521</v>
      </c>
      <c r="R62" s="35">
        <v>1.0</v>
      </c>
      <c r="U62" s="35" t="s">
        <v>513</v>
      </c>
      <c r="V62" s="35">
        <v>1.0</v>
      </c>
      <c r="W62" s="35" t="s">
        <v>497</v>
      </c>
      <c r="X62" s="35">
        <v>2.0</v>
      </c>
      <c r="Y62" s="35" t="s">
        <v>545</v>
      </c>
      <c r="Z62" s="35">
        <v>1.0</v>
      </c>
      <c r="AA62" s="35" t="s">
        <v>527</v>
      </c>
      <c r="AB62" s="35">
        <v>2.0</v>
      </c>
      <c r="AC62" s="35" t="s">
        <v>518</v>
      </c>
      <c r="AD62" s="35">
        <v>2.0</v>
      </c>
      <c r="AE62" s="95"/>
      <c r="AF62" s="95"/>
      <c r="AG62" s="35" t="s">
        <v>495</v>
      </c>
      <c r="AH62" s="35">
        <v>2.0</v>
      </c>
      <c r="AI62" s="35" t="s">
        <v>495</v>
      </c>
      <c r="AJ62" s="35">
        <v>3.0</v>
      </c>
      <c r="AK62" s="35" t="s">
        <v>525</v>
      </c>
      <c r="AL62" s="35">
        <v>2.0</v>
      </c>
      <c r="AM62" s="35" t="s">
        <v>527</v>
      </c>
      <c r="AN62" s="35">
        <v>2.0</v>
      </c>
      <c r="AO62" s="35" t="s">
        <v>518</v>
      </c>
      <c r="AP62" s="35">
        <v>3.0</v>
      </c>
      <c r="AQ62" s="95"/>
      <c r="AR62" s="95"/>
      <c r="AS62" s="51" t="s">
        <v>503</v>
      </c>
      <c r="AT62" s="51">
        <v>2.0</v>
      </c>
    </row>
    <row r="63">
      <c r="A63" s="35" t="s">
        <v>548</v>
      </c>
      <c r="B63" s="35">
        <v>1.0</v>
      </c>
      <c r="C63" s="35" t="s">
        <v>536</v>
      </c>
      <c r="D63" s="35">
        <v>3.0</v>
      </c>
      <c r="E63" s="35" t="s">
        <v>513</v>
      </c>
      <c r="F63" s="35">
        <v>4.0</v>
      </c>
      <c r="I63" s="35" t="s">
        <v>535</v>
      </c>
      <c r="J63" s="35">
        <v>1.0</v>
      </c>
      <c r="K63" s="87" t="s">
        <v>503</v>
      </c>
      <c r="L63" s="158">
        <v>1.0</v>
      </c>
      <c r="M63" s="35" t="s">
        <v>535</v>
      </c>
      <c r="N63" s="35">
        <v>2.0</v>
      </c>
      <c r="O63" s="35" t="s">
        <v>532</v>
      </c>
      <c r="P63" s="35">
        <v>1.0</v>
      </c>
      <c r="Q63" s="35" t="s">
        <v>525</v>
      </c>
      <c r="R63" s="35">
        <v>2.0</v>
      </c>
      <c r="U63" s="35" t="s">
        <v>519</v>
      </c>
      <c r="V63" s="35">
        <v>2.0</v>
      </c>
      <c r="W63" s="87" t="s">
        <v>495</v>
      </c>
      <c r="X63" s="158">
        <v>3.0</v>
      </c>
      <c r="Y63" s="35" t="s">
        <v>535</v>
      </c>
      <c r="Z63" s="35">
        <v>2.0</v>
      </c>
      <c r="AA63" s="35" t="s">
        <v>540</v>
      </c>
      <c r="AB63" s="35">
        <v>2.0</v>
      </c>
      <c r="AC63" s="35" t="s">
        <v>551</v>
      </c>
      <c r="AD63" s="35">
        <v>1.0</v>
      </c>
      <c r="AE63" s="95"/>
      <c r="AF63" s="95"/>
      <c r="AG63" s="35" t="s">
        <v>503</v>
      </c>
      <c r="AH63" s="35">
        <v>2.0</v>
      </c>
      <c r="AI63" s="87" t="s">
        <v>515</v>
      </c>
      <c r="AJ63" s="158">
        <v>1.0</v>
      </c>
      <c r="AK63" s="35" t="s">
        <v>540</v>
      </c>
      <c r="AL63" s="35">
        <v>1.0</v>
      </c>
      <c r="AM63" s="35" t="s">
        <v>540</v>
      </c>
      <c r="AN63" s="35">
        <v>3.0</v>
      </c>
      <c r="AO63" s="35" t="s">
        <v>551</v>
      </c>
      <c r="AP63" s="35">
        <v>1.0</v>
      </c>
      <c r="AQ63" s="95"/>
      <c r="AR63" s="95"/>
      <c r="AS63" s="51" t="s">
        <v>519</v>
      </c>
      <c r="AT63" s="51">
        <v>3.0</v>
      </c>
    </row>
    <row r="64">
      <c r="A64" s="35" t="s">
        <v>552</v>
      </c>
      <c r="B64" s="35">
        <v>1.0</v>
      </c>
      <c r="C64" s="35" t="s">
        <v>530</v>
      </c>
      <c r="D64" s="35">
        <v>1.0</v>
      </c>
      <c r="E64" s="35" t="s">
        <v>526</v>
      </c>
      <c r="F64" s="35">
        <v>1.0</v>
      </c>
      <c r="I64" s="35" t="s">
        <v>553</v>
      </c>
      <c r="J64" s="35">
        <v>1.0</v>
      </c>
      <c r="K64" s="87" t="s">
        <v>513</v>
      </c>
      <c r="L64" s="158">
        <v>1.0</v>
      </c>
      <c r="M64" s="35" t="s">
        <v>539</v>
      </c>
      <c r="N64" s="35">
        <v>1.0</v>
      </c>
      <c r="O64" s="35" t="s">
        <v>537</v>
      </c>
      <c r="P64" s="35">
        <v>1.0</v>
      </c>
      <c r="Q64" s="35" t="s">
        <v>532</v>
      </c>
      <c r="R64" s="35">
        <v>1.0</v>
      </c>
      <c r="U64" s="35" t="s">
        <v>525</v>
      </c>
      <c r="V64" s="35">
        <v>1.0</v>
      </c>
      <c r="W64" s="87" t="s">
        <v>503</v>
      </c>
      <c r="X64" s="158">
        <v>1.0</v>
      </c>
      <c r="Y64" s="35" t="s">
        <v>539</v>
      </c>
      <c r="Z64" s="35">
        <v>1.0</v>
      </c>
      <c r="AA64" s="35" t="s">
        <v>532</v>
      </c>
      <c r="AB64" s="35">
        <v>1.0</v>
      </c>
      <c r="AC64" s="35" t="s">
        <v>521</v>
      </c>
      <c r="AD64" s="35">
        <v>1.0</v>
      </c>
      <c r="AE64" s="95"/>
      <c r="AF64" s="95"/>
      <c r="AG64" s="35" t="s">
        <v>519</v>
      </c>
      <c r="AH64" s="35">
        <v>3.0</v>
      </c>
      <c r="AI64" s="87" t="s">
        <v>503</v>
      </c>
      <c r="AJ64" s="158">
        <v>1.0</v>
      </c>
      <c r="AK64" s="35" t="s">
        <v>541</v>
      </c>
      <c r="AL64" s="35">
        <v>1.0</v>
      </c>
      <c r="AM64" s="35" t="s">
        <v>536</v>
      </c>
      <c r="AN64" s="35">
        <v>2.0</v>
      </c>
      <c r="AO64" s="35" t="s">
        <v>521</v>
      </c>
      <c r="AP64" s="35">
        <v>1.0</v>
      </c>
      <c r="AQ64" s="95"/>
      <c r="AR64" s="95"/>
      <c r="AS64" s="51" t="s">
        <v>525</v>
      </c>
      <c r="AT64" s="51">
        <v>1.0</v>
      </c>
    </row>
    <row r="65">
      <c r="A65" s="35" t="s">
        <v>555</v>
      </c>
      <c r="B65" s="35">
        <v>1.0</v>
      </c>
      <c r="C65" s="35" t="s">
        <v>541</v>
      </c>
      <c r="D65" s="35">
        <v>1.0</v>
      </c>
      <c r="E65" s="35" t="s">
        <v>519</v>
      </c>
      <c r="F65" s="35">
        <v>1.0</v>
      </c>
      <c r="I65" s="35" t="s">
        <v>544</v>
      </c>
      <c r="J65" s="35">
        <v>2.0</v>
      </c>
      <c r="K65" s="87" t="s">
        <v>519</v>
      </c>
      <c r="L65" s="158">
        <v>1.0</v>
      </c>
      <c r="M65" s="35" t="s">
        <v>556</v>
      </c>
      <c r="N65" s="35">
        <v>1.0</v>
      </c>
      <c r="O65" s="35" t="s">
        <v>530</v>
      </c>
      <c r="P65" s="35">
        <v>1.0</v>
      </c>
      <c r="Q65" s="35" t="s">
        <v>537</v>
      </c>
      <c r="R65" s="35">
        <v>2.0</v>
      </c>
      <c r="U65" s="35" t="s">
        <v>532</v>
      </c>
      <c r="V65" s="35">
        <v>2.0</v>
      </c>
      <c r="W65" s="87" t="s">
        <v>519</v>
      </c>
      <c r="X65" s="158">
        <v>1.0</v>
      </c>
      <c r="Y65" s="35" t="s">
        <v>544</v>
      </c>
      <c r="Z65" s="35">
        <v>1.0</v>
      </c>
      <c r="AA65" s="35" t="s">
        <v>537</v>
      </c>
      <c r="AB65" s="35">
        <v>1.0</v>
      </c>
      <c r="AC65" s="35" t="s">
        <v>525</v>
      </c>
      <c r="AD65" s="35">
        <v>2.0</v>
      </c>
      <c r="AE65" s="95"/>
      <c r="AF65" s="95"/>
      <c r="AG65" s="35" t="s">
        <v>525</v>
      </c>
      <c r="AH65" s="35">
        <v>1.0</v>
      </c>
      <c r="AI65" s="35" t="s">
        <v>525</v>
      </c>
      <c r="AJ65" s="35">
        <v>1.0</v>
      </c>
      <c r="AK65" s="35" t="s">
        <v>535</v>
      </c>
      <c r="AL65" s="35">
        <v>1.0</v>
      </c>
      <c r="AM65" s="35" t="s">
        <v>530</v>
      </c>
      <c r="AN65" s="35">
        <v>3.0</v>
      </c>
      <c r="AO65" s="35" t="s">
        <v>525</v>
      </c>
      <c r="AP65" s="35">
        <v>1.0</v>
      </c>
      <c r="AQ65" s="95"/>
      <c r="AR65" s="95"/>
      <c r="AS65" s="51" t="s">
        <v>540</v>
      </c>
      <c r="AT65" s="51">
        <v>1.0</v>
      </c>
    </row>
    <row r="66">
      <c r="A66" s="8"/>
      <c r="B66" s="8"/>
      <c r="C66" s="35" t="s">
        <v>553</v>
      </c>
      <c r="D66" s="35">
        <v>1.0</v>
      </c>
      <c r="E66" s="35" t="s">
        <v>531</v>
      </c>
      <c r="F66" s="35">
        <v>1.0</v>
      </c>
      <c r="I66" s="35" t="s">
        <v>559</v>
      </c>
      <c r="J66" s="35">
        <v>1.0</v>
      </c>
      <c r="K66" s="35" t="s">
        <v>521</v>
      </c>
      <c r="L66" s="35">
        <v>1.0</v>
      </c>
      <c r="M66" s="35" t="s">
        <v>548</v>
      </c>
      <c r="N66" s="35">
        <v>1.0</v>
      </c>
      <c r="O66" s="35" t="s">
        <v>541</v>
      </c>
      <c r="P66" s="35">
        <v>1.0</v>
      </c>
      <c r="Q66" s="35" t="s">
        <v>536</v>
      </c>
      <c r="R66" s="35">
        <v>2.0</v>
      </c>
      <c r="U66" s="35" t="s">
        <v>536</v>
      </c>
      <c r="V66" s="35">
        <v>1.0</v>
      </c>
      <c r="W66" s="35" t="s">
        <v>525</v>
      </c>
      <c r="X66" s="35">
        <v>1.0</v>
      </c>
      <c r="Y66" s="35" t="s">
        <v>556</v>
      </c>
      <c r="Z66" s="35">
        <v>1.0</v>
      </c>
      <c r="AA66" s="35" t="s">
        <v>536</v>
      </c>
      <c r="AB66" s="35">
        <v>1.0</v>
      </c>
      <c r="AC66" s="35" t="s">
        <v>537</v>
      </c>
      <c r="AD66" s="35">
        <v>2.0</v>
      </c>
      <c r="AE66" s="95"/>
      <c r="AF66" s="95"/>
      <c r="AG66" s="35" t="s">
        <v>540</v>
      </c>
      <c r="AH66" s="35">
        <v>1.0</v>
      </c>
      <c r="AI66" s="35" t="s">
        <v>540</v>
      </c>
      <c r="AJ66" s="35">
        <v>1.0</v>
      </c>
      <c r="AK66" s="35" t="s">
        <v>539</v>
      </c>
      <c r="AL66" s="35">
        <v>1.0</v>
      </c>
      <c r="AM66" s="35" t="s">
        <v>541</v>
      </c>
      <c r="AN66" s="35">
        <v>1.0</v>
      </c>
      <c r="AO66" s="35" t="s">
        <v>537</v>
      </c>
      <c r="AP66" s="35">
        <v>2.0</v>
      </c>
      <c r="AQ66" s="95"/>
      <c r="AR66" s="95"/>
      <c r="AS66" s="51" t="s">
        <v>532</v>
      </c>
      <c r="AT66" s="51">
        <v>1.0</v>
      </c>
    </row>
    <row r="67">
      <c r="A67" s="8"/>
      <c r="B67" s="69">
        <v>69.0</v>
      </c>
      <c r="C67" s="35" t="s">
        <v>544</v>
      </c>
      <c r="D67" s="35">
        <v>1.0</v>
      </c>
      <c r="E67" s="35" t="s">
        <v>518</v>
      </c>
      <c r="F67" s="35">
        <v>3.0</v>
      </c>
      <c r="I67" s="35" t="s">
        <v>548</v>
      </c>
      <c r="J67" s="35">
        <v>1.0</v>
      </c>
      <c r="K67" s="35" t="s">
        <v>527</v>
      </c>
      <c r="L67" s="35">
        <v>1.0</v>
      </c>
      <c r="M67" s="35" t="s">
        <v>562</v>
      </c>
      <c r="N67" s="35">
        <v>1.0</v>
      </c>
      <c r="O67" s="35" t="s">
        <v>535</v>
      </c>
      <c r="P67" s="35">
        <v>1.0</v>
      </c>
      <c r="Q67" s="35" t="s">
        <v>545</v>
      </c>
      <c r="R67" s="35">
        <v>2.0</v>
      </c>
      <c r="U67" s="35" t="s">
        <v>530</v>
      </c>
      <c r="V67" s="35">
        <v>1.0</v>
      </c>
      <c r="W67" s="35" t="s">
        <v>532</v>
      </c>
      <c r="X67" s="35">
        <v>1.0</v>
      </c>
      <c r="Y67" s="35" t="s">
        <v>548</v>
      </c>
      <c r="Z67" s="35">
        <v>1.0</v>
      </c>
      <c r="AA67" s="35" t="s">
        <v>530</v>
      </c>
      <c r="AB67" s="35">
        <v>1.0</v>
      </c>
      <c r="AC67" s="35" t="s">
        <v>536</v>
      </c>
      <c r="AD67" s="35">
        <v>2.0</v>
      </c>
      <c r="AE67" s="95"/>
      <c r="AF67" s="95"/>
      <c r="AG67" s="35" t="s">
        <v>532</v>
      </c>
      <c r="AH67" s="35">
        <v>1.0</v>
      </c>
      <c r="AI67" s="35" t="s">
        <v>532</v>
      </c>
      <c r="AJ67" s="35">
        <v>1.0</v>
      </c>
      <c r="AK67" s="35" t="s">
        <v>544</v>
      </c>
      <c r="AL67" s="35">
        <v>2.0</v>
      </c>
      <c r="AM67" s="35" t="s">
        <v>535</v>
      </c>
      <c r="AN67" s="35">
        <v>1.0</v>
      </c>
      <c r="AO67" s="35" t="s">
        <v>536</v>
      </c>
      <c r="AP67" s="35">
        <v>2.0</v>
      </c>
      <c r="AQ67" s="95"/>
      <c r="AR67" s="95"/>
      <c r="AS67" s="51" t="s">
        <v>536</v>
      </c>
      <c r="AT67" s="51">
        <v>1.0</v>
      </c>
    </row>
    <row r="68">
      <c r="C68" s="35" t="s">
        <v>548</v>
      </c>
      <c r="D68" s="35">
        <v>1.0</v>
      </c>
      <c r="E68" s="35" t="s">
        <v>525</v>
      </c>
      <c r="F68" s="35">
        <v>2.0</v>
      </c>
      <c r="I68" s="35" t="s">
        <v>565</v>
      </c>
      <c r="J68" s="35">
        <v>1.0</v>
      </c>
      <c r="K68" s="35" t="s">
        <v>525</v>
      </c>
      <c r="L68" s="35">
        <v>2.0</v>
      </c>
      <c r="M68" s="8"/>
      <c r="N68" s="8"/>
      <c r="O68" s="35" t="s">
        <v>553</v>
      </c>
      <c r="P68" s="35">
        <v>1.0</v>
      </c>
      <c r="Q68" s="35" t="s">
        <v>553</v>
      </c>
      <c r="R68" s="35">
        <v>1.0</v>
      </c>
      <c r="U68" s="35" t="s">
        <v>541</v>
      </c>
      <c r="V68" s="35">
        <v>1.0</v>
      </c>
      <c r="W68" s="35" t="s">
        <v>541</v>
      </c>
      <c r="X68" s="35">
        <v>2.0</v>
      </c>
      <c r="Y68" s="8"/>
      <c r="Z68" s="8"/>
      <c r="AA68" s="35" t="s">
        <v>541</v>
      </c>
      <c r="AB68" s="35">
        <v>1.0</v>
      </c>
      <c r="AC68" s="35" t="s">
        <v>545</v>
      </c>
      <c r="AD68" s="35">
        <v>2.0</v>
      </c>
      <c r="AE68" s="95"/>
      <c r="AF68" s="95"/>
      <c r="AG68" s="35" t="s">
        <v>536</v>
      </c>
      <c r="AH68" s="35">
        <v>1.0</v>
      </c>
      <c r="AI68" s="35" t="s">
        <v>541</v>
      </c>
      <c r="AJ68" s="35">
        <v>1.0</v>
      </c>
      <c r="AK68" s="35" t="s">
        <v>559</v>
      </c>
      <c r="AL68" s="35">
        <v>1.0</v>
      </c>
      <c r="AM68" s="35" t="s">
        <v>553</v>
      </c>
      <c r="AN68" s="35">
        <v>1.0</v>
      </c>
      <c r="AO68" s="35" t="s">
        <v>545</v>
      </c>
      <c r="AP68" s="35">
        <v>3.0</v>
      </c>
      <c r="AQ68" s="95"/>
      <c r="AR68" s="95"/>
      <c r="AS68" s="51" t="s">
        <v>530</v>
      </c>
      <c r="AT68" s="51">
        <v>1.0</v>
      </c>
    </row>
    <row r="69">
      <c r="C69" s="35" t="s">
        <v>562</v>
      </c>
      <c r="D69" s="35">
        <v>1.0</v>
      </c>
      <c r="E69" s="35" t="s">
        <v>540</v>
      </c>
      <c r="F69" s="35">
        <v>1.0</v>
      </c>
      <c r="I69" s="35" t="s">
        <v>569</v>
      </c>
      <c r="J69" s="35">
        <v>2.0</v>
      </c>
      <c r="K69" s="35" t="s">
        <v>532</v>
      </c>
      <c r="L69" s="35">
        <v>2.0</v>
      </c>
      <c r="M69" s="8"/>
      <c r="N69" s="69">
        <v>73.0</v>
      </c>
      <c r="O69" s="35" t="s">
        <v>544</v>
      </c>
      <c r="P69" s="35">
        <v>1.0</v>
      </c>
      <c r="Q69" s="35" t="s">
        <v>559</v>
      </c>
      <c r="R69" s="35">
        <v>1.0</v>
      </c>
      <c r="U69" s="35" t="s">
        <v>545</v>
      </c>
      <c r="V69" s="35">
        <v>1.0</v>
      </c>
      <c r="W69" s="35" t="s">
        <v>535</v>
      </c>
      <c r="X69" s="35">
        <v>1.0</v>
      </c>
      <c r="Y69" s="8"/>
      <c r="Z69" s="69">
        <v>73.0</v>
      </c>
      <c r="AA69" s="35" t="s">
        <v>535</v>
      </c>
      <c r="AB69" s="35">
        <v>1.0</v>
      </c>
      <c r="AC69" s="35" t="s">
        <v>535</v>
      </c>
      <c r="AD69" s="35">
        <v>2.0</v>
      </c>
      <c r="AE69" s="95"/>
      <c r="AF69" s="95"/>
      <c r="AG69" s="35" t="s">
        <v>530</v>
      </c>
      <c r="AH69" s="35">
        <v>1.0</v>
      </c>
      <c r="AI69" s="35" t="s">
        <v>545</v>
      </c>
      <c r="AJ69" s="35">
        <v>1.0</v>
      </c>
      <c r="AK69" s="35" t="s">
        <v>556</v>
      </c>
      <c r="AL69" s="35">
        <v>1.0</v>
      </c>
      <c r="AM69" s="35" t="s">
        <v>544</v>
      </c>
      <c r="AN69" s="35">
        <v>1.0</v>
      </c>
      <c r="AO69" s="35" t="s">
        <v>553</v>
      </c>
      <c r="AP69" s="35">
        <v>1.0</v>
      </c>
      <c r="AQ69" s="95"/>
      <c r="AR69" s="95"/>
      <c r="AS69" s="51" t="s">
        <v>541</v>
      </c>
      <c r="AT69" s="51">
        <v>2.0</v>
      </c>
    </row>
    <row r="70">
      <c r="C70" s="35" t="s">
        <v>569</v>
      </c>
      <c r="D70" s="35">
        <v>1.0</v>
      </c>
      <c r="E70" s="35" t="s">
        <v>532</v>
      </c>
      <c r="F70" s="35">
        <v>2.0</v>
      </c>
      <c r="I70" s="8"/>
      <c r="J70" s="8"/>
      <c r="K70" s="35" t="s">
        <v>541</v>
      </c>
      <c r="L70" s="35">
        <v>1.0</v>
      </c>
      <c r="O70" s="35" t="s">
        <v>548</v>
      </c>
      <c r="P70" s="35">
        <v>1.0</v>
      </c>
      <c r="Q70" s="35" t="s">
        <v>556</v>
      </c>
      <c r="R70" s="35">
        <v>1.0</v>
      </c>
      <c r="U70" s="35" t="s">
        <v>535</v>
      </c>
      <c r="V70" s="35">
        <v>2.0</v>
      </c>
      <c r="W70" s="35" t="s">
        <v>571</v>
      </c>
      <c r="X70" s="35">
        <v>1.0</v>
      </c>
      <c r="AA70" s="35" t="s">
        <v>553</v>
      </c>
      <c r="AB70" s="35">
        <v>1.0</v>
      </c>
      <c r="AC70" s="35" t="s">
        <v>553</v>
      </c>
      <c r="AD70" s="35">
        <v>1.0</v>
      </c>
      <c r="AE70" s="95"/>
      <c r="AF70" s="95"/>
      <c r="AG70" s="35" t="s">
        <v>541</v>
      </c>
      <c r="AH70" s="35">
        <v>2.0</v>
      </c>
      <c r="AI70" s="35" t="s">
        <v>535</v>
      </c>
      <c r="AJ70" s="35">
        <v>1.0</v>
      </c>
      <c r="AK70" s="35" t="s">
        <v>548</v>
      </c>
      <c r="AL70" s="35">
        <v>1.0</v>
      </c>
      <c r="AM70" s="35" t="s">
        <v>548</v>
      </c>
      <c r="AN70" s="35">
        <v>1.0</v>
      </c>
      <c r="AO70" s="35" t="s">
        <v>571</v>
      </c>
      <c r="AP70" s="35">
        <v>1.0</v>
      </c>
      <c r="AQ70" s="95"/>
      <c r="AR70" s="95"/>
      <c r="AS70" s="51" t="s">
        <v>545</v>
      </c>
      <c r="AT70" s="51">
        <v>1.0</v>
      </c>
    </row>
    <row r="71">
      <c r="C71" s="35" t="s">
        <v>555</v>
      </c>
      <c r="D71" s="35">
        <v>1.0</v>
      </c>
      <c r="E71" s="35" t="s">
        <v>537</v>
      </c>
      <c r="F71" s="35">
        <v>1.0</v>
      </c>
      <c r="I71" s="8"/>
      <c r="J71" s="69">
        <v>83.0</v>
      </c>
      <c r="K71" s="35" t="s">
        <v>553</v>
      </c>
      <c r="L71" s="35">
        <v>1.0</v>
      </c>
      <c r="O71" s="35" t="s">
        <v>552</v>
      </c>
      <c r="P71" s="35">
        <v>1.0</v>
      </c>
      <c r="Q71" s="35" t="s">
        <v>548</v>
      </c>
      <c r="R71" s="35">
        <v>2.0</v>
      </c>
      <c r="U71" s="35" t="s">
        <v>553</v>
      </c>
      <c r="V71" s="35">
        <v>1.0</v>
      </c>
      <c r="W71" s="35" t="s">
        <v>556</v>
      </c>
      <c r="X71" s="35">
        <v>2.0</v>
      </c>
      <c r="AA71" s="35" t="s">
        <v>544</v>
      </c>
      <c r="AB71" s="35">
        <v>1.0</v>
      </c>
      <c r="AC71" s="35" t="s">
        <v>559</v>
      </c>
      <c r="AD71" s="35">
        <v>3.0</v>
      </c>
      <c r="AE71" s="95"/>
      <c r="AF71" s="95"/>
      <c r="AG71" s="35" t="s">
        <v>535</v>
      </c>
      <c r="AH71" s="35">
        <v>1.0</v>
      </c>
      <c r="AI71" s="35" t="s">
        <v>553</v>
      </c>
      <c r="AJ71" s="35">
        <v>1.0</v>
      </c>
      <c r="AK71" s="35"/>
      <c r="AL71" s="35"/>
      <c r="AM71" s="35" t="s">
        <v>552</v>
      </c>
      <c r="AN71" s="35">
        <v>2.0</v>
      </c>
      <c r="AO71" s="35" t="s">
        <v>539</v>
      </c>
      <c r="AP71" s="35">
        <v>1.0</v>
      </c>
      <c r="AQ71" s="95"/>
      <c r="AR71" s="95"/>
      <c r="AS71" s="51" t="s">
        <v>535</v>
      </c>
      <c r="AT71" s="51">
        <v>1.0</v>
      </c>
    </row>
    <row r="72">
      <c r="C72" s="8"/>
      <c r="D72" s="8"/>
      <c r="E72" s="35" t="s">
        <v>536</v>
      </c>
      <c r="F72" s="35">
        <v>1.0</v>
      </c>
      <c r="K72" s="35" t="s">
        <v>571</v>
      </c>
      <c r="L72" s="35">
        <v>1.0</v>
      </c>
      <c r="O72" s="35" t="s">
        <v>569</v>
      </c>
      <c r="P72" s="35">
        <v>1.0</v>
      </c>
      <c r="Q72" s="35" t="s">
        <v>552</v>
      </c>
      <c r="R72" s="72">
        <v>1.0</v>
      </c>
      <c r="U72" s="35" t="s">
        <v>571</v>
      </c>
      <c r="V72" s="35">
        <v>1.0</v>
      </c>
      <c r="W72" s="35" t="s">
        <v>548</v>
      </c>
      <c r="X72" s="35">
        <v>1.0</v>
      </c>
      <c r="AA72" s="35" t="s">
        <v>559</v>
      </c>
      <c r="AB72" s="35">
        <v>1.0</v>
      </c>
      <c r="AC72" s="35" t="s">
        <v>548</v>
      </c>
      <c r="AD72" s="35">
        <v>2.0</v>
      </c>
      <c r="AE72" s="95"/>
      <c r="AF72" s="95"/>
      <c r="AG72" s="35" t="s">
        <v>553</v>
      </c>
      <c r="AH72" s="35">
        <v>3.0</v>
      </c>
      <c r="AI72" s="35" t="s">
        <v>571</v>
      </c>
      <c r="AJ72" s="35">
        <v>1.0</v>
      </c>
      <c r="AK72" s="35"/>
      <c r="AL72" s="72">
        <v>72.0</v>
      </c>
      <c r="AM72" s="35" t="s">
        <v>565</v>
      </c>
      <c r="AN72" s="35">
        <v>1.0</v>
      </c>
      <c r="AO72" s="35" t="s">
        <v>548</v>
      </c>
      <c r="AP72" s="35">
        <v>3.0</v>
      </c>
      <c r="AQ72" s="95"/>
      <c r="AR72" s="95"/>
      <c r="AS72" s="51" t="s">
        <v>553</v>
      </c>
      <c r="AT72" s="51">
        <v>3.0</v>
      </c>
    </row>
    <row r="73">
      <c r="C73" s="8"/>
      <c r="D73" s="69">
        <v>83.0</v>
      </c>
      <c r="E73" s="35" t="s">
        <v>535</v>
      </c>
      <c r="F73" s="35">
        <v>1.0</v>
      </c>
      <c r="K73" s="35" t="s">
        <v>539</v>
      </c>
      <c r="L73" s="35">
        <v>2.0</v>
      </c>
      <c r="O73" s="8"/>
      <c r="P73" s="8"/>
      <c r="Q73" s="35" t="s">
        <v>555</v>
      </c>
      <c r="R73" s="35">
        <v>2.0</v>
      </c>
      <c r="U73" s="35" t="s">
        <v>544</v>
      </c>
      <c r="V73" s="35">
        <v>1.0</v>
      </c>
      <c r="W73" s="35" t="s">
        <v>552</v>
      </c>
      <c r="X73" s="35">
        <v>1.0</v>
      </c>
      <c r="AA73" s="35" t="s">
        <v>548</v>
      </c>
      <c r="AB73" s="35">
        <v>1.0</v>
      </c>
      <c r="AC73" s="35" t="s">
        <v>552</v>
      </c>
      <c r="AD73" s="35">
        <v>1.0</v>
      </c>
      <c r="AE73" s="95"/>
      <c r="AF73" s="95"/>
      <c r="AG73" s="35" t="s">
        <v>548</v>
      </c>
      <c r="AH73" s="35">
        <v>1.0</v>
      </c>
      <c r="AI73" s="35" t="s">
        <v>552</v>
      </c>
      <c r="AJ73" s="35">
        <v>3.0</v>
      </c>
      <c r="AK73" s="95"/>
      <c r="AL73" s="95"/>
      <c r="AM73" s="35"/>
      <c r="AN73" s="35"/>
      <c r="AO73" s="35" t="s">
        <v>552</v>
      </c>
      <c r="AP73" s="35">
        <v>3.0</v>
      </c>
      <c r="AQ73" s="95"/>
      <c r="AR73" s="95"/>
      <c r="AS73" s="51" t="s">
        <v>548</v>
      </c>
      <c r="AT73" s="51">
        <v>1.0</v>
      </c>
    </row>
    <row r="74">
      <c r="E74" s="35" t="s">
        <v>553</v>
      </c>
      <c r="F74" s="35">
        <v>1.0</v>
      </c>
      <c r="K74" s="35" t="s">
        <v>552</v>
      </c>
      <c r="L74" s="35">
        <v>2.0</v>
      </c>
      <c r="O74" s="8"/>
      <c r="P74" s="69">
        <v>88.0</v>
      </c>
      <c r="Q74" s="8"/>
      <c r="R74" s="8"/>
      <c r="U74" s="35" t="s">
        <v>559</v>
      </c>
      <c r="V74" s="35">
        <v>1.0</v>
      </c>
      <c r="W74" s="35" t="s">
        <v>562</v>
      </c>
      <c r="X74" s="35">
        <v>1.0</v>
      </c>
      <c r="AA74" s="35" t="s">
        <v>552</v>
      </c>
      <c r="AB74" s="35">
        <v>2.0</v>
      </c>
      <c r="AC74" s="35" t="s">
        <v>565</v>
      </c>
      <c r="AD74" s="35">
        <v>2.0</v>
      </c>
      <c r="AE74" s="95"/>
      <c r="AF74" s="95"/>
      <c r="AG74" s="35" t="s">
        <v>565</v>
      </c>
      <c r="AH74" s="35">
        <v>1.0</v>
      </c>
      <c r="AI74" s="35" t="s">
        <v>562</v>
      </c>
      <c r="AJ74" s="35">
        <v>2.0</v>
      </c>
      <c r="AK74" s="95"/>
      <c r="AL74" s="95"/>
      <c r="AM74" s="35"/>
      <c r="AN74" s="72">
        <v>89.0</v>
      </c>
      <c r="AO74" s="35" t="s">
        <v>569</v>
      </c>
      <c r="AP74" s="35">
        <v>1.0</v>
      </c>
      <c r="AQ74" s="95"/>
      <c r="AR74" s="95"/>
      <c r="AS74" s="51" t="s">
        <v>565</v>
      </c>
      <c r="AT74" s="51">
        <v>1.0</v>
      </c>
    </row>
    <row r="75">
      <c r="E75" s="35" t="s">
        <v>559</v>
      </c>
      <c r="F75" s="35">
        <v>1.0</v>
      </c>
      <c r="K75" s="35" t="s">
        <v>562</v>
      </c>
      <c r="L75" s="35">
        <v>2.0</v>
      </c>
      <c r="Q75" s="8"/>
      <c r="R75" s="69">
        <v>91.0</v>
      </c>
      <c r="U75" s="35" t="s">
        <v>562</v>
      </c>
      <c r="V75" s="35">
        <v>1.0</v>
      </c>
      <c r="W75" s="35" t="s">
        <v>565</v>
      </c>
      <c r="X75" s="35">
        <v>1.0</v>
      </c>
      <c r="AA75" s="35" t="s">
        <v>555</v>
      </c>
      <c r="AB75" s="35">
        <v>1.0</v>
      </c>
      <c r="AC75" s="35" t="s">
        <v>569</v>
      </c>
      <c r="AD75" s="35">
        <v>1.0</v>
      </c>
      <c r="AE75" s="95"/>
      <c r="AF75" s="95"/>
      <c r="AG75" s="35" t="s">
        <v>569</v>
      </c>
      <c r="AH75" s="35">
        <v>2.0</v>
      </c>
      <c r="AI75" s="35"/>
      <c r="AJ75" s="35"/>
      <c r="AK75" s="95"/>
      <c r="AL75" s="95"/>
      <c r="AM75" s="95"/>
      <c r="AN75" s="95"/>
      <c r="AO75" s="35"/>
      <c r="AP75" s="35"/>
      <c r="AQ75" s="95"/>
      <c r="AR75" s="95"/>
      <c r="AS75" s="51" t="s">
        <v>569</v>
      </c>
      <c r="AT75" s="51">
        <v>2.0</v>
      </c>
    </row>
    <row r="76">
      <c r="E76" s="35" t="s">
        <v>548</v>
      </c>
      <c r="F76" s="35">
        <v>1.0</v>
      </c>
      <c r="K76" s="35" t="s">
        <v>565</v>
      </c>
      <c r="L76" s="35">
        <v>1.0</v>
      </c>
      <c r="U76" s="35" t="s">
        <v>565</v>
      </c>
      <c r="V76" s="35">
        <v>1.0</v>
      </c>
      <c r="W76" s="8"/>
      <c r="X76" s="8"/>
      <c r="AA76" s="8"/>
      <c r="AB76" s="8"/>
      <c r="AC76" s="35" t="s">
        <v>555</v>
      </c>
      <c r="AD76" s="35">
        <v>1.0</v>
      </c>
      <c r="AE76" s="95"/>
      <c r="AF76" s="95"/>
      <c r="AG76" s="35"/>
      <c r="AH76" s="35"/>
      <c r="AI76" s="35"/>
      <c r="AJ76" s="72">
        <v>85.0</v>
      </c>
      <c r="AK76" s="165"/>
      <c r="AL76" s="165"/>
      <c r="AM76" s="165"/>
      <c r="AN76" s="165"/>
      <c r="AO76" s="72"/>
      <c r="AP76" s="72">
        <v>91.0</v>
      </c>
      <c r="AQ76" s="165"/>
      <c r="AR76" s="165"/>
      <c r="AS76" s="72"/>
      <c r="AT76" s="72"/>
    </row>
    <row r="77">
      <c r="E77" s="35" t="s">
        <v>552</v>
      </c>
      <c r="F77" s="35">
        <v>1.0</v>
      </c>
      <c r="K77" s="8"/>
      <c r="L77" s="8"/>
      <c r="U77" s="35" t="s">
        <v>569</v>
      </c>
      <c r="V77" s="35">
        <v>3.0</v>
      </c>
      <c r="W77" s="8"/>
      <c r="X77" s="69">
        <v>82.0</v>
      </c>
      <c r="AA77" s="8"/>
      <c r="AB77" s="69">
        <v>86.0</v>
      </c>
      <c r="AC77" s="69"/>
      <c r="AD77" s="69"/>
      <c r="AE77" s="92"/>
      <c r="AF77" s="92"/>
      <c r="AG77" s="69"/>
      <c r="AH77" s="69">
        <v>83.0</v>
      </c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69"/>
      <c r="AT77" s="69">
        <v>84.0</v>
      </c>
    </row>
    <row r="78">
      <c r="E78" s="35" t="s">
        <v>562</v>
      </c>
      <c r="F78" s="35">
        <v>1.0</v>
      </c>
      <c r="K78" s="8"/>
      <c r="L78" s="69">
        <v>83.0</v>
      </c>
      <c r="U78" s="8"/>
      <c r="V78" s="8"/>
      <c r="AC78" s="8"/>
      <c r="AD78" s="69">
        <v>96.0</v>
      </c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</row>
    <row r="79">
      <c r="E79" s="35" t="s">
        <v>555</v>
      </c>
      <c r="F79" s="35">
        <v>3.0</v>
      </c>
      <c r="U79" s="8"/>
      <c r="V79" s="69">
        <v>82.0</v>
      </c>
    </row>
    <row r="80">
      <c r="E80" s="8"/>
      <c r="F80" s="8"/>
    </row>
    <row r="81">
      <c r="E81" s="8"/>
      <c r="F81" s="69">
        <v>93.0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4.5"/>
    <col customWidth="1" min="3" max="3" width="17.63"/>
    <col customWidth="1" min="4" max="4" width="25.25"/>
    <col customWidth="1" min="6" max="6" width="9.38"/>
    <col customWidth="1" min="7" max="7" width="5.25"/>
    <col customWidth="1" min="8" max="8" width="9.25"/>
    <col customWidth="1" min="10" max="10" width="4.75"/>
  </cols>
  <sheetData>
    <row r="1" hidden="1">
      <c r="A1" s="4"/>
      <c r="B1" s="6"/>
      <c r="C1" s="9"/>
      <c r="D1" s="9"/>
      <c r="E1" s="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>
      <c r="A2" s="23" t="s">
        <v>19</v>
      </c>
      <c r="B2" s="6"/>
      <c r="C2" s="9"/>
      <c r="D2" s="9"/>
      <c r="E2" s="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>
      <c r="A3" s="24" t="s">
        <v>28</v>
      </c>
      <c r="B3" s="6"/>
      <c r="C3" s="6"/>
      <c r="D3" s="6"/>
      <c r="E3" s="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29" t="s">
        <v>38</v>
      </c>
      <c r="B4" s="29"/>
      <c r="C4" s="30" t="s">
        <v>42</v>
      </c>
      <c r="D4" s="30" t="s">
        <v>45</v>
      </c>
      <c r="E4" s="29"/>
      <c r="F4" s="36" t="str">
        <f>IFERROR(__xludf.DUMMYFUNCTION("QUERY(A5:E75, ""Select C, count(A), E group by C, E order by E"")"),"")</f>
        <v/>
      </c>
      <c r="G4" s="39" t="str">
        <f>IFERROR(__xludf.DUMMYFUNCTION("""COMPUTED_VALUE"""),"count ")</f>
        <v>count </v>
      </c>
      <c r="H4" s="39" t="str">
        <f>IFERROR(__xludf.DUMMYFUNCTION("""COMPUTED_VALUE"""),"")</f>
        <v/>
      </c>
      <c r="I4" s="36" t="str">
        <f>IFERROR(__xludf.DUMMYFUNCTION("QUERY(A5:H75, ""Select D, count(A), E group by D, E order by E"")"),"")</f>
        <v/>
      </c>
      <c r="J4" s="39" t="str">
        <f>IFERROR(__xludf.DUMMYFUNCTION("""COMPUTED_VALUE"""),"count ")</f>
        <v>count </v>
      </c>
      <c r="K4" s="39" t="str">
        <f>IFERROR(__xludf.DUMMYFUNCTION("""COMPUTED_VALUE"""),"")</f>
        <v/>
      </c>
      <c r="L4" s="39"/>
      <c r="M4" s="39"/>
      <c r="N4" s="39"/>
      <c r="O4" s="39"/>
      <c r="P4" s="39"/>
      <c r="Q4" s="39"/>
      <c r="R4" s="39"/>
      <c r="S4" s="39"/>
      <c r="T4" s="39"/>
      <c r="U4" s="39"/>
    </row>
    <row r="5" ht="30.0" customHeight="1">
      <c r="A5" s="43" t="s">
        <v>58</v>
      </c>
      <c r="B5" s="43">
        <v>1.0</v>
      </c>
      <c r="C5" s="47" t="s">
        <v>54</v>
      </c>
      <c r="D5" s="47" t="s">
        <v>66</v>
      </c>
      <c r="E5" s="50" t="s">
        <v>1</v>
      </c>
      <c r="F5" s="19"/>
      <c r="G5" s="19">
        <f>IFERROR(__xludf.DUMMYFUNCTION("""COMPUTED_VALUE"""),0.0)</f>
        <v>0</v>
      </c>
      <c r="H5" s="19"/>
      <c r="I5" s="19"/>
      <c r="J5" s="19">
        <f>IFERROR(__xludf.DUMMYFUNCTION("""COMPUTED_VALUE"""),0.0)</f>
        <v>0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30.0" customHeight="1">
      <c r="A6" s="55" t="s">
        <v>72</v>
      </c>
      <c r="B6" s="43">
        <v>2.0</v>
      </c>
      <c r="C6" s="47" t="s">
        <v>71</v>
      </c>
      <c r="D6" s="47" t="s">
        <v>76</v>
      </c>
      <c r="E6" s="50" t="s">
        <v>1</v>
      </c>
      <c r="F6" s="19" t="str">
        <f>IFERROR(__xludf.DUMMYFUNCTION("""COMPUTED_VALUE"""),"Борщ")</f>
        <v>Борщ</v>
      </c>
      <c r="G6" s="19">
        <f>IFERROR(__xludf.DUMMYFUNCTION("""COMPUTED_VALUE"""),1.0)</f>
        <v>1</v>
      </c>
      <c r="H6" s="19"/>
      <c r="I6" s="19" t="str">
        <f>IFERROR(__xludf.DUMMYFUNCTION("""COMPUTED_VALUE"""),"Курица")</f>
        <v>Курица</v>
      </c>
      <c r="J6" s="19">
        <f>IFERROR(__xludf.DUMMYFUNCTION("""COMPUTED_VALUE"""),1.0)</f>
        <v>1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ht="30.0" customHeight="1">
      <c r="A7" s="55" t="s">
        <v>84</v>
      </c>
      <c r="B7" s="43">
        <v>3.0</v>
      </c>
      <c r="C7" s="47" t="s">
        <v>71</v>
      </c>
      <c r="D7" s="47" t="s">
        <v>76</v>
      </c>
      <c r="E7" s="50" t="s">
        <v>1</v>
      </c>
      <c r="F7" s="19" t="str">
        <f>IFERROR(__xludf.DUMMYFUNCTION("""COMPUTED_VALUE"""),"Борщ")</f>
        <v>Борщ</v>
      </c>
      <c r="G7" s="19">
        <f>IFERROR(__xludf.DUMMYFUNCTION("""COMPUTED_VALUE"""),46.0)</f>
        <v>46</v>
      </c>
      <c r="H7" s="19" t="str">
        <f>IFERROR(__xludf.DUMMYFUNCTION("""COMPUTED_VALUE"""),"Олимп")</f>
        <v>Олимп</v>
      </c>
      <c r="I7" s="19" t="str">
        <f>IFERROR(__xludf.DUMMYFUNCTION("""COMPUTED_VALUE"""),"Курица")</f>
        <v>Курица</v>
      </c>
      <c r="J7" s="19">
        <f>IFERROR(__xludf.DUMMYFUNCTION("""COMPUTED_VALUE"""),17.0)</f>
        <v>17</v>
      </c>
      <c r="K7" s="19" t="str">
        <f>IFERROR(__xludf.DUMMYFUNCTION("""COMPUTED_VALUE"""),"Олимп")</f>
        <v>Олимп</v>
      </c>
      <c r="L7" s="19"/>
      <c r="M7" s="19"/>
      <c r="N7" s="19"/>
      <c r="O7" s="19"/>
      <c r="P7" s="19"/>
      <c r="Q7" s="19"/>
      <c r="R7" s="19"/>
      <c r="S7" s="19"/>
      <c r="T7" s="19"/>
      <c r="U7" s="19"/>
    </row>
    <row r="8" ht="30.0" customHeight="1">
      <c r="A8" s="43" t="s">
        <v>96</v>
      </c>
      <c r="B8" s="43">
        <v>4.0</v>
      </c>
      <c r="C8" s="47" t="s">
        <v>54</v>
      </c>
      <c r="D8" s="47" t="s">
        <v>100</v>
      </c>
      <c r="E8" s="50" t="s">
        <v>1</v>
      </c>
      <c r="F8" s="19" t="str">
        <f>IFERROR(__xludf.DUMMYFUNCTION("""COMPUTED_VALUE"""),"Суп")</f>
        <v>Суп</v>
      </c>
      <c r="G8" s="19">
        <f>IFERROR(__xludf.DUMMYFUNCTION("""COMPUTED_VALUE"""),21.0)</f>
        <v>21</v>
      </c>
      <c r="H8" s="19" t="str">
        <f>IFERROR(__xludf.DUMMYFUNCTION("""COMPUTED_VALUE"""),"Олимп")</f>
        <v>Олимп</v>
      </c>
      <c r="I8" s="19" t="str">
        <f>IFERROR(__xludf.DUMMYFUNCTION("""COMPUTED_VALUE"""),"Мясо")</f>
        <v>Мясо</v>
      </c>
      <c r="J8" s="19">
        <f>IFERROR(__xludf.DUMMYFUNCTION("""COMPUTED_VALUE"""),10.0)</f>
        <v>10</v>
      </c>
      <c r="K8" s="19" t="str">
        <f>IFERROR(__xludf.DUMMYFUNCTION("""COMPUTED_VALUE"""),"Олимп")</f>
        <v>Олимп</v>
      </c>
      <c r="L8" s="19"/>
      <c r="M8" s="19"/>
      <c r="N8" s="19"/>
      <c r="O8" s="19"/>
      <c r="P8" s="19"/>
      <c r="Q8" s="19"/>
      <c r="R8" s="19"/>
      <c r="S8" s="19"/>
      <c r="T8" s="19"/>
      <c r="U8" s="19"/>
    </row>
    <row r="9" ht="30.0" customHeight="1">
      <c r="A9" s="43" t="s">
        <v>109</v>
      </c>
      <c r="B9" s="43">
        <v>5.0</v>
      </c>
      <c r="C9" s="47" t="s">
        <v>54</v>
      </c>
      <c r="D9" s="47" t="s">
        <v>66</v>
      </c>
      <c r="E9" s="50" t="s">
        <v>1</v>
      </c>
      <c r="F9" s="19"/>
      <c r="G9" s="19"/>
      <c r="H9" s="19"/>
      <c r="I9" s="19" t="str">
        <f>IFERROR(__xludf.DUMMYFUNCTION("""COMPUTED_VALUE"""),"Рыба")</f>
        <v>Рыба</v>
      </c>
      <c r="J9" s="19">
        <f>IFERROR(__xludf.DUMMYFUNCTION("""COMPUTED_VALUE"""),40.0)</f>
        <v>40</v>
      </c>
      <c r="K9" s="19" t="str">
        <f>IFERROR(__xludf.DUMMYFUNCTION("""COMPUTED_VALUE"""),"Олимп")</f>
        <v>Олимп</v>
      </c>
      <c r="L9" s="19"/>
      <c r="M9" s="19"/>
      <c r="N9" s="19"/>
      <c r="O9" s="19"/>
      <c r="P9" s="19"/>
      <c r="Q9" s="19"/>
      <c r="R9" s="19"/>
      <c r="S9" s="19"/>
      <c r="T9" s="19"/>
      <c r="U9" s="19"/>
    </row>
    <row r="10" ht="30.0" customHeight="1">
      <c r="A10" s="63" t="s">
        <v>115</v>
      </c>
      <c r="B10" s="43">
        <v>6.0</v>
      </c>
      <c r="C10" s="65" t="s">
        <v>71</v>
      </c>
      <c r="D10" s="65" t="s">
        <v>100</v>
      </c>
      <c r="E10" s="50" t="s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ht="30.0" customHeight="1">
      <c r="A11" s="43" t="s">
        <v>123</v>
      </c>
      <c r="B11" s="43">
        <v>7.0</v>
      </c>
      <c r="C11" s="65" t="s">
        <v>71</v>
      </c>
      <c r="D11" s="65" t="s">
        <v>100</v>
      </c>
      <c r="E11" s="50" t="s">
        <v>1</v>
      </c>
      <c r="F11" s="19"/>
      <c r="G11" s="19"/>
      <c r="H11" s="19"/>
      <c r="I11" s="19"/>
      <c r="J11" s="19"/>
      <c r="K11" s="66"/>
      <c r="L11" s="66"/>
      <c r="M11" s="19"/>
      <c r="N11" s="19"/>
      <c r="O11" s="19"/>
      <c r="P11" s="19"/>
      <c r="Q11" s="19"/>
      <c r="R11" s="19"/>
      <c r="S11" s="19"/>
      <c r="T11" s="19"/>
      <c r="U11" s="19"/>
    </row>
    <row r="12" ht="30.0" customHeight="1">
      <c r="A12" s="68" t="s">
        <v>124</v>
      </c>
      <c r="B12" s="43">
        <v>8.0</v>
      </c>
      <c r="C12" s="47" t="s">
        <v>54</v>
      </c>
      <c r="D12" s="47" t="s">
        <v>100</v>
      </c>
      <c r="E12" s="50" t="s">
        <v>1</v>
      </c>
      <c r="F12" s="19"/>
      <c r="G12" s="19"/>
      <c r="H12" s="19"/>
      <c r="I12" s="19"/>
      <c r="J12" s="19"/>
      <c r="K12" s="66"/>
      <c r="L12" s="66"/>
      <c r="M12" s="19"/>
      <c r="N12" s="19"/>
      <c r="O12" s="19"/>
      <c r="P12" s="19"/>
      <c r="Q12" s="19"/>
      <c r="R12" s="19"/>
      <c r="S12" s="19"/>
      <c r="T12" s="19"/>
      <c r="U12" s="19"/>
    </row>
    <row r="13" ht="30.0" customHeight="1">
      <c r="A13" s="68" t="s">
        <v>129</v>
      </c>
      <c r="B13" s="43">
        <v>9.0</v>
      </c>
      <c r="C13" s="47" t="s">
        <v>54</v>
      </c>
      <c r="D13" s="47" t="s">
        <v>100</v>
      </c>
      <c r="E13" s="50" t="s">
        <v>1</v>
      </c>
      <c r="F13" s="19"/>
      <c r="G13" s="19"/>
      <c r="H13" s="19"/>
      <c r="I13" s="19"/>
      <c r="J13" s="19"/>
      <c r="K13" s="66"/>
      <c r="L13" s="66"/>
      <c r="M13" s="19"/>
      <c r="N13" s="19"/>
      <c r="O13" s="19"/>
      <c r="P13" s="19"/>
      <c r="Q13" s="19"/>
      <c r="R13" s="19"/>
      <c r="S13" s="19"/>
      <c r="T13" s="19"/>
      <c r="U13" s="19"/>
    </row>
    <row r="14" ht="30.0" customHeight="1">
      <c r="A14" s="68" t="s">
        <v>133</v>
      </c>
      <c r="B14" s="43">
        <v>10.0</v>
      </c>
      <c r="C14" s="47" t="s">
        <v>71</v>
      </c>
      <c r="D14" s="47" t="s">
        <v>100</v>
      </c>
      <c r="E14" s="50" t="s">
        <v>1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ht="30.0" customHeight="1">
      <c r="A15" s="73" t="s">
        <v>136</v>
      </c>
      <c r="B15" s="43">
        <v>11.0</v>
      </c>
      <c r="C15" s="75" t="s">
        <v>54</v>
      </c>
      <c r="D15" s="75" t="s">
        <v>66</v>
      </c>
      <c r="E15" s="50" t="s">
        <v>1</v>
      </c>
      <c r="F15" s="19"/>
      <c r="G15" s="19"/>
      <c r="H15" s="19"/>
      <c r="I15" s="7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ht="30.0" customHeight="1">
      <c r="A16" s="77" t="s">
        <v>145</v>
      </c>
      <c r="B16" s="43">
        <v>12.0</v>
      </c>
      <c r="C16" s="47" t="s">
        <v>71</v>
      </c>
      <c r="D16" s="47" t="s">
        <v>100</v>
      </c>
      <c r="E16" s="50" t="s">
        <v>1</v>
      </c>
      <c r="F16" s="19"/>
      <c r="G16" s="19"/>
      <c r="H16" s="19"/>
      <c r="I16" s="7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ht="30.0" customHeight="1">
      <c r="A17" s="68" t="s">
        <v>151</v>
      </c>
      <c r="B17" s="43">
        <v>13.0</v>
      </c>
      <c r="C17" s="47" t="s">
        <v>71</v>
      </c>
      <c r="D17" s="47" t="s">
        <v>100</v>
      </c>
      <c r="E17" s="50" t="s">
        <v>1</v>
      </c>
      <c r="F17" s="19"/>
      <c r="G17" s="19"/>
      <c r="H17" s="19"/>
      <c r="I17" s="19"/>
      <c r="J17" s="19"/>
      <c r="K17" s="7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ht="30.0" customHeight="1">
      <c r="A18" s="80" t="s">
        <v>158</v>
      </c>
      <c r="B18" s="43">
        <v>14.0</v>
      </c>
      <c r="C18" s="47" t="s">
        <v>54</v>
      </c>
      <c r="D18" s="47" t="s">
        <v>100</v>
      </c>
      <c r="E18" s="50" t="s">
        <v>1</v>
      </c>
      <c r="F18" s="19"/>
      <c r="G18" s="19"/>
      <c r="H18" s="19"/>
      <c r="I18" s="19"/>
      <c r="J18" s="19"/>
      <c r="K18" s="7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ht="30.0" customHeight="1">
      <c r="A19" s="80" t="s">
        <v>163</v>
      </c>
      <c r="B19" s="43">
        <v>15.0</v>
      </c>
      <c r="C19" s="47" t="s">
        <v>54</v>
      </c>
      <c r="D19" s="47" t="s">
        <v>100</v>
      </c>
      <c r="E19" s="50" t="s">
        <v>1</v>
      </c>
      <c r="F19" s="19"/>
      <c r="G19" s="19"/>
      <c r="H19" s="19"/>
      <c r="I19" s="19"/>
      <c r="J19" s="19"/>
      <c r="K19" s="7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ht="30.0" customHeight="1">
      <c r="A20" s="80" t="s">
        <v>167</v>
      </c>
      <c r="B20" s="43">
        <v>16.0</v>
      </c>
      <c r="C20" s="47" t="s">
        <v>71</v>
      </c>
      <c r="D20" s="47" t="s">
        <v>100</v>
      </c>
      <c r="E20" s="50" t="s">
        <v>1</v>
      </c>
      <c r="F20" s="19"/>
      <c r="G20" s="19"/>
      <c r="H20" s="19"/>
      <c r="I20" s="19"/>
      <c r="J20" s="19"/>
      <c r="K20" s="7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ht="30.0" customHeight="1">
      <c r="A21" s="80" t="s">
        <v>170</v>
      </c>
      <c r="B21" s="43">
        <v>17.0</v>
      </c>
      <c r="C21" s="47" t="s">
        <v>54</v>
      </c>
      <c r="D21" s="47" t="s">
        <v>66</v>
      </c>
      <c r="E21" s="50" t="s">
        <v>1</v>
      </c>
      <c r="F21" s="19"/>
      <c r="G21" s="19"/>
      <c r="H21" s="19"/>
      <c r="I21" s="19"/>
      <c r="J21" s="19"/>
      <c r="K21" s="7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ht="30.0" customHeight="1">
      <c r="A22" s="43" t="s">
        <v>174</v>
      </c>
      <c r="B22" s="43">
        <v>18.0</v>
      </c>
      <c r="C22" s="47" t="s">
        <v>54</v>
      </c>
      <c r="D22" s="47" t="s">
        <v>100</v>
      </c>
      <c r="E22" s="50" t="s">
        <v>1</v>
      </c>
      <c r="F22" s="19"/>
      <c r="G22" s="19"/>
      <c r="H22" s="19"/>
      <c r="I22" s="19"/>
      <c r="J22" s="19"/>
      <c r="K22" s="7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ht="30.0" customHeight="1">
      <c r="A23" s="43" t="s">
        <v>180</v>
      </c>
      <c r="B23" s="43">
        <v>19.0</v>
      </c>
      <c r="C23" s="47" t="s">
        <v>54</v>
      </c>
      <c r="D23" s="47" t="s">
        <v>66</v>
      </c>
      <c r="E23" s="50" t="s">
        <v>1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ht="30.0" customHeight="1">
      <c r="A24" s="43" t="s">
        <v>185</v>
      </c>
      <c r="B24" s="43">
        <v>20.0</v>
      </c>
      <c r="C24" s="47" t="s">
        <v>71</v>
      </c>
      <c r="D24" s="47" t="s">
        <v>76</v>
      </c>
      <c r="E24" s="50" t="s">
        <v>1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ht="30.0" customHeight="1">
      <c r="A25" s="43" t="s">
        <v>192</v>
      </c>
      <c r="B25" s="43">
        <v>21.0</v>
      </c>
      <c r="C25" s="47" t="s">
        <v>54</v>
      </c>
      <c r="D25" s="47" t="s">
        <v>100</v>
      </c>
      <c r="E25" s="50" t="s">
        <v>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ht="30.0" customHeight="1">
      <c r="A26" s="43" t="s">
        <v>199</v>
      </c>
      <c r="B26" s="43">
        <v>22.0</v>
      </c>
      <c r="C26" s="47" t="s">
        <v>54</v>
      </c>
      <c r="D26" s="47" t="s">
        <v>100</v>
      </c>
      <c r="E26" s="50" t="s">
        <v>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ht="30.0" customHeight="1">
      <c r="A27" s="84" t="s">
        <v>202</v>
      </c>
      <c r="B27" s="43">
        <v>23.0</v>
      </c>
      <c r="C27" s="47" t="s">
        <v>54</v>
      </c>
      <c r="D27" s="47" t="s">
        <v>66</v>
      </c>
      <c r="E27" s="50" t="s">
        <v>1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ht="30.0" customHeight="1">
      <c r="A28" s="43" t="s">
        <v>213</v>
      </c>
      <c r="B28" s="43">
        <v>24.0</v>
      </c>
      <c r="C28" s="47" t="s">
        <v>71</v>
      </c>
      <c r="D28" s="47" t="s">
        <v>100</v>
      </c>
      <c r="E28" s="50" t="s">
        <v>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ht="30.0" customHeight="1">
      <c r="A29" s="80" t="s">
        <v>217</v>
      </c>
      <c r="B29" s="43">
        <v>25.0</v>
      </c>
      <c r="C29" s="47" t="s">
        <v>54</v>
      </c>
      <c r="D29" s="47" t="s">
        <v>100</v>
      </c>
      <c r="E29" s="50" t="s">
        <v>1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ht="30.0" customHeight="1">
      <c r="A30" s="80" t="s">
        <v>221</v>
      </c>
      <c r="B30" s="43">
        <v>26.0</v>
      </c>
      <c r="C30" s="47" t="s">
        <v>54</v>
      </c>
      <c r="D30" s="47" t="s">
        <v>76</v>
      </c>
      <c r="E30" s="50" t="s">
        <v>1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ht="30.0" customHeight="1">
      <c r="A31" s="80" t="s">
        <v>225</v>
      </c>
      <c r="B31" s="43">
        <v>27.0</v>
      </c>
      <c r="C31" s="47" t="s">
        <v>54</v>
      </c>
      <c r="D31" s="47" t="s">
        <v>100</v>
      </c>
      <c r="E31" s="50" t="s">
        <v>1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ht="30.0" customHeight="1">
      <c r="A32" s="80" t="s">
        <v>230</v>
      </c>
      <c r="B32" s="43">
        <v>28.0</v>
      </c>
      <c r="C32" s="47" t="s">
        <v>54</v>
      </c>
      <c r="D32" s="47" t="s">
        <v>66</v>
      </c>
      <c r="E32" s="50" t="s">
        <v>1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ht="30.0" customHeight="1">
      <c r="A33" s="43" t="s">
        <v>234</v>
      </c>
      <c r="B33" s="43">
        <v>29.0</v>
      </c>
      <c r="C33" s="47" t="s">
        <v>54</v>
      </c>
      <c r="D33" s="47" t="s">
        <v>66</v>
      </c>
      <c r="E33" s="50" t="s">
        <v>1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ht="30.0" customHeight="1">
      <c r="A34" s="43" t="s">
        <v>238</v>
      </c>
      <c r="B34" s="43">
        <v>30.0</v>
      </c>
      <c r="C34" s="47" t="s">
        <v>54</v>
      </c>
      <c r="D34" s="47" t="s">
        <v>66</v>
      </c>
      <c r="E34" s="50" t="s">
        <v>1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ht="30.0" customHeight="1">
      <c r="A35" s="90" t="s">
        <v>242</v>
      </c>
      <c r="B35" s="43">
        <v>31.0</v>
      </c>
      <c r="C35" s="47" t="s">
        <v>71</v>
      </c>
      <c r="D35" s="47" t="s">
        <v>66</v>
      </c>
      <c r="E35" s="50" t="s">
        <v>1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ht="30.0" customHeight="1">
      <c r="A36" s="80" t="s">
        <v>246</v>
      </c>
      <c r="B36" s="43">
        <v>32.0</v>
      </c>
      <c r="C36" s="47" t="s">
        <v>71</v>
      </c>
      <c r="D36" s="47" t="s">
        <v>76</v>
      </c>
      <c r="E36" s="50" t="s">
        <v>1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ht="30.0" customHeight="1">
      <c r="A37" s="80" t="s">
        <v>248</v>
      </c>
      <c r="B37" s="43">
        <v>33.0</v>
      </c>
      <c r="C37" s="47" t="s">
        <v>71</v>
      </c>
      <c r="D37" s="47" t="s">
        <v>100</v>
      </c>
      <c r="E37" s="50" t="s">
        <v>1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ht="30.0" customHeight="1">
      <c r="A38" s="80" t="s">
        <v>250</v>
      </c>
      <c r="B38" s="43">
        <v>34.0</v>
      </c>
      <c r="C38" s="47" t="s">
        <v>54</v>
      </c>
      <c r="D38" s="47" t="s">
        <v>100</v>
      </c>
      <c r="E38" s="50" t="s">
        <v>1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ht="30.0" customHeight="1">
      <c r="A39" s="80" t="s">
        <v>253</v>
      </c>
      <c r="B39" s="43">
        <v>35.0</v>
      </c>
      <c r="C39" s="47" t="s">
        <v>71</v>
      </c>
      <c r="D39" s="47" t="s">
        <v>100</v>
      </c>
      <c r="E39" s="50" t="s">
        <v>1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ht="30.0" customHeight="1">
      <c r="A40" s="6" t="s">
        <v>255</v>
      </c>
      <c r="B40" s="43">
        <v>36.0</v>
      </c>
      <c r="C40" s="47" t="s">
        <v>54</v>
      </c>
      <c r="D40" s="47" t="s">
        <v>100</v>
      </c>
      <c r="E40" s="50" t="s">
        <v>1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 ht="30.0" customHeight="1">
      <c r="A41" s="80" t="s">
        <v>257</v>
      </c>
      <c r="B41" s="43">
        <v>37.0</v>
      </c>
      <c r="C41" s="47" t="s">
        <v>54</v>
      </c>
      <c r="D41" s="47" t="s">
        <v>100</v>
      </c>
      <c r="E41" s="50" t="s">
        <v>1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ht="30.0" customHeight="1">
      <c r="A42" s="55" t="s">
        <v>259</v>
      </c>
      <c r="B42" s="43">
        <v>38.0</v>
      </c>
      <c r="C42" s="47" t="s">
        <v>54</v>
      </c>
      <c r="D42" s="47" t="s">
        <v>66</v>
      </c>
      <c r="E42" s="50" t="s">
        <v>1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ht="30.0" customHeight="1">
      <c r="A43" s="80" t="s">
        <v>260</v>
      </c>
      <c r="B43" s="43">
        <v>39.0</v>
      </c>
      <c r="C43" s="47" t="s">
        <v>71</v>
      </c>
      <c r="D43" s="47" t="s">
        <v>76</v>
      </c>
      <c r="E43" s="50" t="s">
        <v>1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ht="30.0" customHeight="1">
      <c r="A44" s="80" t="s">
        <v>262</v>
      </c>
      <c r="B44" s="43">
        <v>40.0</v>
      </c>
      <c r="C44" s="47" t="s">
        <v>54</v>
      </c>
      <c r="D44" s="47" t="s">
        <v>66</v>
      </c>
      <c r="E44" s="50" t="s">
        <v>1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ht="30.0" customHeight="1">
      <c r="A45" s="96" t="s">
        <v>266</v>
      </c>
      <c r="B45" s="43">
        <v>41.0</v>
      </c>
      <c r="C45" s="97" t="s">
        <v>54</v>
      </c>
      <c r="D45" s="97" t="s">
        <v>100</v>
      </c>
      <c r="E45" s="50" t="s">
        <v>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ht="30.0" customHeight="1">
      <c r="A46" s="43" t="s">
        <v>267</v>
      </c>
      <c r="B46" s="43">
        <v>42.0</v>
      </c>
      <c r="C46" s="47" t="s">
        <v>54</v>
      </c>
      <c r="D46" s="47" t="s">
        <v>100</v>
      </c>
      <c r="E46" s="50" t="s">
        <v>1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ht="30.0" customHeight="1">
      <c r="A47" s="43" t="s">
        <v>269</v>
      </c>
      <c r="B47" s="43">
        <v>43.0</v>
      </c>
      <c r="C47" s="47" t="s">
        <v>54</v>
      </c>
      <c r="D47" s="47" t="s">
        <v>100</v>
      </c>
      <c r="E47" s="50" t="s">
        <v>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ht="30.0" customHeight="1">
      <c r="A48" s="80" t="s">
        <v>270</v>
      </c>
      <c r="B48" s="43">
        <v>44.0</v>
      </c>
      <c r="C48" s="47" t="s">
        <v>54</v>
      </c>
      <c r="D48" s="47" t="s">
        <v>100</v>
      </c>
      <c r="E48" s="50" t="s">
        <v>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ht="30.0" customHeight="1">
      <c r="A49" s="98" t="s">
        <v>271</v>
      </c>
      <c r="B49" s="43">
        <v>45.0</v>
      </c>
      <c r="C49" s="47" t="s">
        <v>71</v>
      </c>
      <c r="D49" s="47" t="s">
        <v>100</v>
      </c>
      <c r="E49" s="50" t="s">
        <v>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ht="30.0" customHeight="1">
      <c r="A50" s="80" t="s">
        <v>273</v>
      </c>
      <c r="B50" s="43">
        <v>46.0</v>
      </c>
      <c r="C50" s="47" t="s">
        <v>71</v>
      </c>
      <c r="D50" s="47" t="s">
        <v>76</v>
      </c>
      <c r="E50" s="50" t="s">
        <v>1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ht="30.0" customHeight="1">
      <c r="A51" s="80" t="s">
        <v>275</v>
      </c>
      <c r="B51" s="43">
        <v>47.0</v>
      </c>
      <c r="C51" s="47" t="s">
        <v>54</v>
      </c>
      <c r="D51" s="47" t="s">
        <v>66</v>
      </c>
      <c r="E51" s="50" t="s">
        <v>1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ht="30.0" customHeight="1">
      <c r="A52" s="80" t="s">
        <v>277</v>
      </c>
      <c r="B52" s="43">
        <v>48.0</v>
      </c>
      <c r="C52" s="47" t="s">
        <v>54</v>
      </c>
      <c r="D52" s="47" t="s">
        <v>100</v>
      </c>
      <c r="E52" s="50" t="s">
        <v>1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ht="30.0" customHeight="1">
      <c r="A53" s="80" t="s">
        <v>279</v>
      </c>
      <c r="B53" s="43">
        <v>49.0</v>
      </c>
      <c r="C53" s="47" t="s">
        <v>54</v>
      </c>
      <c r="D53" s="47" t="s">
        <v>100</v>
      </c>
      <c r="E53" s="50" t="s">
        <v>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ht="30.0" customHeight="1">
      <c r="A54" s="80" t="s">
        <v>280</v>
      </c>
      <c r="B54" s="43">
        <v>50.0</v>
      </c>
      <c r="C54" s="47" t="s">
        <v>54</v>
      </c>
      <c r="D54" s="47" t="s">
        <v>100</v>
      </c>
      <c r="E54" s="50" t="s">
        <v>1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ht="30.0" customHeight="1">
      <c r="A55" s="43" t="s">
        <v>287</v>
      </c>
      <c r="B55" s="43">
        <v>51.0</v>
      </c>
      <c r="C55" s="47" t="s">
        <v>54</v>
      </c>
      <c r="D55" s="47" t="s">
        <v>100</v>
      </c>
      <c r="E55" s="50" t="s">
        <v>1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ht="30.0" customHeight="1">
      <c r="A56" s="6" t="s">
        <v>292</v>
      </c>
      <c r="B56" s="43">
        <v>52.0</v>
      </c>
      <c r="C56" s="47" t="s">
        <v>54</v>
      </c>
      <c r="D56" s="47" t="s">
        <v>100</v>
      </c>
      <c r="E56" s="50" t="s">
        <v>1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ht="30.0" customHeight="1">
      <c r="A57" s="6" t="s">
        <v>297</v>
      </c>
      <c r="B57" s="43">
        <v>53.0</v>
      </c>
      <c r="C57" s="47" t="s">
        <v>54</v>
      </c>
      <c r="D57" s="47" t="s">
        <v>100</v>
      </c>
      <c r="E57" s="50" t="s">
        <v>1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ht="30.0" customHeight="1">
      <c r="A58" s="96" t="s">
        <v>299</v>
      </c>
      <c r="B58" s="43">
        <v>54.0</v>
      </c>
      <c r="C58" s="47" t="s">
        <v>54</v>
      </c>
      <c r="D58" s="47" t="s">
        <v>66</v>
      </c>
      <c r="E58" s="50" t="s">
        <v>1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ht="30.0" customHeight="1">
      <c r="A59" s="43" t="s">
        <v>301</v>
      </c>
      <c r="B59" s="43">
        <v>55.0</v>
      </c>
      <c r="C59" s="47" t="s">
        <v>71</v>
      </c>
      <c r="D59" s="47" t="s">
        <v>76</v>
      </c>
      <c r="E59" s="50" t="s">
        <v>1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ht="30.0" customHeight="1">
      <c r="A60" s="102" t="s">
        <v>303</v>
      </c>
      <c r="B60" s="43">
        <v>56.0</v>
      </c>
      <c r="C60" s="97" t="s">
        <v>71</v>
      </c>
      <c r="D60" s="47" t="s">
        <v>100</v>
      </c>
      <c r="E60" s="50" t="s">
        <v>1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 ht="30.0" customHeight="1">
      <c r="A61" s="80" t="s">
        <v>304</v>
      </c>
      <c r="B61" s="43">
        <v>57.0</v>
      </c>
      <c r="C61" s="47" t="s">
        <v>54</v>
      </c>
      <c r="D61" s="47" t="s">
        <v>100</v>
      </c>
      <c r="E61" s="50" t="s">
        <v>1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ht="30.0" customHeight="1">
      <c r="A62" s="55" t="s">
        <v>305</v>
      </c>
      <c r="B62" s="43">
        <v>58.0</v>
      </c>
      <c r="C62" s="47" t="s">
        <v>71</v>
      </c>
      <c r="D62" s="47" t="s">
        <v>100</v>
      </c>
      <c r="E62" s="50" t="s">
        <v>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ht="30.0" customHeight="1">
      <c r="A63" s="55" t="s">
        <v>307</v>
      </c>
      <c r="B63" s="43">
        <v>59.0</v>
      </c>
      <c r="C63" s="47" t="s">
        <v>54</v>
      </c>
      <c r="D63" s="47" t="s">
        <v>66</v>
      </c>
      <c r="E63" s="50" t="s">
        <v>1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ht="30.0" customHeight="1">
      <c r="A64" s="6" t="s">
        <v>309</v>
      </c>
      <c r="B64" s="43">
        <v>60.0</v>
      </c>
      <c r="C64" s="47" t="s">
        <v>54</v>
      </c>
      <c r="D64" s="47" t="s">
        <v>100</v>
      </c>
      <c r="E64" s="50" t="s">
        <v>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ht="30.0" customHeight="1">
      <c r="A65" s="68" t="s">
        <v>310</v>
      </c>
      <c r="B65" s="43">
        <v>61.0</v>
      </c>
      <c r="C65" s="47" t="s">
        <v>71</v>
      </c>
      <c r="D65" s="47" t="s">
        <v>66</v>
      </c>
      <c r="E65" s="50" t="s">
        <v>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ht="30.0" customHeight="1">
      <c r="A66" s="80" t="s">
        <v>312</v>
      </c>
      <c r="B66" s="43">
        <v>62.0</v>
      </c>
      <c r="C66" s="47" t="s">
        <v>54</v>
      </c>
      <c r="D66" s="47" t="s">
        <v>100</v>
      </c>
      <c r="E66" s="50" t="s">
        <v>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 ht="30.0" customHeight="1">
      <c r="A67" s="80" t="s">
        <v>313</v>
      </c>
      <c r="B67" s="43">
        <v>63.0</v>
      </c>
      <c r="C67" s="47" t="s">
        <v>54</v>
      </c>
      <c r="D67" s="47" t="s">
        <v>66</v>
      </c>
      <c r="E67" s="50" t="s">
        <v>1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ht="30.0" customHeight="1">
      <c r="A68" s="80" t="s">
        <v>315</v>
      </c>
      <c r="B68" s="43">
        <v>64.0</v>
      </c>
      <c r="C68" s="47" t="s">
        <v>54</v>
      </c>
      <c r="D68" s="47" t="s">
        <v>76</v>
      </c>
      <c r="E68" s="50" t="s">
        <v>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ht="30.0" customHeight="1">
      <c r="A69" s="6" t="s">
        <v>317</v>
      </c>
      <c r="B69" s="43">
        <v>65.0</v>
      </c>
      <c r="C69" s="75" t="s">
        <v>54</v>
      </c>
      <c r="D69" s="47" t="s">
        <v>100</v>
      </c>
      <c r="E69" s="50" t="s">
        <v>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ht="30.0" customHeight="1">
      <c r="A70" s="80" t="s">
        <v>318</v>
      </c>
      <c r="B70" s="43">
        <v>66.0</v>
      </c>
      <c r="C70" s="47" t="s">
        <v>54</v>
      </c>
      <c r="D70" s="47" t="s">
        <v>76</v>
      </c>
      <c r="E70" s="50" t="s">
        <v>1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ht="30.0" customHeight="1">
      <c r="A71" s="80" t="s">
        <v>320</v>
      </c>
      <c r="B71" s="43">
        <v>67.0</v>
      </c>
      <c r="C71" s="47" t="s">
        <v>54</v>
      </c>
      <c r="D71" s="47" t="s">
        <v>100</v>
      </c>
      <c r="E71" s="50" t="s">
        <v>1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ht="30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ht="30.0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ht="30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ht="30.0" customHeight="1">
      <c r="A75" s="43" t="s">
        <v>322</v>
      </c>
      <c r="B75" s="106">
        <v>1.0</v>
      </c>
      <c r="C75" s="47" t="s">
        <v>54</v>
      </c>
      <c r="D75" s="47" t="s">
        <v>66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ht="30.0" customHeight="1">
      <c r="A76" s="107" t="s">
        <v>324</v>
      </c>
      <c r="B76" s="108" t="s">
        <v>325</v>
      </c>
      <c r="C76" s="97" t="s">
        <v>54</v>
      </c>
      <c r="D76" s="97" t="s">
        <v>66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ht="30.0" customHeight="1">
      <c r="A77" s="55" t="s">
        <v>326</v>
      </c>
      <c r="B77" s="43">
        <v>21.0</v>
      </c>
      <c r="C77" s="47" t="s">
        <v>54</v>
      </c>
      <c r="D77" s="47" t="s">
        <v>66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 ht="30.0" customHeight="1">
      <c r="A78" s="55" t="s">
        <v>328</v>
      </c>
      <c r="B78" s="43">
        <v>32.0</v>
      </c>
      <c r="C78" s="47" t="s">
        <v>54</v>
      </c>
      <c r="D78" s="47" t="s">
        <v>100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ht="30.0" customHeight="1">
      <c r="A79" s="80" t="s">
        <v>329</v>
      </c>
      <c r="B79" s="43">
        <v>51.0</v>
      </c>
      <c r="C79" s="47" t="s">
        <v>54</v>
      </c>
      <c r="D79" s="47" t="s">
        <v>66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ht="30.0" customHeight="1">
      <c r="A80" s="80" t="s">
        <v>330</v>
      </c>
      <c r="B80" s="43" t="s">
        <v>331</v>
      </c>
      <c r="C80" s="47" t="s">
        <v>54</v>
      </c>
      <c r="D80" s="47" t="s">
        <v>100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>
      <c r="A81" s="43" t="s">
        <v>332</v>
      </c>
      <c r="B81" s="106" t="s">
        <v>333</v>
      </c>
      <c r="C81" s="47" t="s">
        <v>54</v>
      </c>
      <c r="D81" s="47" t="s">
        <v>76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>
      <c r="A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</sheetData>
  <dataValidations>
    <dataValidation type="list" allowBlank="1" sqref="D5:D9 D12:D71 D75:D81">
      <formula1>Menu!$A$98:$A$100</formula1>
    </dataValidation>
    <dataValidation type="list" allowBlank="1" sqref="C5:C9 C12:C71 C75:C81">
      <formula1>Menu!$A$94:$A$95</formula1>
    </dataValidation>
    <dataValidation type="list" allowBlank="1" sqref="E5:E71">
      <formula1>Menu!$A$1</formula1>
    </dataValidation>
  </dataValidations>
  <printOptions gridLines="1"/>
  <pageMargins bottom="0.75" footer="0.0" header="0.0" left="0.33379310344827584" right="0.2" top="0.75"/>
  <pageSetup fitToHeight="0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9.0"/>
    <col customWidth="1" min="3" max="3" width="16.25"/>
    <col customWidth="1" min="4" max="4" width="16.5"/>
    <col customWidth="1" min="5" max="5" width="17.25"/>
    <col customWidth="1" min="6" max="6" width="16.38"/>
    <col customWidth="1" min="7" max="7" width="23.88"/>
    <col customWidth="1" min="8" max="8" width="13.38"/>
    <col customWidth="1" min="9" max="9" width="16.25"/>
    <col customWidth="1" min="10" max="10" width="5.25"/>
    <col customWidth="1" min="11" max="11" width="12.75"/>
    <col customWidth="1" min="12" max="12" width="13.63"/>
    <col customWidth="1" min="13" max="13" width="4.75"/>
    <col customWidth="1" min="14" max="14" width="6.88"/>
    <col customWidth="1" min="15" max="15" width="34.38"/>
  </cols>
  <sheetData>
    <row r="1" ht="30.0" customHeight="1">
      <c r="A1" s="5" t="s">
        <v>2</v>
      </c>
      <c r="B1" s="7"/>
      <c r="C1" s="7"/>
      <c r="D1" s="7"/>
      <c r="E1" s="7"/>
      <c r="F1" s="7"/>
      <c r="G1" s="10"/>
      <c r="H1" s="10"/>
      <c r="I1" s="15"/>
      <c r="J1" s="18"/>
      <c r="K1" s="18"/>
      <c r="L1" s="18"/>
      <c r="M1" s="18"/>
      <c r="N1" s="18"/>
      <c r="O1" s="18"/>
      <c r="P1" s="18"/>
      <c r="Q1" s="20"/>
      <c r="R1" s="20"/>
      <c r="S1" s="20"/>
      <c r="T1" s="20"/>
      <c r="U1" s="20"/>
      <c r="V1" s="20"/>
      <c r="W1" s="20"/>
      <c r="X1" s="20"/>
      <c r="Y1" s="20"/>
    </row>
    <row r="2" ht="30.0" customHeight="1">
      <c r="A2" s="22" t="s">
        <v>18</v>
      </c>
      <c r="B2" s="7"/>
      <c r="C2" s="7"/>
      <c r="D2" s="7"/>
      <c r="E2" s="7"/>
      <c r="F2" s="7"/>
      <c r="G2" s="10"/>
      <c r="H2" s="10"/>
      <c r="I2" s="18"/>
      <c r="J2" s="18"/>
      <c r="K2" s="18"/>
      <c r="L2" s="18"/>
      <c r="M2" s="18"/>
      <c r="N2" s="18"/>
      <c r="O2" s="25"/>
      <c r="P2" s="18"/>
      <c r="Q2" s="20"/>
      <c r="R2" s="20"/>
      <c r="S2" s="20"/>
      <c r="T2" s="20"/>
      <c r="U2" s="20"/>
      <c r="V2" s="20"/>
      <c r="W2" s="20"/>
      <c r="X2" s="20"/>
      <c r="Y2" s="20"/>
    </row>
    <row r="3" ht="30.0" customHeight="1">
      <c r="A3" s="28" t="s">
        <v>28</v>
      </c>
      <c r="B3" s="7"/>
      <c r="C3" s="7"/>
      <c r="D3" s="7"/>
      <c r="E3" s="7"/>
      <c r="F3" s="7"/>
      <c r="G3" s="10"/>
      <c r="H3" s="10"/>
      <c r="I3" s="18"/>
      <c r="J3" s="18"/>
      <c r="K3" s="18"/>
      <c r="L3" s="18"/>
      <c r="M3" s="18"/>
      <c r="N3" s="18"/>
      <c r="O3" s="18"/>
      <c r="P3" s="18"/>
      <c r="Q3" s="20"/>
      <c r="R3" s="20"/>
      <c r="S3" s="20"/>
      <c r="T3" s="20"/>
      <c r="U3" s="20"/>
      <c r="V3" s="20"/>
      <c r="W3" s="20"/>
      <c r="X3" s="20"/>
      <c r="Y3" s="20"/>
    </row>
    <row r="4" ht="30.0" customHeight="1">
      <c r="A4" s="33" t="s">
        <v>38</v>
      </c>
      <c r="B4" s="33"/>
      <c r="C4" s="33" t="s">
        <v>50</v>
      </c>
      <c r="D4" s="37" t="s">
        <v>42</v>
      </c>
      <c r="E4" s="37" t="s">
        <v>45</v>
      </c>
      <c r="F4" s="37" t="s">
        <v>53</v>
      </c>
      <c r="G4" s="40"/>
      <c r="H4" s="40"/>
      <c r="I4" s="41" t="str">
        <f>IFERROR(__xludf.DUMMYFUNCTION("QUERY(A5:H90, ""Select C, count(A), H group by C, H order by H"")"),"")</f>
        <v/>
      </c>
      <c r="J4" s="18" t="str">
        <f>IFERROR(__xludf.DUMMYFUNCTION("""COMPUTED_VALUE"""),"count ")</f>
        <v>count </v>
      </c>
      <c r="K4" s="18" t="str">
        <f>IFERROR(__xludf.DUMMYFUNCTION("""COMPUTED_VALUE"""),"")</f>
        <v/>
      </c>
      <c r="L4" s="41" t="str">
        <f>IFERROR(__xludf.DUMMYFUNCTION("QUERY(A5:H90, ""Select D, count(A), H group by D, H order by H"")"),"")</f>
        <v/>
      </c>
      <c r="M4" s="18" t="str">
        <f>IFERROR(__xludf.DUMMYFUNCTION("""COMPUTED_VALUE"""),"count ")</f>
        <v>count </v>
      </c>
      <c r="N4" s="18" t="str">
        <f>IFERROR(__xludf.DUMMYFUNCTION("""COMPUTED_VALUE"""),"")</f>
        <v/>
      </c>
      <c r="O4" s="18"/>
      <c r="P4" s="25"/>
      <c r="Q4" s="44"/>
      <c r="R4" s="44"/>
      <c r="S4" s="44"/>
      <c r="T4" s="44"/>
      <c r="U4" s="44"/>
      <c r="V4" s="44"/>
      <c r="W4" s="44"/>
      <c r="X4" s="44"/>
      <c r="Y4" s="44"/>
    </row>
    <row r="5" ht="30.0" customHeight="1">
      <c r="A5" s="45" t="s">
        <v>60</v>
      </c>
      <c r="B5" s="45">
        <v>1.0</v>
      </c>
      <c r="C5" s="46" t="s">
        <v>55</v>
      </c>
      <c r="D5" s="46" t="s">
        <v>65</v>
      </c>
      <c r="E5" s="46" t="s">
        <v>67</v>
      </c>
      <c r="F5" s="46"/>
      <c r="G5" s="52" t="str">
        <f t="shared" ref="G5:G88" si="1"> CONCATENATE(E5," ", F5)</f>
        <v>Баса </v>
      </c>
      <c r="H5" s="53" t="s">
        <v>1</v>
      </c>
      <c r="I5" s="18"/>
      <c r="J5" s="18">
        <f>IFERROR(__xludf.DUMMYFUNCTION("""COMPUTED_VALUE"""),0.0)</f>
        <v>0</v>
      </c>
      <c r="K5" s="18"/>
      <c r="L5" s="18"/>
      <c r="M5" s="18">
        <f>IFERROR(__xludf.DUMMYFUNCTION("""COMPUTED_VALUE"""),0.0)</f>
        <v>0</v>
      </c>
      <c r="N5" s="18"/>
      <c r="O5" s="54"/>
      <c r="P5" s="18"/>
      <c r="Q5" s="20"/>
      <c r="R5" s="20"/>
      <c r="S5" s="20"/>
      <c r="T5" s="20"/>
      <c r="U5" s="20"/>
      <c r="V5" s="20"/>
      <c r="W5" s="20"/>
      <c r="X5" s="20"/>
      <c r="Y5" s="20"/>
    </row>
    <row r="6" ht="30.0" customHeight="1">
      <c r="A6" s="45" t="s">
        <v>74</v>
      </c>
      <c r="B6" s="45">
        <v>2.0</v>
      </c>
      <c r="C6" s="46" t="s">
        <v>47</v>
      </c>
      <c r="D6" s="46" t="s">
        <v>65</v>
      </c>
      <c r="E6" s="46" t="s">
        <v>79</v>
      </c>
      <c r="F6" s="57" t="s">
        <v>80</v>
      </c>
      <c r="G6" s="52" t="str">
        <f t="shared" si="1"/>
        <v>Чалахач Гр  </v>
      </c>
      <c r="H6" s="53" t="s">
        <v>1</v>
      </c>
      <c r="I6" s="18"/>
      <c r="J6" s="18">
        <f>IFERROR(__xludf.DUMMYFUNCTION("""COMPUTED_VALUE"""),1.0)</f>
        <v>1</v>
      </c>
      <c r="K6" s="18" t="str">
        <f>IFERROR(__xludf.DUMMYFUNCTION("""COMPUTED_VALUE"""),"Олимп")</f>
        <v>Олимп</v>
      </c>
      <c r="L6" s="18" t="str">
        <f>IFERROR(__xludf.DUMMYFUNCTION("""COMPUTED_VALUE"""),"3.Б")</f>
        <v>3.Б</v>
      </c>
      <c r="M6" s="18">
        <f>IFERROR(__xludf.DUMMYFUNCTION("""COMPUTED_VALUE"""),20.0)</f>
        <v>20</v>
      </c>
      <c r="N6" s="18" t="str">
        <f>IFERROR(__xludf.DUMMYFUNCTION("""COMPUTED_VALUE"""),"Олимп")</f>
        <v>Олимп</v>
      </c>
      <c r="O6" s="54"/>
      <c r="P6" s="18"/>
      <c r="Q6" s="20"/>
      <c r="R6" s="20"/>
      <c r="S6" s="20"/>
      <c r="T6" s="20"/>
      <c r="U6" s="20"/>
      <c r="V6" s="20"/>
      <c r="W6" s="20"/>
      <c r="X6" s="20"/>
      <c r="Y6" s="20"/>
    </row>
    <row r="7" ht="30.0" customHeight="1">
      <c r="A7" s="45" t="s">
        <v>91</v>
      </c>
      <c r="B7" s="45">
        <v>3.0</v>
      </c>
      <c r="C7" s="46" t="s">
        <v>32</v>
      </c>
      <c r="D7" s="57" t="s">
        <v>78</v>
      </c>
      <c r="E7" s="57" t="s">
        <v>97</v>
      </c>
      <c r="F7" s="46" t="s">
        <v>98</v>
      </c>
      <c r="G7" s="52" t="str">
        <f t="shared" si="1"/>
        <v>Терияки Картошка</v>
      </c>
      <c r="H7" s="53" t="s">
        <v>1</v>
      </c>
      <c r="I7" s="18" t="str">
        <f>IFERROR(__xludf.DUMMYFUNCTION("""COMPUTED_VALUE"""),"Весна")</f>
        <v>Весна</v>
      </c>
      <c r="J7" s="18">
        <f>IFERROR(__xludf.DUMMYFUNCTION("""COMPUTED_VALUE"""),2.0)</f>
        <v>2</v>
      </c>
      <c r="K7" s="18" t="str">
        <f>IFERROR(__xludf.DUMMYFUNCTION("""COMPUTED_VALUE"""),"Олимп")</f>
        <v>Олимп</v>
      </c>
      <c r="L7" s="18" t="str">
        <f>IFERROR(__xludf.DUMMYFUNCTION("""COMPUTED_VALUE"""),"Б ")</f>
        <v>Б </v>
      </c>
      <c r="M7" s="18">
        <f>IFERROR(__xludf.DUMMYFUNCTION("""COMPUTED_VALUE"""),21.0)</f>
        <v>21</v>
      </c>
      <c r="N7" s="18" t="str">
        <f>IFERROR(__xludf.DUMMYFUNCTION("""COMPUTED_VALUE"""),"Олимп")</f>
        <v>Олимп</v>
      </c>
      <c r="O7" s="54"/>
      <c r="P7" s="18"/>
      <c r="Q7" s="20"/>
      <c r="R7" s="20"/>
      <c r="S7" s="20"/>
      <c r="T7" s="20"/>
      <c r="U7" s="20"/>
      <c r="V7" s="20"/>
      <c r="W7" s="20"/>
      <c r="X7" s="20"/>
      <c r="Y7" s="20"/>
    </row>
    <row r="8" ht="30.0" customHeight="1">
      <c r="A8" s="45" t="s">
        <v>111</v>
      </c>
      <c r="B8" s="45">
        <v>4.0</v>
      </c>
      <c r="C8" s="46" t="s">
        <v>55</v>
      </c>
      <c r="D8" s="46" t="s">
        <v>105</v>
      </c>
      <c r="E8" s="46" t="s">
        <v>112</v>
      </c>
      <c r="F8" s="46" t="s">
        <v>113</v>
      </c>
      <c r="G8" s="52" t="str">
        <f t="shared" si="1"/>
        <v>Поперечка  FF</v>
      </c>
      <c r="H8" s="53" t="s">
        <v>1</v>
      </c>
      <c r="I8" s="18" t="str">
        <f>IFERROR(__xludf.DUMMYFUNCTION("""COMPUTED_VALUE"""),"Вин")</f>
        <v>Вин</v>
      </c>
      <c r="J8" s="18">
        <f>IFERROR(__xludf.DUMMYFUNCTION("""COMPUTED_VALUE"""),23.0)</f>
        <v>23</v>
      </c>
      <c r="K8" s="18" t="str">
        <f>IFERROR(__xludf.DUMMYFUNCTION("""COMPUTED_VALUE"""),"Олимп")</f>
        <v>Олимп</v>
      </c>
      <c r="L8" s="18" t="str">
        <f>IFERROR(__xludf.DUMMYFUNCTION("""COMPUTED_VALUE"""),"Горох")</f>
        <v>Горох</v>
      </c>
      <c r="M8" s="18">
        <f>IFERROR(__xludf.DUMMYFUNCTION("""COMPUTED_VALUE"""),14.0)</f>
        <v>14</v>
      </c>
      <c r="N8" s="18" t="str">
        <f>IFERROR(__xludf.DUMMYFUNCTION("""COMPUTED_VALUE"""),"Олимп")</f>
        <v>Олимп</v>
      </c>
      <c r="O8" s="54"/>
      <c r="P8" s="18"/>
      <c r="Q8" s="20"/>
      <c r="R8" s="20"/>
      <c r="S8" s="20"/>
      <c r="T8" s="20"/>
      <c r="U8" s="20"/>
      <c r="V8" s="20"/>
      <c r="W8" s="20"/>
      <c r="X8" s="20"/>
      <c r="Y8" s="20"/>
    </row>
    <row r="9" ht="30.0" customHeight="1">
      <c r="A9" s="45" t="s">
        <v>119</v>
      </c>
      <c r="B9" s="45">
        <v>5.0</v>
      </c>
      <c r="C9" s="46" t="s">
        <v>57</v>
      </c>
      <c r="D9" s="46" t="s">
        <v>117</v>
      </c>
      <c r="E9" s="46" t="s">
        <v>67</v>
      </c>
      <c r="F9" s="46" t="s">
        <v>122</v>
      </c>
      <c r="G9" s="52" t="str">
        <f t="shared" si="1"/>
        <v>Баса Туш. кап.</v>
      </c>
      <c r="H9" s="53" t="s">
        <v>1</v>
      </c>
      <c r="I9" s="18" t="str">
        <f>IFERROR(__xludf.DUMMYFUNCTION("""COMPUTED_VALUE"""),"Днестр")</f>
        <v>Днестр</v>
      </c>
      <c r="J9" s="18">
        <f>IFERROR(__xludf.DUMMYFUNCTION("""COMPUTED_VALUE"""),4.0)</f>
        <v>4</v>
      </c>
      <c r="K9" s="18" t="str">
        <f>IFERROR(__xludf.DUMMYFUNCTION("""COMPUTED_VALUE"""),"Олимп")</f>
        <v>Олимп</v>
      </c>
      <c r="L9" s="18" t="str">
        <f>IFERROR(__xludf.DUMMYFUNCTION("""COMPUTED_VALUE"""),"Гриб")</f>
        <v>Гриб</v>
      </c>
      <c r="M9" s="18">
        <f>IFERROR(__xludf.DUMMYFUNCTION("""COMPUTED_VALUE"""),7.0)</f>
        <v>7</v>
      </c>
      <c r="N9" s="18" t="str">
        <f>IFERROR(__xludf.DUMMYFUNCTION("""COMPUTED_VALUE"""),"Олимп")</f>
        <v>Олимп</v>
      </c>
      <c r="O9" s="54"/>
      <c r="P9" s="18"/>
      <c r="Q9" s="20"/>
      <c r="R9" s="20"/>
      <c r="S9" s="20"/>
      <c r="T9" s="20"/>
      <c r="U9" s="20"/>
      <c r="V9" s="20"/>
      <c r="W9" s="20"/>
      <c r="X9" s="20"/>
      <c r="Y9" s="20"/>
    </row>
    <row r="10" ht="30.0" customHeight="1">
      <c r="A10" s="45" t="s">
        <v>125</v>
      </c>
      <c r="B10" s="45">
        <v>6.0</v>
      </c>
      <c r="C10" s="46" t="s">
        <v>57</v>
      </c>
      <c r="D10" s="46" t="s">
        <v>78</v>
      </c>
      <c r="E10" s="46" t="s">
        <v>126</v>
      </c>
      <c r="F10" s="46" t="s">
        <v>127</v>
      </c>
      <c r="G10" s="52" t="str">
        <f t="shared" si="1"/>
        <v>S   MP </v>
      </c>
      <c r="H10" s="53" t="s">
        <v>1</v>
      </c>
      <c r="I10" s="18" t="str">
        <f>IFERROR(__xludf.DUMMYFUNCTION("""COMPUTED_VALUE"""),"Ол ")</f>
        <v>Ол </v>
      </c>
      <c r="J10" s="18">
        <f>IFERROR(__xludf.DUMMYFUNCTION("""COMPUTED_VALUE"""),13.0)</f>
        <v>13</v>
      </c>
      <c r="K10" s="18" t="str">
        <f>IFERROR(__xludf.DUMMYFUNCTION("""COMPUTED_VALUE"""),"Олимп")</f>
        <v>Олимп</v>
      </c>
      <c r="L10" s="18" t="str">
        <f>IFERROR(__xludf.DUMMYFUNCTION("""COMPUTED_VALUE"""),"Кур ")</f>
        <v>Кур </v>
      </c>
      <c r="M10" s="18">
        <f>IFERROR(__xludf.DUMMYFUNCTION("""COMPUTED_VALUE"""),15.0)</f>
        <v>15</v>
      </c>
      <c r="N10" s="18" t="str">
        <f>IFERROR(__xludf.DUMMYFUNCTION("""COMPUTED_VALUE"""),"Олимп")</f>
        <v>Олимп</v>
      </c>
      <c r="O10" s="54"/>
      <c r="P10" s="18"/>
      <c r="Q10" s="20"/>
      <c r="R10" s="20"/>
      <c r="S10" s="20"/>
      <c r="T10" s="20"/>
      <c r="U10" s="20"/>
      <c r="V10" s="20"/>
      <c r="W10" s="20"/>
      <c r="X10" s="20"/>
      <c r="Y10" s="20"/>
    </row>
    <row r="11" ht="30.0" customHeight="1">
      <c r="A11" s="45" t="s">
        <v>131</v>
      </c>
      <c r="B11" s="45">
        <v>7.0</v>
      </c>
      <c r="C11" s="46" t="s">
        <v>47</v>
      </c>
      <c r="D11" s="46" t="s">
        <v>85</v>
      </c>
      <c r="E11" s="46" t="s">
        <v>126</v>
      </c>
      <c r="F11" s="46" t="s">
        <v>113</v>
      </c>
      <c r="G11" s="52" t="str">
        <f t="shared" si="1"/>
        <v>S    FF</v>
      </c>
      <c r="H11" s="53" t="s">
        <v>1</v>
      </c>
      <c r="I11" s="18" t="str">
        <f>IFERROR(__xludf.DUMMYFUNCTION("""COMPUTED_VALUE"""),"Сало")</f>
        <v>Сало</v>
      </c>
      <c r="J11" s="18">
        <f>IFERROR(__xludf.DUMMYFUNCTION("""COMPUTED_VALUE"""),11.0)</f>
        <v>11</v>
      </c>
      <c r="K11" s="18" t="str">
        <f>IFERROR(__xludf.DUMMYFUNCTION("""COMPUTED_VALUE"""),"Олимп")</f>
        <v>Олимп</v>
      </c>
      <c r="L11" s="18" t="str">
        <f>IFERROR(__xludf.DUMMYFUNCTION("""COMPUTED_VALUE"""),"Овощ")</f>
        <v>Овощ</v>
      </c>
      <c r="M11" s="18">
        <f>IFERROR(__xludf.DUMMYFUNCTION("""COMPUTED_VALUE"""),5.0)</f>
        <v>5</v>
      </c>
      <c r="N11" s="18" t="str">
        <f>IFERROR(__xludf.DUMMYFUNCTION("""COMPUTED_VALUE"""),"Олимп")</f>
        <v>Олимп</v>
      </c>
      <c r="O11" s="54"/>
      <c r="P11" s="18"/>
      <c r="Q11" s="20"/>
      <c r="R11" s="20"/>
      <c r="S11" s="20"/>
      <c r="T11" s="20"/>
      <c r="U11" s="20"/>
      <c r="V11" s="20"/>
      <c r="W11" s="20"/>
      <c r="X11" s="20"/>
      <c r="Y11" s="20"/>
    </row>
    <row r="12" ht="30.0" customHeight="1">
      <c r="A12" s="45" t="s">
        <v>139</v>
      </c>
      <c r="B12" s="45">
        <v>8.0</v>
      </c>
      <c r="C12" s="46" t="s">
        <v>32</v>
      </c>
      <c r="D12" s="46" t="s">
        <v>78</v>
      </c>
      <c r="E12" s="46" t="s">
        <v>67</v>
      </c>
      <c r="F12" s="46" t="s">
        <v>122</v>
      </c>
      <c r="G12" s="52" t="str">
        <f t="shared" si="1"/>
        <v>Баса Туш. кап.</v>
      </c>
      <c r="H12" s="53" t="s">
        <v>1</v>
      </c>
      <c r="I12" s="18" t="str">
        <f>IFERROR(__xludf.DUMMYFUNCTION("""COMPUTED_VALUE"""),"Свкл")</f>
        <v>Свкл</v>
      </c>
      <c r="J12" s="18">
        <f>IFERROR(__xludf.DUMMYFUNCTION("""COMPUTED_VALUE"""),11.0)</f>
        <v>11</v>
      </c>
      <c r="K12" s="18" t="str">
        <f>IFERROR(__xludf.DUMMYFUNCTION("""COMPUTED_VALUE"""),"Олимп")</f>
        <v>Олимп</v>
      </c>
      <c r="L12" s="18" t="str">
        <f>IFERROR(__xludf.DUMMYFUNCTION("""COMPUTED_VALUE"""),"Харчо ")</f>
        <v>Харчо </v>
      </c>
      <c r="M12" s="18">
        <f>IFERROR(__xludf.DUMMYFUNCTION("""COMPUTED_VALUE"""),2.0)</f>
        <v>2</v>
      </c>
      <c r="N12" s="18" t="str">
        <f>IFERROR(__xludf.DUMMYFUNCTION("""COMPUTED_VALUE"""),"Олимп")</f>
        <v>Олимп</v>
      </c>
      <c r="O12" s="54"/>
      <c r="P12" s="18"/>
      <c r="Q12" s="20"/>
      <c r="R12" s="20"/>
      <c r="S12" s="20"/>
      <c r="T12" s="20"/>
      <c r="U12" s="20"/>
      <c r="V12" s="20"/>
      <c r="W12" s="20"/>
      <c r="X12" s="20"/>
      <c r="Y12" s="20"/>
    </row>
    <row r="13" ht="30.0" customHeight="1">
      <c r="A13" s="45" t="s">
        <v>153</v>
      </c>
      <c r="B13" s="45">
        <v>9.0</v>
      </c>
      <c r="C13" s="46" t="s">
        <v>47</v>
      </c>
      <c r="D13" s="46" t="s">
        <v>87</v>
      </c>
      <c r="E13" s="46" t="s">
        <v>150</v>
      </c>
      <c r="F13" s="46" t="s">
        <v>122</v>
      </c>
      <c r="G13" s="52" t="str">
        <f t="shared" si="1"/>
        <v>Бл. мясо Туш. кап.</v>
      </c>
      <c r="H13" s="53" t="s">
        <v>1</v>
      </c>
      <c r="I13" s="18" t="str">
        <f>IFERROR(__xludf.DUMMYFUNCTION("""COMPUTED_VALUE"""),"Селедка")</f>
        <v>Селедка</v>
      </c>
      <c r="J13" s="18">
        <f>IFERROR(__xludf.DUMMYFUNCTION("""COMPUTED_VALUE"""),7.0)</f>
        <v>7</v>
      </c>
      <c r="K13" s="18" t="str">
        <f>IFERROR(__xludf.DUMMYFUNCTION("""COMPUTED_VALUE"""),"Олимп")</f>
        <v>Олимп</v>
      </c>
      <c r="L13" s="18"/>
      <c r="M13" s="18"/>
      <c r="N13" s="18"/>
      <c r="O13" s="18"/>
      <c r="P13" s="18"/>
      <c r="Q13" s="18"/>
      <c r="R13" s="18"/>
      <c r="S13" s="20"/>
      <c r="T13" s="20"/>
      <c r="U13" s="20"/>
      <c r="V13" s="20"/>
      <c r="W13" s="20"/>
      <c r="X13" s="20"/>
      <c r="Y13" s="20"/>
    </row>
    <row r="14" ht="30.0" customHeight="1">
      <c r="A14" s="45" t="s">
        <v>160</v>
      </c>
      <c r="B14" s="45">
        <v>10.0</v>
      </c>
      <c r="C14" s="46" t="s">
        <v>32</v>
      </c>
      <c r="D14" s="46" t="s">
        <v>85</v>
      </c>
      <c r="E14" s="46" t="s">
        <v>165</v>
      </c>
      <c r="F14" s="46" t="s">
        <v>98</v>
      </c>
      <c r="G14" s="52" t="str">
        <f t="shared" si="1"/>
        <v>Пельмени Картошка</v>
      </c>
      <c r="H14" s="53" t="s">
        <v>1</v>
      </c>
      <c r="I14" s="18" t="str">
        <f>IFERROR(__xludf.DUMMYFUNCTION("""COMPUTED_VALUE"""),"баклаж")</f>
        <v>баклаж</v>
      </c>
      <c r="J14" s="18">
        <f>IFERROR(__xludf.DUMMYFUNCTION("""COMPUTED_VALUE"""),2.0)</f>
        <v>2</v>
      </c>
      <c r="K14" s="18" t="str">
        <f>IFERROR(__xludf.DUMMYFUNCTION("""COMPUTED_VALUE"""),"Олимп")</f>
        <v>Олимп</v>
      </c>
      <c r="L14" s="18"/>
      <c r="M14" s="18"/>
      <c r="N14" s="18"/>
      <c r="O14" s="18"/>
      <c r="P14" s="18"/>
      <c r="Q14" s="18"/>
      <c r="R14" s="18"/>
      <c r="S14" s="20"/>
      <c r="T14" s="20"/>
      <c r="U14" s="20"/>
      <c r="V14" s="20"/>
      <c r="W14" s="20"/>
      <c r="X14" s="20"/>
      <c r="Y14" s="20"/>
    </row>
    <row r="15" ht="30.0" customHeight="1">
      <c r="A15" s="45" t="s">
        <v>168</v>
      </c>
      <c r="B15" s="45">
        <v>11.0</v>
      </c>
      <c r="C15" s="46" t="s">
        <v>12</v>
      </c>
      <c r="D15" s="46" t="s">
        <v>117</v>
      </c>
      <c r="E15" s="46" t="s">
        <v>169</v>
      </c>
      <c r="F15" s="46" t="s">
        <v>98</v>
      </c>
      <c r="G15" s="52" t="str">
        <f t="shared" si="1"/>
        <v>Гуляш Картошка</v>
      </c>
      <c r="H15" s="53" t="s">
        <v>1</v>
      </c>
      <c r="I15" s="10" t="str">
        <f>IFERROR(__xludf.DUMMYFUNCTION("""COMPUTED_VALUE"""),"капуста")</f>
        <v>капуста</v>
      </c>
      <c r="J15" s="18">
        <f>IFERROR(__xludf.DUMMYFUNCTION("""COMPUTED_VALUE"""),10.0)</f>
        <v>10</v>
      </c>
      <c r="K15" s="18" t="str">
        <f>IFERROR(__xludf.DUMMYFUNCTION("""COMPUTED_VALUE"""),"Олимп")</f>
        <v>Олимп</v>
      </c>
      <c r="L15" s="18"/>
      <c r="M15" s="18"/>
      <c r="N15" s="18"/>
      <c r="O15" s="18"/>
      <c r="P15" s="18"/>
      <c r="Q15" s="18"/>
      <c r="R15" s="18"/>
      <c r="S15" s="20"/>
      <c r="T15" s="20"/>
      <c r="U15" s="20"/>
      <c r="V15" s="20"/>
      <c r="W15" s="20"/>
      <c r="X15" s="20"/>
      <c r="Y15" s="20"/>
    </row>
    <row r="16" ht="30.0" customHeight="1">
      <c r="A16" s="81" t="s">
        <v>175</v>
      </c>
      <c r="B16" s="45">
        <v>12.0</v>
      </c>
      <c r="C16" s="46" t="s">
        <v>32</v>
      </c>
      <c r="D16" s="46" t="s">
        <v>87</v>
      </c>
      <c r="E16" s="46" t="s">
        <v>173</v>
      </c>
      <c r="F16" s="46" t="s">
        <v>80</v>
      </c>
      <c r="G16" s="52" t="str">
        <f t="shared" si="1"/>
        <v>Дорадо Гр  </v>
      </c>
      <c r="H16" s="53" t="s">
        <v>1</v>
      </c>
      <c r="I16" s="10"/>
      <c r="J16" s="18"/>
      <c r="K16" s="18"/>
      <c r="L16" s="18"/>
      <c r="M16" s="18"/>
      <c r="N16" s="18"/>
      <c r="O16" s="18"/>
      <c r="P16" s="18"/>
      <c r="Q16" s="18"/>
      <c r="R16" s="18"/>
      <c r="S16" s="20"/>
      <c r="T16" s="20"/>
      <c r="U16" s="20"/>
      <c r="V16" s="20"/>
      <c r="W16" s="20"/>
      <c r="X16" s="20"/>
      <c r="Y16" s="20"/>
    </row>
    <row r="17" ht="30.0" customHeight="1">
      <c r="A17" s="45" t="s">
        <v>184</v>
      </c>
      <c r="B17" s="45">
        <v>13.0</v>
      </c>
      <c r="C17" s="46" t="s">
        <v>47</v>
      </c>
      <c r="D17" s="46" t="s">
        <v>78</v>
      </c>
      <c r="E17" s="46" t="s">
        <v>181</v>
      </c>
      <c r="F17" s="46" t="s">
        <v>127</v>
      </c>
      <c r="G17" s="52" t="str">
        <f t="shared" si="1"/>
        <v>Жульен MP </v>
      </c>
      <c r="H17" s="53" t="s">
        <v>1</v>
      </c>
      <c r="I17" s="41" t="str">
        <f>IFERROR(__xludf.DUMMYFUNCTION("QUERY(A5:H92, ""Select G, count(A), H group by G, H order by H"")"),"")</f>
        <v/>
      </c>
      <c r="J17" s="18" t="str">
        <f>IFERROR(__xludf.DUMMYFUNCTION("""COMPUTED_VALUE"""),"count ")</f>
        <v>count </v>
      </c>
      <c r="K17" s="18" t="str">
        <f>IFERROR(__xludf.DUMMYFUNCTION("""COMPUTED_VALUE"""),"")</f>
        <v/>
      </c>
      <c r="L17" s="18"/>
      <c r="M17" s="18"/>
      <c r="N17" s="18"/>
      <c r="O17" s="54"/>
      <c r="P17" s="18"/>
      <c r="Q17" s="20"/>
      <c r="R17" s="20"/>
      <c r="S17" s="20"/>
      <c r="T17" s="20"/>
      <c r="U17" s="20"/>
      <c r="V17" s="20"/>
      <c r="W17" s="20"/>
      <c r="X17" s="20"/>
      <c r="Y17" s="20"/>
    </row>
    <row r="18" ht="30.0" customHeight="1">
      <c r="A18" s="82" t="s">
        <v>195</v>
      </c>
      <c r="B18" s="45">
        <v>14.0</v>
      </c>
      <c r="C18" s="46" t="s">
        <v>47</v>
      </c>
      <c r="D18" s="46" t="s">
        <v>78</v>
      </c>
      <c r="E18" s="46" t="s">
        <v>67</v>
      </c>
      <c r="F18" s="46" t="s">
        <v>122</v>
      </c>
      <c r="G18" s="52" t="str">
        <f t="shared" si="1"/>
        <v>Баса Туш. кап.</v>
      </c>
      <c r="H18" s="53" t="s">
        <v>1</v>
      </c>
      <c r="I18" s="15"/>
      <c r="J18" s="18">
        <f>IFERROR(__xludf.DUMMYFUNCTION("""COMPUTED_VALUE"""),0.0)</f>
        <v>0</v>
      </c>
      <c r="K18" s="18"/>
      <c r="L18" s="18"/>
      <c r="M18" s="18"/>
      <c r="N18" s="18"/>
      <c r="O18" s="54"/>
      <c r="P18" s="18"/>
      <c r="Q18" s="20"/>
      <c r="R18" s="20"/>
      <c r="S18" s="20"/>
      <c r="T18" s="20"/>
      <c r="U18" s="20"/>
      <c r="V18" s="20"/>
      <c r="W18" s="20"/>
      <c r="X18" s="20"/>
      <c r="Y18" s="20"/>
    </row>
    <row r="19" ht="30.0" customHeight="1">
      <c r="A19" s="45" t="s">
        <v>205</v>
      </c>
      <c r="B19" s="45">
        <v>15.0</v>
      </c>
      <c r="C19" s="46" t="s">
        <v>16</v>
      </c>
      <c r="D19" s="46" t="s">
        <v>105</v>
      </c>
      <c r="E19" s="46" t="s">
        <v>209</v>
      </c>
      <c r="F19" s="46" t="s">
        <v>80</v>
      </c>
      <c r="G19" s="52" t="str">
        <f t="shared" si="1"/>
        <v>Шницель Гр  </v>
      </c>
      <c r="H19" s="53" t="s">
        <v>1</v>
      </c>
      <c r="I19" s="18" t="str">
        <f>IFERROR(__xludf.DUMMYFUNCTION("""COMPUTED_VALUE"""),"S   ")</f>
        <v>S   </v>
      </c>
      <c r="J19" s="18">
        <f>IFERROR(__xludf.DUMMYFUNCTION("""COMPUTED_VALUE"""),1.0)</f>
        <v>1</v>
      </c>
      <c r="K19" s="18" t="str">
        <f>IFERROR(__xludf.DUMMYFUNCTION("""COMPUTED_VALUE"""),"Олимп")</f>
        <v>Олимп</v>
      </c>
      <c r="L19" s="18"/>
      <c r="M19" s="18"/>
      <c r="N19" s="18"/>
      <c r="O19" s="54"/>
      <c r="P19" s="18"/>
      <c r="Q19" s="20"/>
      <c r="R19" s="20"/>
      <c r="S19" s="20"/>
      <c r="T19" s="20"/>
      <c r="U19" s="20"/>
      <c r="V19" s="20"/>
      <c r="W19" s="20"/>
      <c r="X19" s="20"/>
      <c r="Y19" s="20"/>
    </row>
    <row r="20" ht="30.0" customHeight="1">
      <c r="A20" s="81" t="s">
        <v>218</v>
      </c>
      <c r="B20" s="45">
        <v>16.0</v>
      </c>
      <c r="C20" s="46" t="s">
        <v>16</v>
      </c>
      <c r="D20" s="46" t="s">
        <v>78</v>
      </c>
      <c r="E20" s="46" t="s">
        <v>126</v>
      </c>
      <c r="F20" s="86" t="s">
        <v>113</v>
      </c>
      <c r="G20" s="52" t="str">
        <f t="shared" si="1"/>
        <v>S    FF</v>
      </c>
      <c r="H20" s="53" t="s">
        <v>1</v>
      </c>
      <c r="I20" s="18" t="str">
        <f>IFERROR(__xludf.DUMMYFUNCTION("""COMPUTED_VALUE"""),"S    FF")</f>
        <v>S    FF</v>
      </c>
      <c r="J20" s="18">
        <f>IFERROR(__xludf.DUMMYFUNCTION("""COMPUTED_VALUE"""),3.0)</f>
        <v>3</v>
      </c>
      <c r="K20" s="18" t="str">
        <f>IFERROR(__xludf.DUMMYFUNCTION("""COMPUTED_VALUE"""),"Олимп")</f>
        <v>Олимп</v>
      </c>
      <c r="L20" s="18"/>
      <c r="M20" s="18"/>
      <c r="N20" s="18"/>
      <c r="O20" s="54"/>
      <c r="P20" s="18"/>
      <c r="Q20" s="20"/>
      <c r="R20" s="20"/>
      <c r="S20" s="20"/>
      <c r="T20" s="20"/>
      <c r="U20" s="20"/>
      <c r="V20" s="20"/>
      <c r="W20" s="20"/>
      <c r="X20" s="20"/>
      <c r="Y20" s="20"/>
    </row>
    <row r="21" ht="30.0" customHeight="1">
      <c r="A21" s="45" t="s">
        <v>224</v>
      </c>
      <c r="B21" s="45">
        <v>17.0</v>
      </c>
      <c r="C21" s="46" t="s">
        <v>57</v>
      </c>
      <c r="D21" s="46" t="s">
        <v>105</v>
      </c>
      <c r="E21" s="46" t="s">
        <v>79</v>
      </c>
      <c r="F21" s="46" t="s">
        <v>122</v>
      </c>
      <c r="G21" s="52" t="str">
        <f t="shared" si="1"/>
        <v>Чалахач Туш. кап.</v>
      </c>
      <c r="H21" s="53" t="s">
        <v>1</v>
      </c>
      <c r="I21" s="18" t="str">
        <f>IFERROR(__xludf.DUMMYFUNCTION("""COMPUTED_VALUE"""),"S   MP ")</f>
        <v>S   MP </v>
      </c>
      <c r="J21" s="18">
        <f>IFERROR(__xludf.DUMMYFUNCTION("""COMPUTED_VALUE"""),2.0)</f>
        <v>2</v>
      </c>
      <c r="K21" s="18" t="str">
        <f>IFERROR(__xludf.DUMMYFUNCTION("""COMPUTED_VALUE"""),"Олимп")</f>
        <v>Олимп</v>
      </c>
      <c r="L21" s="18"/>
      <c r="M21" s="18"/>
      <c r="N21" s="18"/>
      <c r="O21" s="54"/>
      <c r="P21" s="18"/>
      <c r="Q21" s="20"/>
      <c r="R21" s="20"/>
      <c r="S21" s="20"/>
      <c r="T21" s="20"/>
      <c r="U21" s="20"/>
      <c r="V21" s="20"/>
      <c r="W21" s="20"/>
      <c r="X21" s="20"/>
      <c r="Y21" s="20"/>
    </row>
    <row r="22" ht="30.0" customHeight="1">
      <c r="A22" s="45" t="s">
        <v>233</v>
      </c>
      <c r="B22" s="45">
        <v>18.0</v>
      </c>
      <c r="C22" s="46" t="s">
        <v>16</v>
      </c>
      <c r="D22" s="46" t="s">
        <v>87</v>
      </c>
      <c r="E22" s="46" t="s">
        <v>157</v>
      </c>
      <c r="F22" s="46"/>
      <c r="G22" s="52" t="str">
        <f t="shared" si="1"/>
        <v>Бл. твор </v>
      </c>
      <c r="H22" s="53" t="s">
        <v>1</v>
      </c>
      <c r="I22" s="41" t="str">
        <f>IFERROR(__xludf.DUMMYFUNCTION("""COMPUTED_VALUE"""),"S   Гр  ")</f>
        <v>S   Гр  </v>
      </c>
      <c r="J22" s="18">
        <f>IFERROR(__xludf.DUMMYFUNCTION("""COMPUTED_VALUE"""),2.0)</f>
        <v>2</v>
      </c>
      <c r="K22" s="18" t="str">
        <f>IFERROR(__xludf.DUMMYFUNCTION("""COMPUTED_VALUE"""),"Олимп")</f>
        <v>Олимп</v>
      </c>
      <c r="L22" s="18"/>
      <c r="M22" s="18"/>
      <c r="N22" s="18"/>
      <c r="O22" s="54"/>
      <c r="P22" s="18"/>
      <c r="Q22" s="20"/>
      <c r="R22" s="20"/>
      <c r="S22" s="20"/>
      <c r="T22" s="20"/>
      <c r="U22" s="20"/>
      <c r="V22" s="20"/>
      <c r="W22" s="20"/>
      <c r="X22" s="20"/>
      <c r="Y22" s="20"/>
    </row>
    <row r="23" ht="30.0" customHeight="1">
      <c r="A23" s="45" t="s">
        <v>239</v>
      </c>
      <c r="B23" s="45">
        <v>19.0</v>
      </c>
      <c r="C23" s="46" t="s">
        <v>16</v>
      </c>
      <c r="D23" s="46" t="s">
        <v>87</v>
      </c>
      <c r="E23" s="46" t="s">
        <v>126</v>
      </c>
      <c r="F23" s="46" t="s">
        <v>80</v>
      </c>
      <c r="G23" s="52" t="str">
        <f t="shared" si="1"/>
        <v>S   Гр  </v>
      </c>
      <c r="H23" s="53" t="s">
        <v>1</v>
      </c>
      <c r="I23" s="41" t="str">
        <f>IFERROR(__xludf.DUMMYFUNCTION("""COMPUTED_VALUE"""),"S   Туш. кап.")</f>
        <v>S   Туш. кап.</v>
      </c>
      <c r="J23" s="18">
        <f>IFERROR(__xludf.DUMMYFUNCTION("""COMPUTED_VALUE"""),2.0)</f>
        <v>2</v>
      </c>
      <c r="K23" s="18" t="str">
        <f>IFERROR(__xludf.DUMMYFUNCTION("""COMPUTED_VALUE"""),"Олимп")</f>
        <v>Олимп</v>
      </c>
      <c r="L23" s="18"/>
      <c r="M23" s="18"/>
      <c r="N23" s="18"/>
      <c r="O23" s="54"/>
      <c r="P23" s="18"/>
      <c r="Q23" s="20"/>
      <c r="R23" s="20"/>
      <c r="S23" s="20"/>
      <c r="T23" s="20"/>
      <c r="U23" s="20"/>
      <c r="V23" s="20"/>
      <c r="W23" s="20"/>
      <c r="X23" s="20"/>
      <c r="Y23" s="20"/>
    </row>
    <row r="24" ht="30.0" customHeight="1">
      <c r="A24" s="91" t="s">
        <v>245</v>
      </c>
      <c r="B24" s="45">
        <v>20.0</v>
      </c>
      <c r="C24" s="46" t="s">
        <v>62</v>
      </c>
      <c r="D24" s="46" t="s">
        <v>105</v>
      </c>
      <c r="E24" s="46" t="s">
        <v>126</v>
      </c>
      <c r="F24" s="46" t="s">
        <v>80</v>
      </c>
      <c r="G24" s="52" t="str">
        <f t="shared" si="1"/>
        <v>S   Гр  </v>
      </c>
      <c r="H24" s="53" t="s">
        <v>1</v>
      </c>
      <c r="I24" s="18" t="str">
        <f>IFERROR(__xludf.DUMMYFUNCTION("""COMPUTED_VALUE"""),"S   Фасоль")</f>
        <v>S   Фасоль</v>
      </c>
      <c r="J24" s="18">
        <f>IFERROR(__xludf.DUMMYFUNCTION("""COMPUTED_VALUE"""),3.0)</f>
        <v>3</v>
      </c>
      <c r="K24" s="18" t="str">
        <f>IFERROR(__xludf.DUMMYFUNCTION("""COMPUTED_VALUE"""),"Олимп")</f>
        <v>Олимп</v>
      </c>
      <c r="L24" s="18"/>
      <c r="M24" s="18"/>
      <c r="N24" s="18"/>
      <c r="O24" s="54"/>
      <c r="P24" s="18"/>
      <c r="Q24" s="20"/>
      <c r="R24" s="20"/>
      <c r="S24" s="20"/>
      <c r="T24" s="20"/>
      <c r="U24" s="20"/>
      <c r="V24" s="20"/>
      <c r="W24" s="20"/>
      <c r="X24" s="20"/>
      <c r="Y24" s="20"/>
    </row>
    <row r="25" ht="30.0" customHeight="1">
      <c r="A25" s="91" t="s">
        <v>249</v>
      </c>
      <c r="B25" s="45">
        <v>21.0</v>
      </c>
      <c r="C25" s="46" t="s">
        <v>16</v>
      </c>
      <c r="D25" s="46" t="s">
        <v>85</v>
      </c>
      <c r="E25" s="46" t="s">
        <v>157</v>
      </c>
      <c r="F25" s="46" t="s">
        <v>80</v>
      </c>
      <c r="G25" s="52" t="str">
        <f t="shared" si="1"/>
        <v>Бл. твор Гр  </v>
      </c>
      <c r="H25" s="53" t="s">
        <v>1</v>
      </c>
      <c r="I25" s="18" t="str">
        <f>IFERROR(__xludf.DUMMYFUNCTION("""COMPUTED_VALUE"""),"Баса ")</f>
        <v>Баса </v>
      </c>
      <c r="J25" s="18">
        <f>IFERROR(__xludf.DUMMYFUNCTION("""COMPUTED_VALUE"""),1.0)</f>
        <v>1</v>
      </c>
      <c r="K25" s="18" t="str">
        <f>IFERROR(__xludf.DUMMYFUNCTION("""COMPUTED_VALUE"""),"Олимп")</f>
        <v>Олимп</v>
      </c>
      <c r="L25" s="18"/>
      <c r="M25" s="18"/>
      <c r="N25" s="18"/>
      <c r="O25" s="54"/>
      <c r="P25" s="18"/>
      <c r="Q25" s="20"/>
      <c r="R25" s="20"/>
      <c r="S25" s="20"/>
      <c r="T25" s="20"/>
      <c r="U25" s="20"/>
      <c r="V25" s="20"/>
      <c r="W25" s="20"/>
      <c r="X25" s="20"/>
      <c r="Y25" s="20"/>
    </row>
    <row r="26" ht="30.0" customHeight="1">
      <c r="A26" s="45" t="s">
        <v>254</v>
      </c>
      <c r="B26" s="45">
        <v>22.0</v>
      </c>
      <c r="C26" s="46" t="s">
        <v>16</v>
      </c>
      <c r="D26" s="46" t="s">
        <v>87</v>
      </c>
      <c r="E26" s="46" t="s">
        <v>150</v>
      </c>
      <c r="F26" s="46" t="s">
        <v>80</v>
      </c>
      <c r="G26" s="52" t="str">
        <f t="shared" si="1"/>
        <v>Бл. мясо Гр  </v>
      </c>
      <c r="H26" s="53" t="s">
        <v>1</v>
      </c>
      <c r="I26" s="18" t="str">
        <f>IFERROR(__xludf.DUMMYFUNCTION("""COMPUTED_VALUE"""),"Баса  FF")</f>
        <v>Баса  FF</v>
      </c>
      <c r="J26" s="18">
        <f>IFERROR(__xludf.DUMMYFUNCTION("""COMPUTED_VALUE"""),1.0)</f>
        <v>1</v>
      </c>
      <c r="K26" s="18" t="str">
        <f>IFERROR(__xludf.DUMMYFUNCTION("""COMPUTED_VALUE"""),"Олимп")</f>
        <v>Олимп</v>
      </c>
      <c r="L26" s="18"/>
      <c r="M26" s="18"/>
      <c r="N26" s="18"/>
      <c r="O26" s="54"/>
      <c r="P26" s="18"/>
      <c r="Q26" s="20"/>
      <c r="R26" s="20"/>
      <c r="S26" s="20"/>
      <c r="T26" s="20"/>
      <c r="U26" s="20"/>
      <c r="V26" s="20"/>
      <c r="W26" s="20"/>
      <c r="X26" s="20"/>
      <c r="Y26" s="20"/>
    </row>
    <row r="27" ht="30.0" customHeight="1">
      <c r="A27" s="94" t="s">
        <v>258</v>
      </c>
      <c r="B27" s="45">
        <v>23.0</v>
      </c>
      <c r="C27" s="46" t="s">
        <v>57</v>
      </c>
      <c r="D27" s="46" t="s">
        <v>65</v>
      </c>
      <c r="E27" s="46" t="s">
        <v>187</v>
      </c>
      <c r="F27" s="46" t="s">
        <v>122</v>
      </c>
      <c r="G27" s="52" t="str">
        <f t="shared" si="1"/>
        <v>Котл. кур Туш. кап.</v>
      </c>
      <c r="H27" s="53" t="s">
        <v>1</v>
      </c>
      <c r="I27" s="18" t="str">
        <f>IFERROR(__xludf.DUMMYFUNCTION("""COMPUTED_VALUE"""),"Баса Гр  ")</f>
        <v>Баса Гр  </v>
      </c>
      <c r="J27" s="18">
        <f>IFERROR(__xludf.DUMMYFUNCTION("""COMPUTED_VALUE"""),2.0)</f>
        <v>2</v>
      </c>
      <c r="K27" s="18" t="str">
        <f>IFERROR(__xludf.DUMMYFUNCTION("""COMPUTED_VALUE"""),"Олимп")</f>
        <v>Олимп</v>
      </c>
      <c r="L27" s="18"/>
      <c r="M27" s="18"/>
      <c r="N27" s="18"/>
      <c r="O27" s="54"/>
      <c r="P27" s="18"/>
      <c r="Q27" s="20"/>
      <c r="R27" s="20"/>
      <c r="S27" s="20"/>
      <c r="T27" s="20"/>
      <c r="U27" s="20"/>
      <c r="V27" s="20"/>
      <c r="W27" s="20"/>
      <c r="X27" s="20"/>
      <c r="Y27" s="20"/>
    </row>
    <row r="28" ht="30.0" customHeight="1">
      <c r="A28" s="82" t="s">
        <v>263</v>
      </c>
      <c r="B28" s="45">
        <v>24.0</v>
      </c>
      <c r="C28" s="46" t="s">
        <v>16</v>
      </c>
      <c r="D28" s="46" t="s">
        <v>85</v>
      </c>
      <c r="E28" s="46" t="s">
        <v>187</v>
      </c>
      <c r="F28" s="46"/>
      <c r="G28" s="52" t="str">
        <f t="shared" si="1"/>
        <v>Котл. кур </v>
      </c>
      <c r="H28" s="53" t="s">
        <v>1</v>
      </c>
      <c r="I28" s="18" t="str">
        <f>IFERROR(__xludf.DUMMYFUNCTION("""COMPUTED_VALUE"""),"Баса Картошка")</f>
        <v>Баса Картошка</v>
      </c>
      <c r="J28" s="18">
        <f>IFERROR(__xludf.DUMMYFUNCTION("""COMPUTED_VALUE"""),1.0)</f>
        <v>1</v>
      </c>
      <c r="K28" s="18" t="str">
        <f>IFERROR(__xludf.DUMMYFUNCTION("""COMPUTED_VALUE"""),"Олимп")</f>
        <v>Олимп</v>
      </c>
      <c r="L28" s="18"/>
      <c r="M28" s="18"/>
      <c r="N28" s="18"/>
      <c r="O28" s="54"/>
      <c r="P28" s="18"/>
      <c r="Q28" s="20"/>
      <c r="R28" s="20"/>
      <c r="S28" s="20"/>
      <c r="T28" s="20"/>
      <c r="U28" s="20"/>
      <c r="V28" s="20"/>
      <c r="W28" s="20"/>
      <c r="X28" s="20"/>
      <c r="Y28" s="20"/>
    </row>
    <row r="29" ht="30.0" customHeight="1">
      <c r="A29" s="94" t="s">
        <v>268</v>
      </c>
      <c r="B29" s="45">
        <v>25.0</v>
      </c>
      <c r="C29" s="46" t="s">
        <v>47</v>
      </c>
      <c r="D29" s="46" t="s">
        <v>95</v>
      </c>
      <c r="E29" s="46" t="s">
        <v>173</v>
      </c>
      <c r="F29" s="46" t="s">
        <v>80</v>
      </c>
      <c r="G29" s="52" t="str">
        <f t="shared" si="1"/>
        <v>Дорадо Гр  </v>
      </c>
      <c r="H29" s="53" t="s">
        <v>1</v>
      </c>
      <c r="I29" s="18" t="str">
        <f>IFERROR(__xludf.DUMMYFUNCTION("""COMPUTED_VALUE"""),"Баса Туш. кап.")</f>
        <v>Баса Туш. кап.</v>
      </c>
      <c r="J29" s="18">
        <f>IFERROR(__xludf.DUMMYFUNCTION("""COMPUTED_VALUE"""),6.0)</f>
        <v>6</v>
      </c>
      <c r="K29" s="18" t="str">
        <f>IFERROR(__xludf.DUMMYFUNCTION("""COMPUTED_VALUE"""),"Олимп")</f>
        <v>Олимп</v>
      </c>
      <c r="L29" s="18"/>
      <c r="M29" s="18"/>
      <c r="N29" s="18"/>
      <c r="O29" s="54"/>
      <c r="P29" s="18"/>
      <c r="Q29" s="20"/>
      <c r="R29" s="20"/>
      <c r="S29" s="20"/>
      <c r="T29" s="20"/>
      <c r="U29" s="20"/>
      <c r="V29" s="20"/>
      <c r="W29" s="20"/>
      <c r="X29" s="20"/>
      <c r="Y29" s="20"/>
    </row>
    <row r="30" ht="30.0" customHeight="1">
      <c r="A30" s="45" t="s">
        <v>234</v>
      </c>
      <c r="B30" s="45">
        <v>26.0</v>
      </c>
      <c r="C30" s="46" t="s">
        <v>55</v>
      </c>
      <c r="D30" s="46" t="s">
        <v>65</v>
      </c>
      <c r="E30" s="46" t="s">
        <v>211</v>
      </c>
      <c r="F30" s="46" t="s">
        <v>272</v>
      </c>
      <c r="G30" s="52" t="str">
        <f t="shared" si="1"/>
        <v>табака  Паста  </v>
      </c>
      <c r="H30" s="53" t="s">
        <v>1</v>
      </c>
      <c r="I30" s="18" t="str">
        <f>IFERROR(__xludf.DUMMYFUNCTION("""COMPUTED_VALUE"""),"Бл. мясо ")</f>
        <v>Бл. мясо </v>
      </c>
      <c r="J30" s="18">
        <f>IFERROR(__xludf.DUMMYFUNCTION("""COMPUTED_VALUE"""),1.0)</f>
        <v>1</v>
      </c>
      <c r="K30" s="18" t="str">
        <f>IFERROR(__xludf.DUMMYFUNCTION("""COMPUTED_VALUE"""),"Олимп")</f>
        <v>Олимп</v>
      </c>
      <c r="L30" s="18"/>
      <c r="M30" s="18"/>
      <c r="N30" s="18"/>
      <c r="O30" s="54"/>
      <c r="P30" s="18"/>
      <c r="Q30" s="20"/>
      <c r="R30" s="20"/>
      <c r="S30" s="20"/>
      <c r="T30" s="20"/>
      <c r="U30" s="20"/>
      <c r="V30" s="20"/>
      <c r="W30" s="20"/>
      <c r="X30" s="20"/>
      <c r="Y30" s="20"/>
    </row>
    <row r="31" ht="30.0" customHeight="1">
      <c r="A31" s="81" t="s">
        <v>274</v>
      </c>
      <c r="B31" s="45">
        <v>27.0</v>
      </c>
      <c r="C31" s="46" t="s">
        <v>55</v>
      </c>
      <c r="D31" s="46" t="s">
        <v>105</v>
      </c>
      <c r="E31" s="46" t="s">
        <v>126</v>
      </c>
      <c r="F31" s="46" t="s">
        <v>276</v>
      </c>
      <c r="G31" s="52" t="str">
        <f t="shared" si="1"/>
        <v>S   Фасоль</v>
      </c>
      <c r="H31" s="53" t="s">
        <v>1</v>
      </c>
      <c r="I31" s="18" t="str">
        <f>IFERROR(__xludf.DUMMYFUNCTION("""COMPUTED_VALUE"""),"Бл. мясо Гр  ")</f>
        <v>Бл. мясо Гр  </v>
      </c>
      <c r="J31" s="18">
        <f>IFERROR(__xludf.DUMMYFUNCTION("""COMPUTED_VALUE"""),1.0)</f>
        <v>1</v>
      </c>
      <c r="K31" s="18" t="str">
        <f>IFERROR(__xludf.DUMMYFUNCTION("""COMPUTED_VALUE"""),"Олимп")</f>
        <v>Олимп</v>
      </c>
      <c r="L31" s="18"/>
      <c r="M31" s="18"/>
      <c r="N31" s="18"/>
      <c r="O31" s="54"/>
      <c r="P31" s="18"/>
      <c r="Q31" s="20"/>
      <c r="R31" s="20"/>
      <c r="S31" s="20"/>
      <c r="T31" s="20"/>
      <c r="U31" s="20"/>
      <c r="V31" s="20"/>
      <c r="W31" s="20"/>
      <c r="X31" s="20"/>
      <c r="Y31" s="20"/>
    </row>
    <row r="32" ht="30.0" customHeight="1">
      <c r="A32" s="82" t="s">
        <v>278</v>
      </c>
      <c r="B32" s="45">
        <v>28.0</v>
      </c>
      <c r="C32" s="46" t="s">
        <v>55</v>
      </c>
      <c r="D32" s="46" t="s">
        <v>78</v>
      </c>
      <c r="E32" s="46" t="s">
        <v>157</v>
      </c>
      <c r="F32" s="99"/>
      <c r="G32" s="52" t="str">
        <f t="shared" si="1"/>
        <v>Бл. твор </v>
      </c>
      <c r="H32" s="53" t="s">
        <v>1</v>
      </c>
      <c r="I32" s="18" t="str">
        <f>IFERROR(__xludf.DUMMYFUNCTION("""COMPUTED_VALUE"""),"Бл. мясо Туш. кап.")</f>
        <v>Бл. мясо Туш. кап.</v>
      </c>
      <c r="J32" s="18">
        <f>IFERROR(__xludf.DUMMYFUNCTION("""COMPUTED_VALUE"""),1.0)</f>
        <v>1</v>
      </c>
      <c r="K32" s="18" t="str">
        <f>IFERROR(__xludf.DUMMYFUNCTION("""COMPUTED_VALUE"""),"Олимп")</f>
        <v>Олимп</v>
      </c>
      <c r="L32" s="18"/>
      <c r="M32" s="18"/>
      <c r="N32" s="18"/>
      <c r="O32" s="54"/>
      <c r="P32" s="18"/>
      <c r="Q32" s="20"/>
      <c r="R32" s="20"/>
      <c r="S32" s="20"/>
      <c r="T32" s="20"/>
      <c r="U32" s="20"/>
      <c r="V32" s="20"/>
      <c r="W32" s="20"/>
      <c r="X32" s="20"/>
      <c r="Y32" s="20"/>
    </row>
    <row r="33" ht="30.0" customHeight="1">
      <c r="A33" s="100" t="s">
        <v>283</v>
      </c>
      <c r="B33" s="45">
        <v>29.0</v>
      </c>
      <c r="C33" s="46" t="s">
        <v>32</v>
      </c>
      <c r="D33" s="46" t="s">
        <v>87</v>
      </c>
      <c r="E33" s="46" t="s">
        <v>67</v>
      </c>
      <c r="F33" s="46" t="s">
        <v>80</v>
      </c>
      <c r="G33" s="52" t="str">
        <f t="shared" si="1"/>
        <v>Баса Гр  </v>
      </c>
      <c r="H33" s="53" t="s">
        <v>1</v>
      </c>
      <c r="I33" s="18" t="str">
        <f>IFERROR(__xludf.DUMMYFUNCTION("""COMPUTED_VALUE"""),"Бл. мясо Фасоль")</f>
        <v>Бл. мясо Фасоль</v>
      </c>
      <c r="J33" s="18">
        <f>IFERROR(__xludf.DUMMYFUNCTION("""COMPUTED_VALUE"""),1.0)</f>
        <v>1</v>
      </c>
      <c r="K33" s="18" t="str">
        <f>IFERROR(__xludf.DUMMYFUNCTION("""COMPUTED_VALUE"""),"Олимп")</f>
        <v>Олимп</v>
      </c>
      <c r="L33" s="18"/>
      <c r="M33" s="18"/>
      <c r="N33" s="18"/>
      <c r="O33" s="54"/>
      <c r="P33" s="18"/>
      <c r="Q33" s="20"/>
      <c r="R33" s="20"/>
      <c r="S33" s="20"/>
      <c r="T33" s="20"/>
      <c r="U33" s="20"/>
      <c r="V33" s="20"/>
      <c r="W33" s="20"/>
      <c r="X33" s="20"/>
      <c r="Y33" s="20"/>
    </row>
    <row r="34" ht="30.0" customHeight="1">
      <c r="A34" s="81" t="s">
        <v>295</v>
      </c>
      <c r="B34" s="45">
        <v>30.0</v>
      </c>
      <c r="C34" s="46" t="s">
        <v>47</v>
      </c>
      <c r="D34" s="46" t="s">
        <v>65</v>
      </c>
      <c r="E34" s="46" t="s">
        <v>191</v>
      </c>
      <c r="F34" s="46" t="s">
        <v>127</v>
      </c>
      <c r="G34" s="52" t="str">
        <f t="shared" si="1"/>
        <v>крылья MP </v>
      </c>
      <c r="H34" s="53" t="s">
        <v>1</v>
      </c>
      <c r="I34" s="18" t="str">
        <f>IFERROR(__xludf.DUMMYFUNCTION("""COMPUTED_VALUE"""),"Бл. твор ")</f>
        <v>Бл. твор </v>
      </c>
      <c r="J34" s="18">
        <f>IFERROR(__xludf.DUMMYFUNCTION("""COMPUTED_VALUE"""),4.0)</f>
        <v>4</v>
      </c>
      <c r="K34" s="18" t="str">
        <f>IFERROR(__xludf.DUMMYFUNCTION("""COMPUTED_VALUE"""),"Олимп")</f>
        <v>Олимп</v>
      </c>
      <c r="L34" s="18"/>
      <c r="M34" s="18"/>
      <c r="N34" s="18"/>
      <c r="O34" s="54"/>
      <c r="P34" s="18"/>
      <c r="Q34" s="20"/>
      <c r="R34" s="20"/>
      <c r="S34" s="20"/>
      <c r="T34" s="20"/>
      <c r="U34" s="20"/>
      <c r="V34" s="20"/>
      <c r="W34" s="20"/>
      <c r="X34" s="20"/>
      <c r="Y34" s="20"/>
    </row>
    <row r="35" ht="30.0" customHeight="1">
      <c r="A35" s="82" t="s">
        <v>300</v>
      </c>
      <c r="B35" s="45">
        <v>31.0</v>
      </c>
      <c r="C35" s="46" t="s">
        <v>16</v>
      </c>
      <c r="D35" s="46" t="s">
        <v>87</v>
      </c>
      <c r="E35" s="46" t="s">
        <v>191</v>
      </c>
      <c r="F35" s="15"/>
      <c r="G35" s="52" t="str">
        <f t="shared" si="1"/>
        <v>крылья </v>
      </c>
      <c r="H35" s="53" t="s">
        <v>1</v>
      </c>
      <c r="I35" s="18" t="str">
        <f>IFERROR(__xludf.DUMMYFUNCTION("""COMPUTED_VALUE"""),"Бл. твор Гр  ")</f>
        <v>Бл. твор Гр  </v>
      </c>
      <c r="J35" s="18">
        <f>IFERROR(__xludf.DUMMYFUNCTION("""COMPUTED_VALUE"""),1.0)</f>
        <v>1</v>
      </c>
      <c r="K35" s="18" t="str">
        <f>IFERROR(__xludf.DUMMYFUNCTION("""COMPUTED_VALUE"""),"Олимп")</f>
        <v>Олимп</v>
      </c>
      <c r="L35" s="18"/>
      <c r="M35" s="18"/>
      <c r="N35" s="18"/>
      <c r="O35" s="54"/>
      <c r="P35" s="18"/>
      <c r="Q35" s="20"/>
      <c r="R35" s="20"/>
      <c r="S35" s="20"/>
      <c r="T35" s="20"/>
      <c r="U35" s="20"/>
      <c r="V35" s="20"/>
      <c r="W35" s="20"/>
      <c r="X35" s="20"/>
      <c r="Y35" s="20"/>
    </row>
    <row r="36" ht="30.0" customHeight="1">
      <c r="A36" s="103" t="s">
        <v>242</v>
      </c>
      <c r="B36" s="45">
        <v>32.0</v>
      </c>
      <c r="C36" s="46" t="s">
        <v>23</v>
      </c>
      <c r="D36" s="46" t="s">
        <v>87</v>
      </c>
      <c r="E36" s="46" t="s">
        <v>112</v>
      </c>
      <c r="F36" s="46" t="s">
        <v>122</v>
      </c>
      <c r="G36" s="52" t="str">
        <f t="shared" si="1"/>
        <v>Поперечка Туш. кап.</v>
      </c>
      <c r="H36" s="53" t="s">
        <v>1</v>
      </c>
      <c r="I36" s="18" t="str">
        <f>IFERROR(__xludf.DUMMYFUNCTION("""COMPUTED_VALUE"""),"Вар.Кар ")</f>
        <v>Вар.Кар </v>
      </c>
      <c r="J36" s="18">
        <f>IFERROR(__xludf.DUMMYFUNCTION("""COMPUTED_VALUE"""),2.0)</f>
        <v>2</v>
      </c>
      <c r="K36" s="18" t="str">
        <f>IFERROR(__xludf.DUMMYFUNCTION("""COMPUTED_VALUE"""),"Олимп")</f>
        <v>Олимп</v>
      </c>
      <c r="L36" s="18"/>
      <c r="M36" s="18"/>
      <c r="N36" s="18"/>
      <c r="O36" s="54"/>
      <c r="P36" s="18"/>
      <c r="Q36" s="20"/>
      <c r="R36" s="20"/>
      <c r="S36" s="20"/>
      <c r="T36" s="20"/>
      <c r="U36" s="20"/>
      <c r="V36" s="20"/>
      <c r="W36" s="20"/>
      <c r="X36" s="20"/>
      <c r="Y36" s="20"/>
    </row>
    <row r="37" ht="30.0" customHeight="1">
      <c r="A37" s="103" t="s">
        <v>306</v>
      </c>
      <c r="B37" s="45">
        <v>33.0</v>
      </c>
      <c r="C37" s="46" t="s">
        <v>57</v>
      </c>
      <c r="D37" s="46" t="s">
        <v>105</v>
      </c>
      <c r="E37" s="46" t="s">
        <v>126</v>
      </c>
      <c r="F37" s="46" t="s">
        <v>276</v>
      </c>
      <c r="G37" s="52" t="str">
        <f t="shared" si="1"/>
        <v>S   Фасоль</v>
      </c>
      <c r="H37" s="53" t="s">
        <v>1</v>
      </c>
      <c r="I37" s="18" t="str">
        <f>IFERROR(__xludf.DUMMYFUNCTION("""COMPUTED_VALUE"""),"Вар.Кар MP ")</f>
        <v>Вар.Кар MP </v>
      </c>
      <c r="J37" s="18">
        <f>IFERROR(__xludf.DUMMYFUNCTION("""COMPUTED_VALUE"""),1.0)</f>
        <v>1</v>
      </c>
      <c r="K37" s="18" t="str">
        <f>IFERROR(__xludf.DUMMYFUNCTION("""COMPUTED_VALUE"""),"Олимп")</f>
        <v>Олимп</v>
      </c>
      <c r="L37" s="18"/>
      <c r="M37" s="18"/>
      <c r="N37" s="18"/>
      <c r="O37" s="54"/>
      <c r="P37" s="18"/>
      <c r="Q37" s="20"/>
      <c r="R37" s="20"/>
      <c r="S37" s="20"/>
      <c r="T37" s="20"/>
      <c r="U37" s="20"/>
      <c r="V37" s="20"/>
      <c r="W37" s="20"/>
      <c r="X37" s="20"/>
      <c r="Y37" s="20"/>
    </row>
    <row r="38" ht="30.0" customHeight="1">
      <c r="A38" s="45" t="s">
        <v>308</v>
      </c>
      <c r="B38" s="45">
        <v>34.0</v>
      </c>
      <c r="C38" s="46" t="s">
        <v>16</v>
      </c>
      <c r="D38" s="46" t="s">
        <v>78</v>
      </c>
      <c r="E38" s="46" t="s">
        <v>161</v>
      </c>
      <c r="F38" s="46"/>
      <c r="G38" s="52" t="str">
        <f t="shared" si="1"/>
        <v>Вар.Кар </v>
      </c>
      <c r="H38" s="53" t="s">
        <v>1</v>
      </c>
      <c r="I38" s="18" t="str">
        <f>IFERROR(__xludf.DUMMYFUNCTION("""COMPUTED_VALUE"""),"Голубцы Картошка")</f>
        <v>Голубцы Картошка</v>
      </c>
      <c r="J38" s="18">
        <f>IFERROR(__xludf.DUMMYFUNCTION("""COMPUTED_VALUE"""),1.0)</f>
        <v>1</v>
      </c>
      <c r="K38" s="18" t="str">
        <f>IFERROR(__xludf.DUMMYFUNCTION("""COMPUTED_VALUE"""),"Олимп")</f>
        <v>Олимп</v>
      </c>
      <c r="L38" s="18"/>
      <c r="M38" s="18"/>
      <c r="N38" s="18"/>
      <c r="O38" s="54"/>
      <c r="P38" s="18"/>
      <c r="Q38" s="20"/>
      <c r="R38" s="20"/>
      <c r="S38" s="20"/>
      <c r="T38" s="20"/>
      <c r="U38" s="20"/>
      <c r="V38" s="20"/>
      <c r="W38" s="20"/>
      <c r="X38" s="20"/>
      <c r="Y38" s="20"/>
    </row>
    <row r="39" ht="30.0" customHeight="1">
      <c r="A39" s="45" t="s">
        <v>311</v>
      </c>
      <c r="B39" s="45">
        <v>35.0</v>
      </c>
      <c r="C39" s="46" t="s">
        <v>57</v>
      </c>
      <c r="D39" s="46" t="s">
        <v>78</v>
      </c>
      <c r="E39" s="46" t="s">
        <v>67</v>
      </c>
      <c r="F39" s="46" t="s">
        <v>122</v>
      </c>
      <c r="G39" s="52" t="str">
        <f t="shared" si="1"/>
        <v>Баса Туш. кап.</v>
      </c>
      <c r="H39" s="53" t="s">
        <v>1</v>
      </c>
      <c r="I39" s="18" t="str">
        <f>IFERROR(__xludf.DUMMYFUNCTION("""COMPUTED_VALUE"""),"Гуляш  FF")</f>
        <v>Гуляш  FF</v>
      </c>
      <c r="J39" s="18">
        <f>IFERROR(__xludf.DUMMYFUNCTION("""COMPUTED_VALUE"""),1.0)</f>
        <v>1</v>
      </c>
      <c r="K39" s="18" t="str">
        <f>IFERROR(__xludf.DUMMYFUNCTION("""COMPUTED_VALUE"""),"Олимп")</f>
        <v>Олимп</v>
      </c>
      <c r="L39" s="18"/>
      <c r="M39" s="18"/>
      <c r="N39" s="18"/>
      <c r="O39" s="54"/>
      <c r="P39" s="18"/>
      <c r="Q39" s="20"/>
      <c r="R39" s="20"/>
      <c r="S39" s="20"/>
      <c r="T39" s="20"/>
      <c r="U39" s="20"/>
      <c r="V39" s="20"/>
      <c r="W39" s="20"/>
      <c r="X39" s="20"/>
      <c r="Y39" s="20"/>
    </row>
    <row r="40" ht="30.0" customHeight="1">
      <c r="A40" s="45" t="s">
        <v>314</v>
      </c>
      <c r="B40" s="45">
        <v>36.0</v>
      </c>
      <c r="C40" s="46" t="s">
        <v>32</v>
      </c>
      <c r="D40" s="57" t="s">
        <v>65</v>
      </c>
      <c r="E40" s="46" t="s">
        <v>161</v>
      </c>
      <c r="F40" s="46" t="s">
        <v>127</v>
      </c>
      <c r="G40" s="52" t="str">
        <f t="shared" si="1"/>
        <v>Вар.Кар MP </v>
      </c>
      <c r="H40" s="53" t="s">
        <v>1</v>
      </c>
      <c r="I40" s="18" t="str">
        <f>IFERROR(__xludf.DUMMYFUNCTION("""COMPUTED_VALUE"""),"Гуляш Картошка")</f>
        <v>Гуляш Картошка</v>
      </c>
      <c r="J40" s="18">
        <f>IFERROR(__xludf.DUMMYFUNCTION("""COMPUTED_VALUE"""),1.0)</f>
        <v>1</v>
      </c>
      <c r="K40" s="18" t="str">
        <f>IFERROR(__xludf.DUMMYFUNCTION("""COMPUTED_VALUE"""),"Олимп")</f>
        <v>Олимп</v>
      </c>
      <c r="L40" s="18"/>
      <c r="M40" s="18"/>
      <c r="N40" s="18"/>
      <c r="O40" s="54"/>
      <c r="P40" s="18"/>
      <c r="Q40" s="20"/>
      <c r="R40" s="20"/>
      <c r="S40" s="20"/>
      <c r="T40" s="20"/>
      <c r="U40" s="20"/>
      <c r="V40" s="20"/>
      <c r="W40" s="20"/>
      <c r="X40" s="20"/>
      <c r="Y40" s="20"/>
    </row>
    <row r="41" ht="30.0" customHeight="1">
      <c r="A41" s="45" t="s">
        <v>316</v>
      </c>
      <c r="B41" s="45">
        <v>37.0</v>
      </c>
      <c r="C41" s="46" t="s">
        <v>57</v>
      </c>
      <c r="D41" s="46" t="s">
        <v>65</v>
      </c>
      <c r="E41" s="46" t="s">
        <v>209</v>
      </c>
      <c r="F41" s="46" t="s">
        <v>127</v>
      </c>
      <c r="G41" s="52" t="str">
        <f t="shared" si="1"/>
        <v>Шницель MP </v>
      </c>
      <c r="H41" s="53" t="s">
        <v>1</v>
      </c>
      <c r="I41" s="18" t="str">
        <f>IFERROR(__xludf.DUMMYFUNCTION("""COMPUTED_VALUE"""),"Гуляш Туш. кап.")</f>
        <v>Гуляш Туш. кап.</v>
      </c>
      <c r="J41" s="18">
        <f>IFERROR(__xludf.DUMMYFUNCTION("""COMPUTED_VALUE"""),1.0)</f>
        <v>1</v>
      </c>
      <c r="K41" s="18" t="str">
        <f>IFERROR(__xludf.DUMMYFUNCTION("""COMPUTED_VALUE"""),"Олимп")</f>
        <v>Олимп</v>
      </c>
      <c r="L41" s="18"/>
      <c r="M41" s="18"/>
      <c r="N41" s="18"/>
      <c r="O41" s="54"/>
      <c r="P41" s="18"/>
      <c r="Q41" s="20"/>
      <c r="R41" s="20"/>
      <c r="S41" s="20"/>
      <c r="T41" s="20"/>
      <c r="U41" s="20"/>
      <c r="V41" s="20"/>
      <c r="W41" s="20"/>
      <c r="X41" s="20"/>
      <c r="Y41" s="20"/>
    </row>
    <row r="42" ht="30.0" customHeight="1">
      <c r="A42" s="7" t="s">
        <v>319</v>
      </c>
      <c r="B42" s="45">
        <v>38.0</v>
      </c>
      <c r="C42" s="46" t="s">
        <v>47</v>
      </c>
      <c r="D42" s="46" t="s">
        <v>65</v>
      </c>
      <c r="E42" s="46" t="s">
        <v>187</v>
      </c>
      <c r="F42" s="46" t="s">
        <v>80</v>
      </c>
      <c r="G42" s="52" t="str">
        <f t="shared" si="1"/>
        <v>Котл. кур Гр  </v>
      </c>
      <c r="H42" s="53" t="s">
        <v>1</v>
      </c>
      <c r="I42" s="18" t="str">
        <f>IFERROR(__xludf.DUMMYFUNCTION("""COMPUTED_VALUE"""),"Дорадо  FF")</f>
        <v>Дорадо  FF</v>
      </c>
      <c r="J42" s="18">
        <f>IFERROR(__xludf.DUMMYFUNCTION("""COMPUTED_VALUE"""),1.0)</f>
        <v>1</v>
      </c>
      <c r="K42" s="18" t="str">
        <f>IFERROR(__xludf.DUMMYFUNCTION("""COMPUTED_VALUE"""),"Олимп")</f>
        <v>Олимп</v>
      </c>
      <c r="L42" s="18"/>
      <c r="M42" s="18"/>
      <c r="N42" s="18"/>
      <c r="O42" s="54"/>
      <c r="P42" s="18"/>
      <c r="Q42" s="20"/>
      <c r="R42" s="20"/>
      <c r="S42" s="20"/>
      <c r="T42" s="20"/>
      <c r="U42" s="20"/>
      <c r="V42" s="20"/>
      <c r="W42" s="20"/>
      <c r="X42" s="20"/>
      <c r="Y42" s="20"/>
    </row>
    <row r="43" ht="30.0" customHeight="1">
      <c r="A43" s="82" t="s">
        <v>321</v>
      </c>
      <c r="B43" s="45">
        <v>39.0</v>
      </c>
      <c r="C43" s="46" t="s">
        <v>55</v>
      </c>
      <c r="D43" s="46" t="s">
        <v>78</v>
      </c>
      <c r="E43" s="46" t="s">
        <v>79</v>
      </c>
      <c r="F43" s="46" t="s">
        <v>122</v>
      </c>
      <c r="G43" s="52" t="str">
        <f t="shared" si="1"/>
        <v>Чалахач Туш. кап.</v>
      </c>
      <c r="H43" s="53" t="s">
        <v>1</v>
      </c>
      <c r="I43" s="18" t="str">
        <f>IFERROR(__xludf.DUMMYFUNCTION("""COMPUTED_VALUE"""),"Дорадо Гр  ")</f>
        <v>Дорадо Гр  </v>
      </c>
      <c r="J43" s="18">
        <f>IFERROR(__xludf.DUMMYFUNCTION("""COMPUTED_VALUE"""),2.0)</f>
        <v>2</v>
      </c>
      <c r="K43" s="18" t="str">
        <f>IFERROR(__xludf.DUMMYFUNCTION("""COMPUTED_VALUE"""),"Олимп")</f>
        <v>Олимп</v>
      </c>
      <c r="L43" s="18"/>
      <c r="M43" s="18"/>
      <c r="N43" s="18"/>
      <c r="O43" s="54"/>
      <c r="P43" s="18"/>
      <c r="Q43" s="20"/>
      <c r="R43" s="20"/>
      <c r="S43" s="20"/>
      <c r="T43" s="20"/>
      <c r="U43" s="20"/>
      <c r="V43" s="20"/>
      <c r="W43" s="20"/>
      <c r="X43" s="20"/>
      <c r="Y43" s="20"/>
    </row>
    <row r="44" ht="30.0" customHeight="1">
      <c r="A44" s="82" t="s">
        <v>323</v>
      </c>
      <c r="B44" s="45">
        <v>40.0</v>
      </c>
      <c r="C44" s="46" t="s">
        <v>55</v>
      </c>
      <c r="D44" s="46" t="s">
        <v>105</v>
      </c>
      <c r="E44" s="46" t="s">
        <v>187</v>
      </c>
      <c r="F44" s="46"/>
      <c r="G44" s="52" t="str">
        <f t="shared" si="1"/>
        <v>Котл. кур </v>
      </c>
      <c r="H44" s="53" t="s">
        <v>1</v>
      </c>
      <c r="I44" s="18" t="str">
        <f>IFERROR(__xludf.DUMMYFUNCTION("""COMPUTED_VALUE"""),"Жульен MP ")</f>
        <v>Жульен MP </v>
      </c>
      <c r="J44" s="18">
        <f>IFERROR(__xludf.DUMMYFUNCTION("""COMPUTED_VALUE"""),1.0)</f>
        <v>1</v>
      </c>
      <c r="K44" s="18" t="str">
        <f>IFERROR(__xludf.DUMMYFUNCTION("""COMPUTED_VALUE"""),"Олимп")</f>
        <v>Олимп</v>
      </c>
      <c r="L44" s="18"/>
      <c r="M44" s="18"/>
      <c r="N44" s="18"/>
      <c r="O44" s="54"/>
      <c r="P44" s="18"/>
      <c r="Q44" s="20"/>
      <c r="R44" s="20"/>
      <c r="S44" s="20"/>
      <c r="T44" s="20"/>
      <c r="U44" s="20"/>
      <c r="V44" s="20"/>
      <c r="W44" s="20"/>
      <c r="X44" s="20"/>
      <c r="Y44" s="20"/>
    </row>
    <row r="45" ht="30.0" customHeight="1">
      <c r="A45" s="82" t="s">
        <v>327</v>
      </c>
      <c r="B45" s="45">
        <v>41.0</v>
      </c>
      <c r="C45" s="46" t="s">
        <v>55</v>
      </c>
      <c r="D45" s="46" t="s">
        <v>78</v>
      </c>
      <c r="E45" s="46" t="s">
        <v>112</v>
      </c>
      <c r="F45" s="46" t="s">
        <v>80</v>
      </c>
      <c r="G45" s="52" t="str">
        <f t="shared" si="1"/>
        <v>Поперечка Гр  </v>
      </c>
      <c r="H45" s="53" t="s">
        <v>1</v>
      </c>
      <c r="I45" s="18" t="str">
        <f>IFERROR(__xludf.DUMMYFUNCTION("""COMPUTED_VALUE"""),"Жульен Туш. кап.")</f>
        <v>Жульен Туш. кап.</v>
      </c>
      <c r="J45" s="18">
        <f>IFERROR(__xludf.DUMMYFUNCTION("""COMPUTED_VALUE"""),1.0)</f>
        <v>1</v>
      </c>
      <c r="K45" s="18" t="str">
        <f>IFERROR(__xludf.DUMMYFUNCTION("""COMPUTED_VALUE"""),"Олимп")</f>
        <v>Олимп</v>
      </c>
      <c r="L45" s="18"/>
      <c r="M45" s="18"/>
      <c r="N45" s="18"/>
      <c r="O45" s="54"/>
      <c r="P45" s="18"/>
      <c r="Q45" s="20"/>
      <c r="R45" s="20"/>
      <c r="S45" s="20"/>
      <c r="T45" s="20"/>
      <c r="U45" s="20"/>
      <c r="V45" s="20"/>
      <c r="W45" s="20"/>
      <c r="X45" s="20"/>
      <c r="Y45" s="20"/>
    </row>
    <row r="46" ht="30.0" customHeight="1">
      <c r="A46" s="7" t="s">
        <v>255</v>
      </c>
      <c r="B46" s="45">
        <v>42.0</v>
      </c>
      <c r="C46" s="46" t="s">
        <v>55</v>
      </c>
      <c r="D46" s="46" t="s">
        <v>87</v>
      </c>
      <c r="E46" s="46" t="s">
        <v>209</v>
      </c>
      <c r="F46" s="46" t="s">
        <v>276</v>
      </c>
      <c r="G46" s="52" t="str">
        <f t="shared" si="1"/>
        <v>Шницель Фасоль</v>
      </c>
      <c r="H46" s="53" t="s">
        <v>1</v>
      </c>
      <c r="I46" s="18" t="str">
        <f>IFERROR(__xludf.DUMMYFUNCTION("""COMPUTED_VALUE"""),"Котл. кур ")</f>
        <v>Котл. кур </v>
      </c>
      <c r="J46" s="18">
        <f>IFERROR(__xludf.DUMMYFUNCTION("""COMPUTED_VALUE"""),4.0)</f>
        <v>4</v>
      </c>
      <c r="K46" s="18" t="str">
        <f>IFERROR(__xludf.DUMMYFUNCTION("""COMPUTED_VALUE"""),"Олимп")</f>
        <v>Олимп</v>
      </c>
      <c r="L46" s="18"/>
      <c r="M46" s="18"/>
      <c r="N46" s="18"/>
      <c r="O46" s="54"/>
      <c r="P46" s="18"/>
      <c r="Q46" s="20"/>
      <c r="R46" s="20"/>
      <c r="S46" s="20"/>
      <c r="T46" s="20"/>
      <c r="U46" s="20"/>
      <c r="V46" s="20"/>
      <c r="W46" s="20"/>
      <c r="X46" s="20"/>
      <c r="Y46" s="20"/>
    </row>
    <row r="47" ht="30.0" customHeight="1">
      <c r="A47" s="45" t="s">
        <v>334</v>
      </c>
      <c r="B47" s="45">
        <v>43.0</v>
      </c>
      <c r="C47" s="46" t="s">
        <v>47</v>
      </c>
      <c r="D47" s="46" t="s">
        <v>87</v>
      </c>
      <c r="E47" s="46" t="s">
        <v>169</v>
      </c>
      <c r="F47" s="46" t="s">
        <v>113</v>
      </c>
      <c r="G47" s="52" t="str">
        <f t="shared" si="1"/>
        <v>Гуляш  FF</v>
      </c>
      <c r="H47" s="53" t="s">
        <v>1</v>
      </c>
      <c r="I47" s="18" t="str">
        <f>IFERROR(__xludf.DUMMYFUNCTION("""COMPUTED_VALUE"""),"Котл. кур Гр  ")</f>
        <v>Котл. кур Гр  </v>
      </c>
      <c r="J47" s="18">
        <f>IFERROR(__xludf.DUMMYFUNCTION("""COMPUTED_VALUE"""),3.0)</f>
        <v>3</v>
      </c>
      <c r="K47" s="18" t="str">
        <f>IFERROR(__xludf.DUMMYFUNCTION("""COMPUTED_VALUE"""),"Олимп")</f>
        <v>Олимп</v>
      </c>
      <c r="L47" s="18"/>
      <c r="M47" s="18"/>
      <c r="N47" s="18"/>
      <c r="O47" s="54"/>
      <c r="P47" s="18"/>
      <c r="Q47" s="20"/>
      <c r="R47" s="20"/>
      <c r="S47" s="20"/>
      <c r="T47" s="20"/>
      <c r="U47" s="20"/>
      <c r="V47" s="20"/>
      <c r="W47" s="20"/>
      <c r="X47" s="20"/>
      <c r="Y47" s="20"/>
    </row>
    <row r="48" ht="30.0" customHeight="1">
      <c r="A48" s="82" t="s">
        <v>338</v>
      </c>
      <c r="B48" s="45">
        <v>44.0</v>
      </c>
      <c r="C48" s="46" t="s">
        <v>47</v>
      </c>
      <c r="D48" s="46" t="s">
        <v>87</v>
      </c>
      <c r="E48" s="46" t="s">
        <v>191</v>
      </c>
      <c r="F48" s="46" t="s">
        <v>80</v>
      </c>
      <c r="G48" s="52" t="str">
        <f t="shared" si="1"/>
        <v>крылья Гр  </v>
      </c>
      <c r="H48" s="53" t="s">
        <v>1</v>
      </c>
      <c r="I48" s="18" t="str">
        <f>IFERROR(__xludf.DUMMYFUNCTION("""COMPUTED_VALUE"""),"Котл. кур Картошка")</f>
        <v>Котл. кур Картошка</v>
      </c>
      <c r="J48" s="18">
        <f>IFERROR(__xludf.DUMMYFUNCTION("""COMPUTED_VALUE"""),1.0)</f>
        <v>1</v>
      </c>
      <c r="K48" s="18" t="str">
        <f>IFERROR(__xludf.DUMMYFUNCTION("""COMPUTED_VALUE"""),"Олимп")</f>
        <v>Олимп</v>
      </c>
      <c r="L48" s="18"/>
      <c r="M48" s="18"/>
      <c r="N48" s="18"/>
      <c r="O48" s="54"/>
      <c r="P48" s="18"/>
      <c r="Q48" s="20"/>
      <c r="R48" s="20"/>
      <c r="S48" s="20"/>
      <c r="T48" s="20"/>
      <c r="U48" s="20"/>
      <c r="V48" s="20"/>
      <c r="W48" s="20"/>
      <c r="X48" s="20"/>
      <c r="Y48" s="20"/>
    </row>
    <row r="49" ht="30.0" customHeight="1">
      <c r="A49" s="82" t="s">
        <v>339</v>
      </c>
      <c r="B49" s="45">
        <v>45.0</v>
      </c>
      <c r="C49" s="46" t="s">
        <v>16</v>
      </c>
      <c r="D49" s="46" t="s">
        <v>78</v>
      </c>
      <c r="E49" s="46" t="s">
        <v>191</v>
      </c>
      <c r="F49" s="46" t="s">
        <v>80</v>
      </c>
      <c r="G49" s="52" t="str">
        <f t="shared" si="1"/>
        <v>крылья Гр  </v>
      </c>
      <c r="H49" s="53" t="s">
        <v>1</v>
      </c>
      <c r="I49" s="18" t="str">
        <f>IFERROR(__xludf.DUMMYFUNCTION("""COMPUTED_VALUE"""),"Котл. кур Туш. кап.")</f>
        <v>Котл. кур Туш. кап.</v>
      </c>
      <c r="J49" s="18">
        <f>IFERROR(__xludf.DUMMYFUNCTION("""COMPUTED_VALUE"""),1.0)</f>
        <v>1</v>
      </c>
      <c r="K49" s="18" t="str">
        <f>IFERROR(__xludf.DUMMYFUNCTION("""COMPUTED_VALUE"""),"Олимп")</f>
        <v>Олимп</v>
      </c>
      <c r="L49" s="18"/>
      <c r="M49" s="18"/>
      <c r="N49" s="18"/>
      <c r="O49" s="54"/>
      <c r="P49" s="18"/>
      <c r="Q49" s="20"/>
      <c r="R49" s="20"/>
      <c r="S49" s="20"/>
      <c r="T49" s="20"/>
      <c r="U49" s="20"/>
      <c r="V49" s="20"/>
      <c r="W49" s="20"/>
      <c r="X49" s="20"/>
      <c r="Y49" s="20"/>
    </row>
    <row r="50" ht="30.0" customHeight="1">
      <c r="A50" s="82" t="s">
        <v>341</v>
      </c>
      <c r="B50" s="45">
        <v>46.0</v>
      </c>
      <c r="C50" s="46" t="s">
        <v>57</v>
      </c>
      <c r="D50" s="46" t="s">
        <v>105</v>
      </c>
      <c r="E50" s="46" t="s">
        <v>79</v>
      </c>
      <c r="F50" s="46" t="s">
        <v>80</v>
      </c>
      <c r="G50" s="52" t="str">
        <f t="shared" si="1"/>
        <v>Чалахач Гр  </v>
      </c>
      <c r="H50" s="53" t="s">
        <v>1</v>
      </c>
      <c r="I50" s="18" t="str">
        <f>IFERROR(__xludf.DUMMYFUNCTION("""COMPUTED_VALUE"""),"Пельмени ")</f>
        <v>Пельмени </v>
      </c>
      <c r="J50" s="18">
        <f>IFERROR(__xludf.DUMMYFUNCTION("""COMPUTED_VALUE"""),1.0)</f>
        <v>1</v>
      </c>
      <c r="K50" s="18" t="str">
        <f>IFERROR(__xludf.DUMMYFUNCTION("""COMPUTED_VALUE"""),"Олимп")</f>
        <v>Олимп</v>
      </c>
      <c r="L50" s="18"/>
      <c r="M50" s="18"/>
      <c r="N50" s="18"/>
      <c r="O50" s="54"/>
      <c r="P50" s="18"/>
      <c r="Q50" s="20"/>
      <c r="R50" s="20"/>
      <c r="S50" s="20"/>
      <c r="T50" s="20"/>
      <c r="U50" s="20"/>
      <c r="V50" s="20"/>
      <c r="W50" s="20"/>
      <c r="X50" s="20"/>
      <c r="Y50" s="20"/>
    </row>
    <row r="51" ht="30.0" customHeight="1">
      <c r="A51" s="45" t="s">
        <v>342</v>
      </c>
      <c r="B51" s="45">
        <v>47.0</v>
      </c>
      <c r="C51" s="46" t="s">
        <v>16</v>
      </c>
      <c r="D51" s="46" t="s">
        <v>105</v>
      </c>
      <c r="E51" s="46" t="s">
        <v>126</v>
      </c>
      <c r="F51" s="46" t="s">
        <v>127</v>
      </c>
      <c r="G51" s="52" t="str">
        <f t="shared" si="1"/>
        <v>S   MP </v>
      </c>
      <c r="H51" s="53" t="s">
        <v>1</v>
      </c>
      <c r="I51" s="18" t="str">
        <f>IFERROR(__xludf.DUMMYFUNCTION("""COMPUTED_VALUE"""),"Пельмени Картошка")</f>
        <v>Пельмени Картошка</v>
      </c>
      <c r="J51" s="18">
        <f>IFERROR(__xludf.DUMMYFUNCTION("""COMPUTED_VALUE"""),1.0)</f>
        <v>1</v>
      </c>
      <c r="K51" s="18" t="str">
        <f>IFERROR(__xludf.DUMMYFUNCTION("""COMPUTED_VALUE"""),"Олимп")</f>
        <v>Олимп</v>
      </c>
      <c r="L51" s="18"/>
      <c r="M51" s="18"/>
      <c r="N51" s="18"/>
      <c r="O51" s="54"/>
      <c r="P51" s="18"/>
      <c r="Q51" s="20"/>
      <c r="R51" s="20"/>
      <c r="S51" s="20"/>
      <c r="T51" s="20"/>
      <c r="U51" s="20"/>
      <c r="V51" s="20"/>
      <c r="W51" s="20"/>
      <c r="X51" s="20"/>
      <c r="Y51" s="20"/>
    </row>
    <row r="52" ht="30.0" customHeight="1">
      <c r="A52" s="82" t="s">
        <v>344</v>
      </c>
      <c r="B52" s="45">
        <v>48.0</v>
      </c>
      <c r="C52" s="46"/>
      <c r="D52" s="46" t="s">
        <v>78</v>
      </c>
      <c r="E52" s="46" t="s">
        <v>191</v>
      </c>
      <c r="F52" s="46" t="s">
        <v>113</v>
      </c>
      <c r="G52" s="52" t="str">
        <f t="shared" si="1"/>
        <v>крылья  FF</v>
      </c>
      <c r="H52" s="53" t="s">
        <v>1</v>
      </c>
      <c r="I52" s="18" t="str">
        <f>IFERROR(__xludf.DUMMYFUNCTION("""COMPUTED_VALUE"""),"Поперечка  FF")</f>
        <v>Поперечка  FF</v>
      </c>
      <c r="J52" s="18">
        <f>IFERROR(__xludf.DUMMYFUNCTION("""COMPUTED_VALUE"""),1.0)</f>
        <v>1</v>
      </c>
      <c r="K52" s="18" t="str">
        <f>IFERROR(__xludf.DUMMYFUNCTION("""COMPUTED_VALUE"""),"Олимп")</f>
        <v>Олимп</v>
      </c>
      <c r="L52" s="18"/>
      <c r="M52" s="18"/>
      <c r="N52" s="18"/>
      <c r="O52" s="54"/>
      <c r="P52" s="18"/>
      <c r="Q52" s="20"/>
      <c r="R52" s="20"/>
      <c r="S52" s="20"/>
      <c r="T52" s="20"/>
      <c r="U52" s="20"/>
      <c r="V52" s="20"/>
      <c r="W52" s="20"/>
      <c r="X52" s="20"/>
      <c r="Y52" s="20"/>
    </row>
    <row r="53" ht="30.0" customHeight="1">
      <c r="A53" s="81" t="s">
        <v>345</v>
      </c>
      <c r="B53" s="45">
        <v>49.0</v>
      </c>
      <c r="C53" s="46" t="s">
        <v>16</v>
      </c>
      <c r="D53" s="46" t="s">
        <v>65</v>
      </c>
      <c r="E53" s="46" t="s">
        <v>67</v>
      </c>
      <c r="F53" s="46" t="s">
        <v>122</v>
      </c>
      <c r="G53" s="52" t="str">
        <f t="shared" si="1"/>
        <v>Баса Туш. кап.</v>
      </c>
      <c r="H53" s="53" t="s">
        <v>1</v>
      </c>
      <c r="I53" s="18" t="str">
        <f>IFERROR(__xludf.DUMMYFUNCTION("""COMPUTED_VALUE"""),"Поперечка Гр  ")</f>
        <v>Поперечка Гр  </v>
      </c>
      <c r="J53" s="18">
        <f>IFERROR(__xludf.DUMMYFUNCTION("""COMPUTED_VALUE"""),2.0)</f>
        <v>2</v>
      </c>
      <c r="K53" s="18" t="str">
        <f>IFERROR(__xludf.DUMMYFUNCTION("""COMPUTED_VALUE"""),"Олимп")</f>
        <v>Олимп</v>
      </c>
      <c r="L53" s="18"/>
      <c r="M53" s="18"/>
      <c r="N53" s="18"/>
      <c r="O53" s="54"/>
      <c r="P53" s="18"/>
      <c r="Q53" s="20"/>
      <c r="R53" s="20"/>
      <c r="S53" s="20"/>
      <c r="T53" s="20"/>
      <c r="U53" s="20"/>
      <c r="V53" s="20"/>
      <c r="W53" s="20"/>
      <c r="X53" s="20"/>
      <c r="Y53" s="20"/>
    </row>
    <row r="54" ht="30.0" customHeight="1">
      <c r="A54" s="82" t="s">
        <v>347</v>
      </c>
      <c r="B54" s="45">
        <v>50.0</v>
      </c>
      <c r="C54" s="46" t="s">
        <v>16</v>
      </c>
      <c r="D54" s="46" t="s">
        <v>78</v>
      </c>
      <c r="E54" s="46" t="s">
        <v>209</v>
      </c>
      <c r="F54" s="46" t="s">
        <v>98</v>
      </c>
      <c r="G54" s="52" t="str">
        <f t="shared" si="1"/>
        <v>Шницель Картошка</v>
      </c>
      <c r="H54" s="53" t="s">
        <v>1</v>
      </c>
      <c r="I54" s="18" t="str">
        <f>IFERROR(__xludf.DUMMYFUNCTION("""COMPUTED_VALUE"""),"Поперечка Туш. кап.")</f>
        <v>Поперечка Туш. кап.</v>
      </c>
      <c r="J54" s="18">
        <f>IFERROR(__xludf.DUMMYFUNCTION("""COMPUTED_VALUE"""),1.0)</f>
        <v>1</v>
      </c>
      <c r="K54" s="18" t="str">
        <f>IFERROR(__xludf.DUMMYFUNCTION("""COMPUTED_VALUE"""),"Олимп")</f>
        <v>Олимп</v>
      </c>
      <c r="L54" s="18"/>
      <c r="M54" s="18"/>
      <c r="N54" s="18"/>
      <c r="O54" s="54"/>
      <c r="P54" s="18"/>
      <c r="Q54" s="20"/>
      <c r="R54" s="20"/>
      <c r="S54" s="20"/>
      <c r="T54" s="20"/>
      <c r="U54" s="20"/>
      <c r="V54" s="20"/>
      <c r="W54" s="20"/>
      <c r="X54" s="20"/>
      <c r="Y54" s="20"/>
    </row>
    <row r="55" ht="30.0" customHeight="1">
      <c r="A55" s="82" t="s">
        <v>349</v>
      </c>
      <c r="B55" s="45">
        <v>51.0</v>
      </c>
      <c r="C55" s="46" t="s">
        <v>23</v>
      </c>
      <c r="D55" s="46" t="s">
        <v>105</v>
      </c>
      <c r="E55" s="46" t="s">
        <v>211</v>
      </c>
      <c r="F55" s="46" t="s">
        <v>122</v>
      </c>
      <c r="G55" s="52" t="str">
        <f t="shared" si="1"/>
        <v>табака  Туш. кап.</v>
      </c>
      <c r="H55" s="53" t="s">
        <v>1</v>
      </c>
      <c r="I55" s="18" t="str">
        <f>IFERROR(__xludf.DUMMYFUNCTION("""COMPUTED_VALUE"""),"Терияки Картошка")</f>
        <v>Терияки Картошка</v>
      </c>
      <c r="J55" s="18">
        <f>IFERROR(__xludf.DUMMYFUNCTION("""COMPUTED_VALUE"""),1.0)</f>
        <v>1</v>
      </c>
      <c r="K55" s="18" t="str">
        <f>IFERROR(__xludf.DUMMYFUNCTION("""COMPUTED_VALUE"""),"Олимп")</f>
        <v>Олимп</v>
      </c>
      <c r="L55" s="18"/>
      <c r="M55" s="18"/>
      <c r="N55" s="18"/>
      <c r="O55" s="54"/>
      <c r="P55" s="18"/>
      <c r="Q55" s="20"/>
      <c r="R55" s="20"/>
      <c r="S55" s="20"/>
      <c r="T55" s="20"/>
      <c r="U55" s="20"/>
      <c r="V55" s="20"/>
      <c r="W55" s="20"/>
      <c r="X55" s="20"/>
      <c r="Y55" s="20"/>
    </row>
    <row r="56" ht="30.0" customHeight="1">
      <c r="A56" s="81" t="s">
        <v>350</v>
      </c>
      <c r="B56" s="45">
        <v>52.0</v>
      </c>
      <c r="C56" s="46" t="s">
        <v>5</v>
      </c>
      <c r="D56" s="46" t="s">
        <v>87</v>
      </c>
      <c r="E56" s="46" t="s">
        <v>209</v>
      </c>
      <c r="F56" s="46" t="s">
        <v>122</v>
      </c>
      <c r="G56" s="52" t="str">
        <f t="shared" si="1"/>
        <v>Шницель Туш. кап.</v>
      </c>
      <c r="H56" s="53" t="s">
        <v>1</v>
      </c>
      <c r="I56" s="18" t="str">
        <f>IFERROR(__xludf.DUMMYFUNCTION("""COMPUTED_VALUE"""),"Чалахач ")</f>
        <v>Чалахач </v>
      </c>
      <c r="J56" s="18">
        <f>IFERROR(__xludf.DUMMYFUNCTION("""COMPUTED_VALUE"""),2.0)</f>
        <v>2</v>
      </c>
      <c r="K56" s="18" t="str">
        <f>IFERROR(__xludf.DUMMYFUNCTION("""COMPUTED_VALUE"""),"Олимп")</f>
        <v>Олимп</v>
      </c>
      <c r="L56" s="18"/>
      <c r="M56" s="18"/>
      <c r="N56" s="18"/>
      <c r="O56" s="54"/>
      <c r="P56" s="18"/>
      <c r="Q56" s="20"/>
      <c r="R56" s="20"/>
      <c r="S56" s="20"/>
      <c r="T56" s="20"/>
      <c r="U56" s="20"/>
      <c r="V56" s="20"/>
      <c r="W56" s="20"/>
      <c r="X56" s="20"/>
      <c r="Y56" s="20"/>
    </row>
    <row r="57" ht="30.0" customHeight="1">
      <c r="A57" s="82" t="s">
        <v>353</v>
      </c>
      <c r="B57" s="45">
        <v>53.0</v>
      </c>
      <c r="C57" s="46" t="s">
        <v>5</v>
      </c>
      <c r="D57" s="46" t="s">
        <v>105</v>
      </c>
      <c r="E57" s="46" t="s">
        <v>79</v>
      </c>
      <c r="F57" s="46"/>
      <c r="G57" s="52" t="str">
        <f t="shared" si="1"/>
        <v>Чалахач </v>
      </c>
      <c r="H57" s="53" t="s">
        <v>1</v>
      </c>
      <c r="I57" s="18" t="str">
        <f>IFERROR(__xludf.DUMMYFUNCTION("""COMPUTED_VALUE"""),"Чалахач Гр  ")</f>
        <v>Чалахач Гр  </v>
      </c>
      <c r="J57" s="18">
        <f>IFERROR(__xludf.DUMMYFUNCTION("""COMPUTED_VALUE"""),2.0)</f>
        <v>2</v>
      </c>
      <c r="K57" s="18" t="str">
        <f>IFERROR(__xludf.DUMMYFUNCTION("""COMPUTED_VALUE"""),"Олимп")</f>
        <v>Олимп</v>
      </c>
      <c r="L57" s="18"/>
      <c r="M57" s="18"/>
      <c r="N57" s="18"/>
      <c r="O57" s="54"/>
      <c r="P57" s="18"/>
      <c r="Q57" s="20"/>
      <c r="R57" s="20"/>
      <c r="S57" s="20"/>
      <c r="T57" s="20"/>
      <c r="U57" s="20"/>
      <c r="V57" s="20"/>
      <c r="W57" s="20"/>
      <c r="X57" s="20"/>
      <c r="Y57" s="20"/>
    </row>
    <row r="58" ht="30.0" customHeight="1">
      <c r="A58" s="81" t="s">
        <v>354</v>
      </c>
      <c r="B58" s="45">
        <v>54.0</v>
      </c>
      <c r="C58" s="46" t="s">
        <v>16</v>
      </c>
      <c r="D58" s="46" t="s">
        <v>95</v>
      </c>
      <c r="E58" s="46" t="s">
        <v>126</v>
      </c>
      <c r="F58" s="46" t="s">
        <v>276</v>
      </c>
      <c r="G58" s="52" t="str">
        <f t="shared" si="1"/>
        <v>S   Фасоль</v>
      </c>
      <c r="H58" s="53" t="s">
        <v>1</v>
      </c>
      <c r="I58" s="18" t="str">
        <f>IFERROR(__xludf.DUMMYFUNCTION("""COMPUTED_VALUE"""),"Чалахач Туш. кап.")</f>
        <v>Чалахач Туш. кап.</v>
      </c>
      <c r="J58" s="18">
        <f>IFERROR(__xludf.DUMMYFUNCTION("""COMPUTED_VALUE"""),3.0)</f>
        <v>3</v>
      </c>
      <c r="K58" s="18" t="str">
        <f>IFERROR(__xludf.DUMMYFUNCTION("""COMPUTED_VALUE"""),"Олимп")</f>
        <v>Олимп</v>
      </c>
      <c r="L58" s="18"/>
      <c r="M58" s="18"/>
      <c r="N58" s="18"/>
      <c r="O58" s="54"/>
      <c r="P58" s="18"/>
      <c r="Q58" s="20"/>
      <c r="R58" s="20"/>
      <c r="S58" s="20"/>
      <c r="T58" s="20"/>
      <c r="U58" s="20"/>
      <c r="V58" s="20"/>
      <c r="W58" s="20"/>
      <c r="X58" s="20"/>
      <c r="Y58" s="20"/>
    </row>
    <row r="59" ht="30.0" customHeight="1">
      <c r="A59" s="81" t="s">
        <v>357</v>
      </c>
      <c r="B59" s="45">
        <v>55.0</v>
      </c>
      <c r="C59" s="46" t="s">
        <v>23</v>
      </c>
      <c r="D59" s="46" t="s">
        <v>85</v>
      </c>
      <c r="E59" s="46" t="s">
        <v>165</v>
      </c>
      <c r="F59" s="46"/>
      <c r="G59" s="52" t="str">
        <f t="shared" si="1"/>
        <v>Пельмени </v>
      </c>
      <c r="H59" s="53" t="s">
        <v>1</v>
      </c>
      <c r="I59" s="18" t="str">
        <f>IFERROR(__xludf.DUMMYFUNCTION("""COMPUTED_VALUE"""),"Шницель MP ")</f>
        <v>Шницель MP </v>
      </c>
      <c r="J59" s="18">
        <f>IFERROR(__xludf.DUMMYFUNCTION("""COMPUTED_VALUE"""),1.0)</f>
        <v>1</v>
      </c>
      <c r="K59" s="18" t="str">
        <f>IFERROR(__xludf.DUMMYFUNCTION("""COMPUTED_VALUE"""),"Олимп")</f>
        <v>Олимп</v>
      </c>
      <c r="L59" s="18"/>
      <c r="M59" s="18"/>
      <c r="N59" s="18"/>
      <c r="O59" s="54"/>
      <c r="P59" s="18"/>
      <c r="Q59" s="20"/>
      <c r="R59" s="20"/>
      <c r="S59" s="20"/>
      <c r="T59" s="20"/>
      <c r="U59" s="20"/>
      <c r="V59" s="20"/>
      <c r="W59" s="20"/>
      <c r="X59" s="20"/>
      <c r="Y59" s="20"/>
    </row>
    <row r="60" ht="30.0" customHeight="1">
      <c r="A60" s="81" t="s">
        <v>358</v>
      </c>
      <c r="B60" s="45">
        <v>56.0</v>
      </c>
      <c r="C60" s="46" t="s">
        <v>62</v>
      </c>
      <c r="D60" s="46" t="s">
        <v>78</v>
      </c>
      <c r="E60" s="46" t="s">
        <v>187</v>
      </c>
      <c r="F60" s="46"/>
      <c r="G60" s="52" t="str">
        <f t="shared" si="1"/>
        <v>Котл. кур </v>
      </c>
      <c r="H60" s="53" t="s">
        <v>1</v>
      </c>
      <c r="I60" s="18" t="str">
        <f>IFERROR(__xludf.DUMMYFUNCTION("""COMPUTED_VALUE"""),"Шницель Гр  ")</f>
        <v>Шницель Гр  </v>
      </c>
      <c r="J60" s="18">
        <f>IFERROR(__xludf.DUMMYFUNCTION("""COMPUTED_VALUE"""),1.0)</f>
        <v>1</v>
      </c>
      <c r="K60" s="18" t="str">
        <f>IFERROR(__xludf.DUMMYFUNCTION("""COMPUTED_VALUE"""),"Олимп")</f>
        <v>Олимп</v>
      </c>
      <c r="L60" s="18"/>
      <c r="M60" s="18"/>
      <c r="N60" s="18"/>
      <c r="O60" s="54"/>
      <c r="P60" s="18"/>
      <c r="Q60" s="20"/>
      <c r="R60" s="20"/>
      <c r="S60" s="20"/>
      <c r="T60" s="20"/>
      <c r="U60" s="20"/>
      <c r="V60" s="20"/>
      <c r="W60" s="20"/>
      <c r="X60" s="20"/>
      <c r="Y60" s="20"/>
    </row>
    <row r="61" ht="30.0" customHeight="1">
      <c r="A61" s="82" t="s">
        <v>360</v>
      </c>
      <c r="B61" s="45">
        <v>57.0</v>
      </c>
      <c r="C61" s="46" t="s">
        <v>62</v>
      </c>
      <c r="D61" s="46" t="s">
        <v>65</v>
      </c>
      <c r="E61" s="46" t="s">
        <v>67</v>
      </c>
      <c r="F61" s="46" t="s">
        <v>113</v>
      </c>
      <c r="G61" s="52" t="str">
        <f t="shared" si="1"/>
        <v>Баса  FF</v>
      </c>
      <c r="H61" s="53" t="s">
        <v>1</v>
      </c>
      <c r="I61" s="18" t="str">
        <f>IFERROR(__xludf.DUMMYFUNCTION("""COMPUTED_VALUE"""),"Шницель Картошка")</f>
        <v>Шницель Картошка</v>
      </c>
      <c r="J61" s="18">
        <f>IFERROR(__xludf.DUMMYFUNCTION("""COMPUTED_VALUE"""),1.0)</f>
        <v>1</v>
      </c>
      <c r="K61" s="18" t="str">
        <f>IFERROR(__xludf.DUMMYFUNCTION("""COMPUTED_VALUE"""),"Олимп")</f>
        <v>Олимп</v>
      </c>
      <c r="L61" s="18"/>
      <c r="M61" s="18"/>
      <c r="N61" s="18"/>
      <c r="O61" s="54"/>
      <c r="P61" s="18"/>
      <c r="Q61" s="20"/>
      <c r="R61" s="20"/>
      <c r="S61" s="20"/>
      <c r="T61" s="20"/>
      <c r="U61" s="20"/>
      <c r="V61" s="20"/>
      <c r="W61" s="20"/>
      <c r="X61" s="20"/>
      <c r="Y61" s="20"/>
    </row>
    <row r="62" ht="30.0" customHeight="1">
      <c r="A62" s="7" t="s">
        <v>362</v>
      </c>
      <c r="B62" s="45">
        <v>58.0</v>
      </c>
      <c r="C62" s="46" t="s">
        <v>16</v>
      </c>
      <c r="D62" s="46" t="s">
        <v>105</v>
      </c>
      <c r="E62" s="57" t="s">
        <v>211</v>
      </c>
      <c r="F62" s="57" t="s">
        <v>127</v>
      </c>
      <c r="G62" s="52" t="str">
        <f t="shared" si="1"/>
        <v>табака  MP </v>
      </c>
      <c r="H62" s="53" t="s">
        <v>1</v>
      </c>
      <c r="I62" s="18" t="str">
        <f>IFERROR(__xludf.DUMMYFUNCTION("""COMPUTED_VALUE"""),"Шницель Туш. кап.")</f>
        <v>Шницель Туш. кап.</v>
      </c>
      <c r="J62" s="18">
        <f>IFERROR(__xludf.DUMMYFUNCTION("""COMPUTED_VALUE"""),1.0)</f>
        <v>1</v>
      </c>
      <c r="K62" s="18" t="str">
        <f>IFERROR(__xludf.DUMMYFUNCTION("""COMPUTED_VALUE"""),"Олимп")</f>
        <v>Олимп</v>
      </c>
      <c r="L62" s="18"/>
      <c r="M62" s="18"/>
      <c r="N62" s="18"/>
      <c r="O62" s="54"/>
      <c r="P62" s="18"/>
      <c r="Q62" s="20"/>
      <c r="R62" s="20"/>
      <c r="S62" s="20"/>
      <c r="T62" s="20"/>
      <c r="U62" s="20"/>
      <c r="V62" s="20"/>
      <c r="W62" s="20"/>
      <c r="X62" s="20"/>
      <c r="Y62" s="20"/>
    </row>
    <row r="63" ht="30.0" customHeight="1">
      <c r="A63" s="7" t="s">
        <v>363</v>
      </c>
      <c r="B63" s="45">
        <v>59.0</v>
      </c>
      <c r="C63" s="46" t="s">
        <v>62</v>
      </c>
      <c r="D63" s="46" t="s">
        <v>78</v>
      </c>
      <c r="E63" s="46" t="s">
        <v>79</v>
      </c>
      <c r="F63" s="46" t="s">
        <v>122</v>
      </c>
      <c r="G63" s="52" t="str">
        <f t="shared" si="1"/>
        <v>Чалахач Туш. кап.</v>
      </c>
      <c r="H63" s="53" t="s">
        <v>1</v>
      </c>
      <c r="I63" s="18" t="str">
        <f>IFERROR(__xludf.DUMMYFUNCTION("""COMPUTED_VALUE"""),"Шницель Фасоль")</f>
        <v>Шницель Фасоль</v>
      </c>
      <c r="J63" s="18">
        <f>IFERROR(__xludf.DUMMYFUNCTION("""COMPUTED_VALUE"""),1.0)</f>
        <v>1</v>
      </c>
      <c r="K63" s="18" t="str">
        <f>IFERROR(__xludf.DUMMYFUNCTION("""COMPUTED_VALUE"""),"Олимп")</f>
        <v>Олимп</v>
      </c>
      <c r="L63" s="18"/>
      <c r="M63" s="18"/>
      <c r="N63" s="18"/>
      <c r="O63" s="54"/>
      <c r="P63" s="18"/>
      <c r="Q63" s="20"/>
      <c r="R63" s="20"/>
      <c r="S63" s="20"/>
      <c r="T63" s="20"/>
      <c r="U63" s="20"/>
      <c r="V63" s="20"/>
      <c r="W63" s="20"/>
      <c r="X63" s="20"/>
      <c r="Y63" s="20"/>
    </row>
    <row r="64" ht="30.0" customHeight="1">
      <c r="A64" s="82" t="s">
        <v>366</v>
      </c>
      <c r="B64" s="45">
        <v>60.0</v>
      </c>
      <c r="C64" s="46" t="s">
        <v>16</v>
      </c>
      <c r="D64" s="46" t="s">
        <v>65</v>
      </c>
      <c r="E64" s="46" t="s">
        <v>187</v>
      </c>
      <c r="F64" s="46"/>
      <c r="G64" s="52" t="str">
        <f t="shared" si="1"/>
        <v>Котл. кур </v>
      </c>
      <c r="H64" s="53" t="s">
        <v>1</v>
      </c>
      <c r="I64" s="18" t="str">
        <f>IFERROR(__xludf.DUMMYFUNCTION("""COMPUTED_VALUE"""),"крылья ")</f>
        <v>крылья </v>
      </c>
      <c r="J64" s="18">
        <f>IFERROR(__xludf.DUMMYFUNCTION("""COMPUTED_VALUE"""),2.0)</f>
        <v>2</v>
      </c>
      <c r="K64" s="18" t="str">
        <f>IFERROR(__xludf.DUMMYFUNCTION("""COMPUTED_VALUE"""),"Олимп")</f>
        <v>Олимп</v>
      </c>
      <c r="L64" s="18"/>
      <c r="M64" s="18"/>
      <c r="N64" s="18"/>
      <c r="O64" s="54"/>
      <c r="P64" s="18"/>
      <c r="Q64" s="20"/>
      <c r="R64" s="20"/>
      <c r="S64" s="20"/>
      <c r="T64" s="20"/>
      <c r="U64" s="20"/>
      <c r="V64" s="20"/>
      <c r="W64" s="20"/>
      <c r="X64" s="20"/>
      <c r="Y64" s="20"/>
    </row>
    <row r="65" ht="30.0" customHeight="1">
      <c r="A65" s="7" t="s">
        <v>368</v>
      </c>
      <c r="B65" s="45">
        <v>61.0</v>
      </c>
      <c r="C65" s="46" t="s">
        <v>16</v>
      </c>
      <c r="D65" s="46" t="s">
        <v>105</v>
      </c>
      <c r="E65" s="46" t="s">
        <v>150</v>
      </c>
      <c r="F65" s="46"/>
      <c r="G65" s="52" t="str">
        <f t="shared" si="1"/>
        <v>Бл. мясо </v>
      </c>
      <c r="H65" s="53" t="s">
        <v>1</v>
      </c>
      <c r="I65" s="18" t="str">
        <f>IFERROR(__xludf.DUMMYFUNCTION("""COMPUTED_VALUE"""),"крылья  FF")</f>
        <v>крылья  FF</v>
      </c>
      <c r="J65" s="18">
        <f>IFERROR(__xludf.DUMMYFUNCTION("""COMPUTED_VALUE"""),1.0)</f>
        <v>1</v>
      </c>
      <c r="K65" s="18" t="str">
        <f>IFERROR(__xludf.DUMMYFUNCTION("""COMPUTED_VALUE"""),"Олимп")</f>
        <v>Олимп</v>
      </c>
      <c r="L65" s="18"/>
      <c r="M65" s="18"/>
      <c r="N65" s="18"/>
      <c r="O65" s="54"/>
      <c r="P65" s="18"/>
      <c r="Q65" s="20"/>
      <c r="R65" s="20"/>
      <c r="S65" s="20"/>
      <c r="T65" s="20"/>
      <c r="U65" s="20"/>
      <c r="V65" s="20"/>
      <c r="W65" s="20"/>
      <c r="X65" s="20"/>
      <c r="Y65" s="20"/>
    </row>
    <row r="66" ht="30.0" customHeight="1">
      <c r="A66" s="82" t="s">
        <v>372</v>
      </c>
      <c r="B66" s="45">
        <v>62.0</v>
      </c>
      <c r="C66" s="46" t="s">
        <v>55</v>
      </c>
      <c r="D66" s="46" t="s">
        <v>87</v>
      </c>
      <c r="E66" s="46" t="s">
        <v>126</v>
      </c>
      <c r="F66" s="15"/>
      <c r="G66" s="52" t="str">
        <f t="shared" si="1"/>
        <v>S   </v>
      </c>
      <c r="H66" s="53" t="s">
        <v>1</v>
      </c>
      <c r="I66" s="18" t="str">
        <f>IFERROR(__xludf.DUMMYFUNCTION("""COMPUTED_VALUE"""),"крылья MP ")</f>
        <v>крылья MP </v>
      </c>
      <c r="J66" s="18">
        <f>IFERROR(__xludf.DUMMYFUNCTION("""COMPUTED_VALUE"""),1.0)</f>
        <v>1</v>
      </c>
      <c r="K66" s="18" t="str">
        <f>IFERROR(__xludf.DUMMYFUNCTION("""COMPUTED_VALUE"""),"Олимп")</f>
        <v>Олимп</v>
      </c>
      <c r="L66" s="18"/>
      <c r="M66" s="18"/>
      <c r="N66" s="18"/>
      <c r="O66" s="54"/>
      <c r="P66" s="18"/>
      <c r="Q66" s="20"/>
      <c r="R66" s="20"/>
      <c r="S66" s="20"/>
      <c r="T66" s="20"/>
      <c r="U66" s="20"/>
      <c r="V66" s="20"/>
      <c r="W66" s="20"/>
      <c r="X66" s="20"/>
      <c r="Y66" s="20"/>
    </row>
    <row r="67" ht="30.0" customHeight="1">
      <c r="A67" s="81" t="s">
        <v>375</v>
      </c>
      <c r="B67" s="45">
        <v>63.0</v>
      </c>
      <c r="C67" s="46" t="s">
        <v>16</v>
      </c>
      <c r="D67" s="46" t="s">
        <v>87</v>
      </c>
      <c r="E67" s="46" t="s">
        <v>191</v>
      </c>
      <c r="F67" s="15"/>
      <c r="G67" s="52" t="str">
        <f t="shared" si="1"/>
        <v>крылья </v>
      </c>
      <c r="H67" s="53" t="s">
        <v>1</v>
      </c>
      <c r="I67" s="18" t="str">
        <f>IFERROR(__xludf.DUMMYFUNCTION("""COMPUTED_VALUE"""),"крылья Гр  ")</f>
        <v>крылья Гр  </v>
      </c>
      <c r="J67" s="18">
        <f>IFERROR(__xludf.DUMMYFUNCTION("""COMPUTED_VALUE"""),3.0)</f>
        <v>3</v>
      </c>
      <c r="K67" s="18" t="str">
        <f>IFERROR(__xludf.DUMMYFUNCTION("""COMPUTED_VALUE"""),"Олимп")</f>
        <v>Олимп</v>
      </c>
      <c r="L67" s="18"/>
      <c r="M67" s="18"/>
      <c r="N67" s="18"/>
      <c r="O67" s="54"/>
      <c r="P67" s="18"/>
      <c r="Q67" s="20"/>
      <c r="R67" s="20"/>
      <c r="S67" s="20"/>
      <c r="T67" s="20"/>
      <c r="U67" s="20"/>
      <c r="V67" s="20"/>
      <c r="W67" s="20"/>
      <c r="X67" s="20"/>
      <c r="Y67" s="20"/>
    </row>
    <row r="68" ht="30.0" customHeight="1">
      <c r="A68" s="82" t="s">
        <v>377</v>
      </c>
      <c r="B68" s="45">
        <v>64.0</v>
      </c>
      <c r="C68" s="46" t="s">
        <v>57</v>
      </c>
      <c r="D68" s="46" t="s">
        <v>65</v>
      </c>
      <c r="E68" s="46" t="s">
        <v>187</v>
      </c>
      <c r="F68" s="46" t="s">
        <v>80</v>
      </c>
      <c r="G68" s="52" t="str">
        <f t="shared" si="1"/>
        <v>Котл. кур Гр  </v>
      </c>
      <c r="H68" s="53" t="s">
        <v>1</v>
      </c>
      <c r="I68" s="18" t="str">
        <f>IFERROR(__xludf.DUMMYFUNCTION("""COMPUTED_VALUE"""),"табака  MP ")</f>
        <v>табака  MP </v>
      </c>
      <c r="J68" s="18">
        <f>IFERROR(__xludf.DUMMYFUNCTION("""COMPUTED_VALUE"""),1.0)</f>
        <v>1</v>
      </c>
      <c r="K68" s="18" t="str">
        <f>IFERROR(__xludf.DUMMYFUNCTION("""COMPUTED_VALUE"""),"Олимп")</f>
        <v>Олимп</v>
      </c>
      <c r="L68" s="18"/>
      <c r="M68" s="18"/>
      <c r="N68" s="18"/>
      <c r="O68" s="54"/>
      <c r="P68" s="18"/>
      <c r="Q68" s="20"/>
      <c r="R68" s="20"/>
      <c r="S68" s="20"/>
      <c r="T68" s="20"/>
      <c r="U68" s="20"/>
      <c r="V68" s="20"/>
      <c r="W68" s="20"/>
      <c r="X68" s="20"/>
      <c r="Y68" s="20"/>
    </row>
    <row r="69" ht="30.0" customHeight="1">
      <c r="A69" s="82" t="s">
        <v>378</v>
      </c>
      <c r="B69" s="45">
        <v>65.0</v>
      </c>
      <c r="C69" s="46" t="s">
        <v>12</v>
      </c>
      <c r="D69" s="57" t="s">
        <v>87</v>
      </c>
      <c r="E69" s="46" t="s">
        <v>112</v>
      </c>
      <c r="F69" s="46" t="s">
        <v>80</v>
      </c>
      <c r="G69" s="52" t="str">
        <f t="shared" si="1"/>
        <v>Поперечка Гр  </v>
      </c>
      <c r="H69" s="53" t="s">
        <v>1</v>
      </c>
      <c r="I69" s="18" t="str">
        <f>IFERROR(__xludf.DUMMYFUNCTION("""COMPUTED_VALUE"""),"табака  Паста  ")</f>
        <v>табака  Паста  </v>
      </c>
      <c r="J69" s="18">
        <f>IFERROR(__xludf.DUMMYFUNCTION("""COMPUTED_VALUE"""),1.0)</f>
        <v>1</v>
      </c>
      <c r="K69" s="18" t="str">
        <f>IFERROR(__xludf.DUMMYFUNCTION("""COMPUTED_VALUE"""),"Олимп")</f>
        <v>Олимп</v>
      </c>
      <c r="L69" s="18"/>
      <c r="M69" s="18"/>
      <c r="N69" s="18"/>
      <c r="O69" s="54"/>
      <c r="P69" s="18"/>
      <c r="Q69" s="20"/>
      <c r="R69" s="20"/>
      <c r="S69" s="20"/>
      <c r="T69" s="20"/>
      <c r="U69" s="20"/>
      <c r="V69" s="20"/>
      <c r="W69" s="20"/>
      <c r="X69" s="20"/>
      <c r="Y69" s="20"/>
    </row>
    <row r="70" ht="30.0" customHeight="1">
      <c r="A70" s="82" t="s">
        <v>381</v>
      </c>
      <c r="B70" s="45">
        <v>66.0</v>
      </c>
      <c r="C70" s="46" t="s">
        <v>23</v>
      </c>
      <c r="D70" s="46" t="s">
        <v>95</v>
      </c>
      <c r="E70" s="46" t="s">
        <v>126</v>
      </c>
      <c r="F70" s="46" t="s">
        <v>122</v>
      </c>
      <c r="G70" s="52" t="str">
        <f t="shared" si="1"/>
        <v>S   Туш. кап.</v>
      </c>
      <c r="H70" s="53" t="s">
        <v>1</v>
      </c>
      <c r="I70" s="18" t="str">
        <f>IFERROR(__xludf.DUMMYFUNCTION("""COMPUTED_VALUE"""),"табака  Туш. кап.")</f>
        <v>табака  Туш. кап.</v>
      </c>
      <c r="J70" s="18">
        <f>IFERROR(__xludf.DUMMYFUNCTION("""COMPUTED_VALUE"""),2.0)</f>
        <v>2</v>
      </c>
      <c r="K70" s="18" t="str">
        <f>IFERROR(__xludf.DUMMYFUNCTION("""COMPUTED_VALUE"""),"Олимп")</f>
        <v>Олимп</v>
      </c>
      <c r="L70" s="18"/>
      <c r="M70" s="18"/>
      <c r="N70" s="18"/>
      <c r="O70" s="54"/>
      <c r="P70" s="18"/>
      <c r="Q70" s="20"/>
      <c r="R70" s="20"/>
      <c r="S70" s="20"/>
      <c r="T70" s="20"/>
      <c r="U70" s="20"/>
      <c r="V70" s="20"/>
      <c r="W70" s="20"/>
      <c r="X70" s="20"/>
      <c r="Y70" s="20"/>
    </row>
    <row r="71" ht="30.0" customHeight="1">
      <c r="A71" s="82" t="s">
        <v>385</v>
      </c>
      <c r="B71" s="45">
        <v>67.0</v>
      </c>
      <c r="C71" s="46" t="s">
        <v>55</v>
      </c>
      <c r="D71" s="46" t="s">
        <v>87</v>
      </c>
      <c r="E71" s="46" t="s">
        <v>211</v>
      </c>
      <c r="F71" s="46" t="s">
        <v>122</v>
      </c>
      <c r="G71" s="52" t="str">
        <f t="shared" si="1"/>
        <v>табака  Туш. кап.</v>
      </c>
      <c r="H71" s="53" t="s">
        <v>1</v>
      </c>
      <c r="I71" s="18"/>
      <c r="J71" s="18"/>
      <c r="K71" s="18"/>
      <c r="L71" s="18"/>
      <c r="M71" s="18"/>
      <c r="N71" s="18"/>
      <c r="O71" s="54"/>
      <c r="P71" s="18"/>
      <c r="Q71" s="20"/>
      <c r="R71" s="20"/>
      <c r="S71" s="20"/>
      <c r="T71" s="20"/>
      <c r="U71" s="20"/>
      <c r="V71" s="20"/>
      <c r="W71" s="20"/>
      <c r="X71" s="20"/>
      <c r="Y71" s="20"/>
    </row>
    <row r="72" ht="30.0" customHeight="1">
      <c r="A72" s="82" t="s">
        <v>389</v>
      </c>
      <c r="B72" s="45">
        <v>68.0</v>
      </c>
      <c r="C72" s="46" t="s">
        <v>57</v>
      </c>
      <c r="D72" s="46" t="s">
        <v>78</v>
      </c>
      <c r="E72" s="46" t="s">
        <v>67</v>
      </c>
      <c r="F72" s="46" t="s">
        <v>98</v>
      </c>
      <c r="G72" s="52" t="str">
        <f t="shared" si="1"/>
        <v>Баса Картошка</v>
      </c>
      <c r="H72" s="53" t="s">
        <v>1</v>
      </c>
      <c r="I72" s="18"/>
      <c r="J72" s="18"/>
      <c r="K72" s="18"/>
      <c r="L72" s="18"/>
      <c r="M72" s="18"/>
      <c r="N72" s="18"/>
      <c r="O72" s="54"/>
      <c r="P72" s="18"/>
      <c r="Q72" s="20"/>
      <c r="R72" s="20"/>
      <c r="S72" s="20"/>
      <c r="T72" s="20"/>
      <c r="U72" s="20"/>
      <c r="V72" s="20"/>
      <c r="W72" s="20"/>
      <c r="X72" s="20"/>
      <c r="Y72" s="20"/>
    </row>
    <row r="73" ht="30.0" customHeight="1">
      <c r="A73" s="82" t="s">
        <v>392</v>
      </c>
      <c r="B73" s="45">
        <v>69.0</v>
      </c>
      <c r="C73" s="46" t="s">
        <v>32</v>
      </c>
      <c r="D73" s="46" t="s">
        <v>78</v>
      </c>
      <c r="E73" s="46" t="s">
        <v>187</v>
      </c>
      <c r="F73" s="46" t="s">
        <v>98</v>
      </c>
      <c r="G73" s="52" t="str">
        <f t="shared" si="1"/>
        <v>Котл. кур Картошка</v>
      </c>
      <c r="H73" s="53" t="s">
        <v>1</v>
      </c>
      <c r="I73" s="18"/>
      <c r="J73" s="18"/>
      <c r="K73" s="18"/>
      <c r="L73" s="18"/>
      <c r="M73" s="18"/>
      <c r="N73" s="18"/>
      <c r="O73" s="54"/>
      <c r="P73" s="18"/>
      <c r="Q73" s="20"/>
      <c r="R73" s="20"/>
      <c r="S73" s="20"/>
      <c r="T73" s="20"/>
      <c r="U73" s="20"/>
      <c r="V73" s="20"/>
      <c r="W73" s="20"/>
      <c r="X73" s="20"/>
      <c r="Y73" s="20"/>
    </row>
    <row r="74" ht="30.0" customHeight="1">
      <c r="A74" s="81" t="s">
        <v>393</v>
      </c>
      <c r="B74" s="45">
        <v>70.0</v>
      </c>
      <c r="C74" s="46" t="s">
        <v>16</v>
      </c>
      <c r="D74" s="46" t="s">
        <v>87</v>
      </c>
      <c r="E74" s="46" t="s">
        <v>181</v>
      </c>
      <c r="F74" s="46" t="s">
        <v>122</v>
      </c>
      <c r="G74" s="52" t="str">
        <f t="shared" si="1"/>
        <v>Жульен Туш. кап.</v>
      </c>
      <c r="H74" s="53" t="s">
        <v>1</v>
      </c>
      <c r="I74" s="18"/>
      <c r="J74" s="18"/>
      <c r="K74" s="18"/>
      <c r="L74" s="18"/>
      <c r="M74" s="18"/>
      <c r="N74" s="18"/>
      <c r="O74" s="54"/>
      <c r="P74" s="18"/>
      <c r="Q74" s="20"/>
      <c r="R74" s="20"/>
      <c r="S74" s="20"/>
      <c r="T74" s="20"/>
      <c r="U74" s="20"/>
      <c r="V74" s="20"/>
      <c r="W74" s="20"/>
      <c r="X74" s="20"/>
      <c r="Y74" s="20"/>
    </row>
    <row r="75" ht="30.0" customHeight="1">
      <c r="A75" s="81" t="s">
        <v>397</v>
      </c>
      <c r="B75" s="45">
        <v>71.0</v>
      </c>
      <c r="C75" s="46" t="s">
        <v>16</v>
      </c>
      <c r="D75" s="46" t="s">
        <v>78</v>
      </c>
      <c r="E75" s="46" t="s">
        <v>169</v>
      </c>
      <c r="F75" s="46" t="s">
        <v>122</v>
      </c>
      <c r="G75" s="134" t="str">
        <f t="shared" si="1"/>
        <v>Гуляш Туш. кап.</v>
      </c>
      <c r="H75" s="134" t="s">
        <v>1</v>
      </c>
      <c r="I75" s="18"/>
      <c r="J75" s="18"/>
      <c r="K75" s="18"/>
      <c r="L75" s="18"/>
      <c r="M75" s="18"/>
      <c r="N75" s="18"/>
      <c r="O75" s="54"/>
      <c r="P75" s="18"/>
      <c r="Q75" s="20"/>
      <c r="R75" s="20"/>
      <c r="S75" s="20"/>
      <c r="T75" s="20"/>
      <c r="U75" s="20"/>
      <c r="V75" s="20"/>
      <c r="W75" s="20"/>
      <c r="X75" s="20"/>
      <c r="Y75" s="20"/>
    </row>
    <row r="76" ht="30.0" customHeight="1">
      <c r="A76" s="135" t="s">
        <v>399</v>
      </c>
      <c r="B76" s="45">
        <v>72.0</v>
      </c>
      <c r="C76" s="46" t="s">
        <v>62</v>
      </c>
      <c r="D76" s="46" t="s">
        <v>85</v>
      </c>
      <c r="E76" s="46" t="s">
        <v>157</v>
      </c>
      <c r="F76" s="46"/>
      <c r="G76" s="52" t="str">
        <f t="shared" si="1"/>
        <v>Бл. твор </v>
      </c>
      <c r="H76" s="53" t="s">
        <v>1</v>
      </c>
      <c r="I76" s="18"/>
      <c r="J76" s="18"/>
      <c r="K76" s="18"/>
      <c r="L76" s="18"/>
      <c r="M76" s="18"/>
      <c r="N76" s="18"/>
      <c r="O76" s="54"/>
      <c r="P76" s="18"/>
      <c r="Q76" s="20"/>
      <c r="R76" s="20"/>
      <c r="S76" s="20"/>
      <c r="T76" s="20"/>
      <c r="U76" s="20"/>
      <c r="V76" s="20"/>
      <c r="W76" s="20"/>
      <c r="X76" s="20"/>
      <c r="Y76" s="20"/>
    </row>
    <row r="77" ht="30.0" customHeight="1">
      <c r="A77" s="137" t="s">
        <v>402</v>
      </c>
      <c r="B77" s="45">
        <v>73.0</v>
      </c>
      <c r="C77" s="46" t="s">
        <v>57</v>
      </c>
      <c r="D77" s="46" t="s">
        <v>85</v>
      </c>
      <c r="E77" s="46" t="s">
        <v>150</v>
      </c>
      <c r="F77" s="46" t="s">
        <v>276</v>
      </c>
      <c r="G77" s="52" t="str">
        <f t="shared" si="1"/>
        <v>Бл. мясо Фасоль</v>
      </c>
      <c r="H77" s="53" t="s">
        <v>1</v>
      </c>
      <c r="I77" s="18"/>
      <c r="J77" s="18"/>
      <c r="K77" s="18"/>
      <c r="L77" s="18"/>
      <c r="M77" s="18"/>
      <c r="N77" s="18"/>
      <c r="O77" s="54"/>
      <c r="P77" s="18"/>
      <c r="Q77" s="20"/>
      <c r="R77" s="20"/>
      <c r="S77" s="20"/>
      <c r="T77" s="20"/>
      <c r="U77" s="20"/>
      <c r="V77" s="20"/>
      <c r="W77" s="20"/>
      <c r="X77" s="20"/>
      <c r="Y77" s="20"/>
    </row>
    <row r="78" ht="30.0" customHeight="1">
      <c r="A78" s="138" t="s">
        <v>406</v>
      </c>
      <c r="B78" s="45">
        <v>74.0</v>
      </c>
      <c r="C78" s="46" t="s">
        <v>47</v>
      </c>
      <c r="D78" s="46" t="s">
        <v>87</v>
      </c>
      <c r="E78" s="46" t="s">
        <v>173</v>
      </c>
      <c r="F78" s="46" t="s">
        <v>113</v>
      </c>
      <c r="G78" s="52" t="str">
        <f t="shared" si="1"/>
        <v>Дорадо  FF</v>
      </c>
      <c r="H78" s="53" t="s">
        <v>1</v>
      </c>
      <c r="I78" s="18"/>
      <c r="J78" s="18"/>
      <c r="K78" s="18"/>
      <c r="L78" s="18"/>
      <c r="M78" s="18"/>
      <c r="N78" s="18"/>
      <c r="O78" s="54"/>
      <c r="P78" s="18"/>
      <c r="Q78" s="20"/>
      <c r="R78" s="20"/>
      <c r="S78" s="20"/>
      <c r="T78" s="20"/>
      <c r="U78" s="20"/>
      <c r="V78" s="20"/>
      <c r="W78" s="20"/>
      <c r="X78" s="20"/>
      <c r="Y78" s="20"/>
    </row>
    <row r="79" ht="30.0" customHeight="1">
      <c r="A79" s="7" t="s">
        <v>410</v>
      </c>
      <c r="B79" s="45">
        <v>75.0</v>
      </c>
      <c r="C79" s="46" t="s">
        <v>62</v>
      </c>
      <c r="D79" s="46" t="s">
        <v>105</v>
      </c>
      <c r="E79" s="46" t="s">
        <v>126</v>
      </c>
      <c r="F79" s="46" t="s">
        <v>122</v>
      </c>
      <c r="G79" s="52" t="str">
        <f t="shared" si="1"/>
        <v>S   Туш. кап.</v>
      </c>
      <c r="H79" s="53" t="s">
        <v>1</v>
      </c>
      <c r="I79" s="18"/>
      <c r="J79" s="18"/>
      <c r="K79" s="18"/>
      <c r="L79" s="18"/>
      <c r="M79" s="18"/>
      <c r="N79" s="18"/>
      <c r="O79" s="54"/>
      <c r="P79" s="18"/>
      <c r="Q79" s="20"/>
      <c r="R79" s="20"/>
      <c r="S79" s="20"/>
      <c r="T79" s="20"/>
      <c r="U79" s="20"/>
      <c r="V79" s="20"/>
      <c r="W79" s="20"/>
      <c r="X79" s="20"/>
      <c r="Y79" s="20"/>
    </row>
    <row r="80" ht="30.0" customHeight="1">
      <c r="A80" s="82" t="s">
        <v>414</v>
      </c>
      <c r="B80" s="45">
        <v>76.0</v>
      </c>
      <c r="C80" s="46" t="s">
        <v>47</v>
      </c>
      <c r="D80" s="46" t="s">
        <v>65</v>
      </c>
      <c r="E80" s="46" t="s">
        <v>157</v>
      </c>
      <c r="F80" s="46"/>
      <c r="G80" s="52" t="str">
        <f t="shared" si="1"/>
        <v>Бл. твор </v>
      </c>
      <c r="H80" s="53" t="s">
        <v>1</v>
      </c>
      <c r="I80" s="18"/>
      <c r="J80" s="18"/>
      <c r="K80" s="18"/>
      <c r="L80" s="18"/>
      <c r="M80" s="18"/>
      <c r="N80" s="18"/>
      <c r="O80" s="54"/>
      <c r="P80" s="18"/>
      <c r="Q80" s="20"/>
      <c r="R80" s="20"/>
      <c r="S80" s="20"/>
      <c r="T80" s="20"/>
      <c r="U80" s="20"/>
      <c r="V80" s="20"/>
      <c r="W80" s="20"/>
      <c r="X80" s="20"/>
      <c r="Y80" s="20"/>
    </row>
    <row r="81" ht="30.0" customHeight="1">
      <c r="A81" s="7" t="s">
        <v>416</v>
      </c>
      <c r="B81" s="45">
        <v>77.0</v>
      </c>
      <c r="C81" s="46" t="s">
        <v>47</v>
      </c>
      <c r="D81" s="46" t="s">
        <v>105</v>
      </c>
      <c r="E81" s="46" t="s">
        <v>67</v>
      </c>
      <c r="F81" s="46" t="s">
        <v>80</v>
      </c>
      <c r="G81" s="52" t="str">
        <f t="shared" si="1"/>
        <v>Баса Гр  </v>
      </c>
      <c r="H81" s="53" t="s">
        <v>1</v>
      </c>
      <c r="I81" s="18"/>
      <c r="J81" s="18"/>
      <c r="K81" s="18"/>
      <c r="L81" s="18"/>
      <c r="M81" s="18"/>
      <c r="N81" s="18"/>
      <c r="O81" s="54"/>
      <c r="P81" s="18"/>
      <c r="Q81" s="20"/>
      <c r="R81" s="20"/>
      <c r="S81" s="20"/>
      <c r="T81" s="20"/>
      <c r="U81" s="20"/>
      <c r="V81" s="20"/>
      <c r="W81" s="20"/>
      <c r="X81" s="20"/>
      <c r="Y81" s="20"/>
    </row>
    <row r="82" ht="30.0" customHeight="1">
      <c r="A82" s="81" t="s">
        <v>420</v>
      </c>
      <c r="B82" s="45">
        <v>78.0</v>
      </c>
      <c r="C82" s="46" t="s">
        <v>16</v>
      </c>
      <c r="D82" s="46" t="s">
        <v>95</v>
      </c>
      <c r="E82" s="46" t="s">
        <v>161</v>
      </c>
      <c r="F82" s="46"/>
      <c r="G82" s="52" t="str">
        <f t="shared" si="1"/>
        <v>Вар.Кар </v>
      </c>
      <c r="H82" s="53" t="s">
        <v>1</v>
      </c>
      <c r="I82" s="18"/>
      <c r="J82" s="18"/>
      <c r="K82" s="18"/>
      <c r="L82" s="18"/>
      <c r="M82" s="18"/>
      <c r="N82" s="18"/>
      <c r="O82" s="54"/>
      <c r="P82" s="18"/>
      <c r="Q82" s="20"/>
      <c r="R82" s="20"/>
      <c r="S82" s="20"/>
      <c r="T82" s="20"/>
      <c r="U82" s="20"/>
      <c r="V82" s="20"/>
      <c r="W82" s="20"/>
      <c r="X82" s="20"/>
      <c r="Y82" s="20"/>
    </row>
    <row r="83" ht="30.0" customHeight="1">
      <c r="A83" s="82" t="s">
        <v>423</v>
      </c>
      <c r="B83" s="45">
        <v>79.0</v>
      </c>
      <c r="C83" s="46" t="s">
        <v>32</v>
      </c>
      <c r="D83" s="46" t="s">
        <v>78</v>
      </c>
      <c r="E83" s="46" t="s">
        <v>166</v>
      </c>
      <c r="F83" s="46" t="s">
        <v>98</v>
      </c>
      <c r="G83" s="52" t="str">
        <f t="shared" si="1"/>
        <v>Голубцы Картошка</v>
      </c>
      <c r="H83" s="53" t="s">
        <v>1</v>
      </c>
      <c r="I83" s="18"/>
      <c r="J83" s="18"/>
      <c r="K83" s="18"/>
      <c r="L83" s="18"/>
      <c r="M83" s="18"/>
      <c r="N83" s="18"/>
      <c r="O83" s="54"/>
      <c r="P83" s="18"/>
      <c r="Q83" s="20"/>
      <c r="R83" s="20"/>
      <c r="S83" s="20"/>
      <c r="T83" s="20"/>
      <c r="U83" s="20"/>
      <c r="V83" s="20"/>
      <c r="W83" s="20"/>
      <c r="X83" s="20"/>
      <c r="Y83" s="20"/>
    </row>
    <row r="84" ht="30.0" customHeight="1">
      <c r="A84" s="7" t="s">
        <v>425</v>
      </c>
      <c r="B84" s="45">
        <v>80.0</v>
      </c>
      <c r="C84" s="46" t="s">
        <v>32</v>
      </c>
      <c r="D84" s="46" t="s">
        <v>87</v>
      </c>
      <c r="E84" s="46" t="s">
        <v>79</v>
      </c>
      <c r="F84" s="141"/>
      <c r="G84" s="52" t="str">
        <f t="shared" si="1"/>
        <v>Чалахач </v>
      </c>
      <c r="H84" s="53" t="s">
        <v>1</v>
      </c>
      <c r="I84" s="18"/>
      <c r="J84" s="18"/>
      <c r="K84" s="18"/>
      <c r="L84" s="18"/>
      <c r="M84" s="18"/>
      <c r="N84" s="18"/>
      <c r="O84" s="54"/>
      <c r="P84" s="18"/>
      <c r="Q84" s="20"/>
      <c r="R84" s="20"/>
      <c r="S84" s="20"/>
      <c r="T84" s="20"/>
      <c r="U84" s="20"/>
      <c r="V84" s="20"/>
      <c r="W84" s="20"/>
      <c r="X84" s="20"/>
      <c r="Y84" s="20"/>
    </row>
    <row r="85" ht="30.0" customHeight="1">
      <c r="A85" s="82" t="s">
        <v>430</v>
      </c>
      <c r="B85" s="45">
        <v>81.0</v>
      </c>
      <c r="C85" s="46" t="s">
        <v>16</v>
      </c>
      <c r="D85" s="46" t="s">
        <v>65</v>
      </c>
      <c r="E85" s="46" t="s">
        <v>67</v>
      </c>
      <c r="F85" s="46" t="s">
        <v>122</v>
      </c>
      <c r="G85" s="52" t="str">
        <f t="shared" si="1"/>
        <v>Баса Туш. кап.</v>
      </c>
      <c r="H85" s="53" t="s">
        <v>1</v>
      </c>
      <c r="I85" s="18"/>
      <c r="J85" s="18"/>
      <c r="K85" s="18"/>
      <c r="L85" s="18"/>
      <c r="M85" s="18"/>
      <c r="N85" s="18"/>
      <c r="O85" s="54"/>
      <c r="P85" s="18"/>
      <c r="Q85" s="20"/>
      <c r="R85" s="20"/>
      <c r="S85" s="20"/>
      <c r="T85" s="20"/>
      <c r="U85" s="20"/>
      <c r="V85" s="20"/>
      <c r="W85" s="20"/>
      <c r="X85" s="20"/>
      <c r="Y85" s="20"/>
    </row>
    <row r="86" ht="30.0" customHeight="1">
      <c r="A86" s="82" t="s">
        <v>434</v>
      </c>
      <c r="B86" s="45">
        <v>82.0</v>
      </c>
      <c r="C86" s="46" t="s">
        <v>62</v>
      </c>
      <c r="D86" s="46" t="s">
        <v>87</v>
      </c>
      <c r="E86" s="46" t="s">
        <v>187</v>
      </c>
      <c r="F86" s="46" t="s">
        <v>80</v>
      </c>
      <c r="G86" s="52" t="str">
        <f t="shared" si="1"/>
        <v>Котл. кур Гр  </v>
      </c>
      <c r="H86" s="53" t="s">
        <v>1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30.0" customHeight="1">
      <c r="A87" s="82" t="s">
        <v>437</v>
      </c>
      <c r="B87" s="45">
        <v>83.0</v>
      </c>
      <c r="C87" s="46" t="s">
        <v>16</v>
      </c>
      <c r="D87" s="46" t="s">
        <v>87</v>
      </c>
      <c r="E87" s="46" t="s">
        <v>126</v>
      </c>
      <c r="F87" s="46" t="s">
        <v>113</v>
      </c>
      <c r="G87" s="52" t="str">
        <f t="shared" si="1"/>
        <v>S    FF</v>
      </c>
      <c r="H87" s="53" t="s">
        <v>1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30.0" customHeight="1">
      <c r="A88" s="82" t="s">
        <v>441</v>
      </c>
      <c r="B88" s="45">
        <v>84.0</v>
      </c>
      <c r="C88" s="46" t="s">
        <v>32</v>
      </c>
      <c r="D88" s="46" t="s">
        <v>95</v>
      </c>
      <c r="E88" s="46" t="s">
        <v>191</v>
      </c>
      <c r="F88" s="46" t="s">
        <v>80</v>
      </c>
      <c r="G88" s="52" t="str">
        <f t="shared" si="1"/>
        <v>крылья Гр  </v>
      </c>
      <c r="H88" s="53" t="s">
        <v>1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5"/>
      <c r="B91" s="15"/>
      <c r="C91" s="15"/>
      <c r="D91" s="15"/>
      <c r="E91" s="15"/>
      <c r="F91" s="15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5"/>
      <c r="B92" s="144"/>
      <c r="C92" s="144"/>
      <c r="D92" s="144"/>
      <c r="E92" s="144"/>
      <c r="F92" s="15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5"/>
      <c r="B93" s="144"/>
      <c r="C93" s="144"/>
      <c r="D93" s="144"/>
      <c r="E93" s="144"/>
      <c r="F93" s="15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5"/>
      <c r="B94" s="144"/>
      <c r="C94" s="144"/>
      <c r="D94" s="144"/>
      <c r="E94" s="144"/>
      <c r="F94" s="15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35" t="s">
        <v>332</v>
      </c>
      <c r="B95" s="145" t="s">
        <v>333</v>
      </c>
      <c r="C95" s="46" t="s">
        <v>55</v>
      </c>
      <c r="D95" s="46" t="s">
        <v>85</v>
      </c>
      <c r="E95" s="46" t="s">
        <v>79</v>
      </c>
      <c r="F95" s="14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7" t="s">
        <v>451</v>
      </c>
      <c r="B97" s="145" t="s">
        <v>452</v>
      </c>
      <c r="C97" s="46" t="s">
        <v>32</v>
      </c>
      <c r="D97" s="46" t="s">
        <v>105</v>
      </c>
      <c r="E97" s="46" t="s">
        <v>161</v>
      </c>
      <c r="F97" s="46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5"/>
      <c r="B98" s="15"/>
      <c r="C98" s="15"/>
      <c r="D98" s="15"/>
      <c r="E98" s="15"/>
      <c r="F98" s="15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5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</row>
    <row r="100">
      <c r="A100" s="15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</row>
    <row r="101">
      <c r="A101" s="15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</row>
    <row r="102">
      <c r="A102" s="15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</row>
    <row r="103">
      <c r="A103" s="15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</row>
    <row r="104">
      <c r="A104" s="15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</row>
    <row r="105">
      <c r="A105" s="15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</row>
    <row r="106">
      <c r="A106" s="15"/>
      <c r="B106" s="15"/>
      <c r="C106" s="15"/>
      <c r="D106" s="15"/>
      <c r="E106" s="15"/>
      <c r="F106" s="15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5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</row>
    <row r="108">
      <c r="A108" s="15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</row>
    <row r="109">
      <c r="A109" s="15"/>
      <c r="B109" s="144"/>
      <c r="C109" s="144"/>
      <c r="D109" s="144"/>
      <c r="E109" s="144"/>
      <c r="F109" s="144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22" t="s">
        <v>464</v>
      </c>
      <c r="B110" s="15"/>
      <c r="C110" s="15"/>
      <c r="D110" s="46"/>
      <c r="E110" s="46"/>
      <c r="F110" s="46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81"/>
      <c r="B111" s="146"/>
      <c r="C111" s="147"/>
      <c r="D111" s="148"/>
      <c r="E111" s="147"/>
      <c r="F111" s="149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22" t="s">
        <v>467</v>
      </c>
      <c r="B112" s="15"/>
      <c r="C112" s="15"/>
      <c r="D112" s="15"/>
      <c r="E112" s="15"/>
      <c r="F112" s="15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5"/>
      <c r="B113" s="15"/>
      <c r="C113" s="15"/>
      <c r="D113" s="15"/>
      <c r="E113" s="15"/>
      <c r="F113" s="15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5"/>
      <c r="B114" s="15"/>
      <c r="C114" s="15"/>
      <c r="D114" s="15"/>
      <c r="E114" s="15"/>
      <c r="F114" s="15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5"/>
      <c r="B115" s="15"/>
      <c r="C115" s="15"/>
      <c r="D115" s="15"/>
      <c r="E115" s="15"/>
      <c r="F115" s="15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5"/>
      <c r="B116" s="15"/>
      <c r="C116" s="15"/>
      <c r="D116" s="15"/>
      <c r="E116" s="15"/>
      <c r="F116" s="15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5"/>
      <c r="B117" s="15"/>
      <c r="C117" s="15"/>
      <c r="D117" s="15"/>
      <c r="E117" s="15"/>
      <c r="F117" s="15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5"/>
      <c r="B118" s="15"/>
      <c r="C118" s="15"/>
      <c r="D118" s="15"/>
      <c r="E118" s="15"/>
      <c r="F118" s="15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5"/>
      <c r="B119" s="15"/>
      <c r="C119" s="15"/>
      <c r="D119" s="15"/>
      <c r="E119" s="15"/>
      <c r="F119" s="15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5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</row>
    <row r="121">
      <c r="A121" s="15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</row>
    <row r="122">
      <c r="A122" s="15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</row>
    <row r="123">
      <c r="A123" s="15"/>
      <c r="B123" s="15"/>
      <c r="C123" s="15"/>
      <c r="D123" s="15"/>
      <c r="E123" s="15"/>
      <c r="F123" s="15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5"/>
      <c r="B124" s="15"/>
      <c r="C124" s="15"/>
      <c r="D124" s="15"/>
      <c r="E124" s="15"/>
      <c r="F124" s="15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5"/>
      <c r="B125" s="15"/>
      <c r="C125" s="15"/>
      <c r="D125" s="15"/>
      <c r="E125" s="15"/>
      <c r="F125" s="15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5"/>
      <c r="B126" s="15"/>
      <c r="C126" s="15"/>
      <c r="D126" s="15"/>
      <c r="E126" s="15"/>
      <c r="F126" s="15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22" t="s">
        <v>478</v>
      </c>
      <c r="B127" s="15"/>
      <c r="C127" s="15"/>
      <c r="D127" s="15"/>
      <c r="E127" s="15"/>
      <c r="F127" s="15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6" t="s">
        <v>160</v>
      </c>
      <c r="B128" s="151">
        <v>10.0</v>
      </c>
      <c r="C128" s="75" t="s">
        <v>32</v>
      </c>
      <c r="D128" s="75" t="s">
        <v>85</v>
      </c>
      <c r="E128" s="75" t="s">
        <v>165</v>
      </c>
      <c r="F128" s="75" t="s">
        <v>98</v>
      </c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6" t="s">
        <v>363</v>
      </c>
      <c r="B129" s="43">
        <v>59.0</v>
      </c>
      <c r="C129" s="47" t="s">
        <v>62</v>
      </c>
      <c r="D129" s="47" t="s">
        <v>78</v>
      </c>
      <c r="E129" s="47" t="s">
        <v>79</v>
      </c>
      <c r="F129" s="47" t="s">
        <v>122</v>
      </c>
    </row>
    <row r="130">
      <c r="A130" s="6" t="s">
        <v>368</v>
      </c>
      <c r="B130" s="43">
        <v>61.0</v>
      </c>
      <c r="C130" s="47" t="s">
        <v>16</v>
      </c>
      <c r="D130" s="47" t="s">
        <v>105</v>
      </c>
      <c r="E130" s="47" t="s">
        <v>150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55" t="s">
        <v>345</v>
      </c>
      <c r="B131" s="43">
        <v>49.0</v>
      </c>
      <c r="C131" s="47" t="s">
        <v>16</v>
      </c>
      <c r="D131" s="47" t="s">
        <v>65</v>
      </c>
      <c r="E131" s="47" t="s">
        <v>67</v>
      </c>
      <c r="F131" s="47" t="s">
        <v>122</v>
      </c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5"/>
      <c r="B132" s="15"/>
      <c r="C132" s="15"/>
      <c r="D132" s="15"/>
      <c r="E132" s="15"/>
      <c r="F132" s="15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5"/>
      <c r="B133" s="15"/>
      <c r="C133" s="15"/>
      <c r="D133" s="15"/>
      <c r="E133" s="15"/>
      <c r="F133" s="15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D134" s="15"/>
      <c r="E134" s="15"/>
      <c r="F134" s="15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22" t="s">
        <v>489</v>
      </c>
      <c r="B135" s="15"/>
      <c r="C135" s="15"/>
      <c r="D135" s="15"/>
      <c r="E135" s="15"/>
      <c r="F135" s="15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6" t="s">
        <v>491</v>
      </c>
      <c r="B136" s="152" t="s">
        <v>492</v>
      </c>
      <c r="C136" s="75" t="s">
        <v>23</v>
      </c>
      <c r="D136" s="75" t="s">
        <v>95</v>
      </c>
      <c r="E136" s="75" t="s">
        <v>191</v>
      </c>
      <c r="F136" s="15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6" t="s">
        <v>493</v>
      </c>
      <c r="B137" s="152" t="s">
        <v>492</v>
      </c>
      <c r="C137" s="75" t="s">
        <v>12</v>
      </c>
      <c r="D137" s="75" t="s">
        <v>85</v>
      </c>
      <c r="E137" s="75" t="s">
        <v>157</v>
      </c>
      <c r="F137" s="15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5"/>
      <c r="B138" s="15"/>
      <c r="C138" s="15"/>
      <c r="D138" s="15"/>
      <c r="E138" s="15"/>
      <c r="F138" s="15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5"/>
      <c r="B139" s="15"/>
      <c r="C139" s="15"/>
      <c r="D139" s="15"/>
      <c r="E139" s="15"/>
      <c r="F139" s="15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22" t="s">
        <v>498</v>
      </c>
      <c r="B140" s="15"/>
      <c r="C140" s="15"/>
      <c r="D140" s="15"/>
      <c r="E140" s="15"/>
      <c r="F140" s="15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6" t="s">
        <v>303</v>
      </c>
      <c r="B141" s="153">
        <v>47.0</v>
      </c>
      <c r="C141" s="75" t="s">
        <v>32</v>
      </c>
      <c r="D141" s="75" t="s">
        <v>95</v>
      </c>
      <c r="E141" s="75" t="s">
        <v>187</v>
      </c>
      <c r="F141" s="75" t="s">
        <v>122</v>
      </c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5"/>
      <c r="B142" s="15"/>
      <c r="C142" s="15"/>
      <c r="D142" s="15"/>
      <c r="E142" s="15"/>
      <c r="F142" s="15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5"/>
      <c r="B143" s="15"/>
      <c r="C143" s="15"/>
      <c r="D143" s="15"/>
      <c r="E143" s="15"/>
      <c r="F143" s="15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5"/>
      <c r="B144" s="15"/>
      <c r="C144" s="15"/>
      <c r="D144" s="15"/>
      <c r="E144" s="15"/>
      <c r="F144" s="15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5"/>
      <c r="B145" s="15"/>
      <c r="C145" s="15"/>
      <c r="D145" s="15"/>
      <c r="E145" s="15"/>
      <c r="F145" s="15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5"/>
      <c r="B146" s="15"/>
      <c r="C146" s="15"/>
      <c r="D146" s="15"/>
      <c r="E146" s="15"/>
      <c r="F146" s="15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5"/>
      <c r="B147" s="15"/>
      <c r="C147" s="15"/>
      <c r="D147" s="15"/>
      <c r="E147" s="15"/>
      <c r="F147" s="15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5"/>
      <c r="B148" s="15"/>
      <c r="C148" s="15"/>
      <c r="D148" s="15"/>
      <c r="E148" s="15"/>
      <c r="F148" s="15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5"/>
      <c r="B149" s="15"/>
      <c r="C149" s="15"/>
      <c r="D149" s="15"/>
      <c r="E149" s="15"/>
      <c r="F149" s="15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5"/>
      <c r="B150" s="15"/>
      <c r="C150" s="15"/>
      <c r="D150" s="15"/>
      <c r="E150" s="15"/>
      <c r="F150" s="15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5"/>
      <c r="B151" s="15"/>
      <c r="C151" s="15"/>
      <c r="D151" s="15"/>
      <c r="E151" s="15"/>
      <c r="F151" s="15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5"/>
      <c r="B152" s="15"/>
      <c r="C152" s="15"/>
      <c r="D152" s="15"/>
      <c r="E152" s="15"/>
      <c r="F152" s="15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5"/>
      <c r="B153" s="15"/>
      <c r="C153" s="15"/>
      <c r="D153" s="15"/>
      <c r="E153" s="15"/>
      <c r="F153" s="15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5"/>
      <c r="B154" s="15"/>
      <c r="C154" s="15"/>
      <c r="D154" s="15"/>
      <c r="E154" s="15"/>
      <c r="F154" s="15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5"/>
      <c r="B155" s="15"/>
      <c r="C155" s="15"/>
      <c r="D155" s="15"/>
      <c r="E155" s="15"/>
      <c r="F155" s="15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5"/>
      <c r="B156" s="15"/>
      <c r="C156" s="15"/>
      <c r="D156" s="15"/>
      <c r="E156" s="15"/>
      <c r="F156" s="15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5"/>
      <c r="B157" s="15"/>
      <c r="C157" s="15"/>
      <c r="D157" s="15"/>
      <c r="E157" s="15"/>
      <c r="F157" s="15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5"/>
      <c r="B158" s="15"/>
      <c r="C158" s="15"/>
      <c r="D158" s="15"/>
      <c r="E158" s="15"/>
      <c r="F158" s="15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5"/>
      <c r="B159" s="15"/>
      <c r="C159" s="15"/>
      <c r="D159" s="15"/>
      <c r="E159" s="15"/>
      <c r="F159" s="15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5"/>
      <c r="B160" s="15"/>
      <c r="C160" s="15"/>
      <c r="D160" s="15"/>
      <c r="E160" s="15"/>
      <c r="F160" s="15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5"/>
      <c r="B161" s="15"/>
      <c r="C161" s="15"/>
      <c r="D161" s="15"/>
      <c r="E161" s="15"/>
      <c r="F161" s="15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5"/>
      <c r="B162" s="15"/>
      <c r="C162" s="15"/>
      <c r="D162" s="15"/>
      <c r="E162" s="15"/>
      <c r="F162" s="15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5"/>
      <c r="B163" s="15"/>
      <c r="C163" s="15"/>
      <c r="D163" s="15"/>
      <c r="E163" s="15"/>
      <c r="F163" s="15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5"/>
      <c r="B164" s="15"/>
      <c r="C164" s="15"/>
      <c r="D164" s="15"/>
      <c r="E164" s="15"/>
      <c r="F164" s="15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5"/>
      <c r="B165" s="15"/>
      <c r="C165" s="15"/>
      <c r="D165" s="15"/>
      <c r="E165" s="15"/>
      <c r="F165" s="15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5"/>
      <c r="B166" s="15"/>
      <c r="C166" s="15"/>
      <c r="D166" s="15"/>
      <c r="E166" s="15"/>
      <c r="F166" s="15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5"/>
      <c r="B167" s="15"/>
      <c r="C167" s="15"/>
      <c r="D167" s="15"/>
      <c r="E167" s="15"/>
      <c r="F167" s="15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5"/>
      <c r="B168" s="15"/>
      <c r="C168" s="15"/>
      <c r="D168" s="15"/>
      <c r="E168" s="15"/>
      <c r="F168" s="15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5"/>
      <c r="B169" s="15"/>
      <c r="C169" s="15"/>
      <c r="D169" s="15"/>
      <c r="E169" s="15"/>
      <c r="F169" s="15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5"/>
      <c r="B170" s="15"/>
      <c r="C170" s="15"/>
      <c r="D170" s="15"/>
      <c r="E170" s="15"/>
      <c r="F170" s="15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5"/>
      <c r="B171" s="15"/>
      <c r="C171" s="15"/>
      <c r="D171" s="15"/>
      <c r="E171" s="15"/>
      <c r="F171" s="15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5"/>
      <c r="B172" s="15"/>
      <c r="C172" s="15"/>
      <c r="D172" s="15"/>
      <c r="E172" s="15"/>
      <c r="F172" s="15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5"/>
      <c r="B173" s="15"/>
      <c r="C173" s="15"/>
      <c r="D173" s="15"/>
      <c r="E173" s="15"/>
      <c r="F173" s="15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5"/>
      <c r="B174" s="15"/>
      <c r="C174" s="15"/>
      <c r="D174" s="15"/>
      <c r="E174" s="15"/>
      <c r="F174" s="15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5"/>
      <c r="B175" s="15"/>
      <c r="C175" s="15"/>
      <c r="D175" s="15"/>
      <c r="E175" s="15"/>
      <c r="F175" s="15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5"/>
      <c r="B176" s="15"/>
      <c r="C176" s="15"/>
      <c r="D176" s="15"/>
      <c r="E176" s="15"/>
      <c r="F176" s="15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5"/>
      <c r="B177" s="15"/>
      <c r="C177" s="15"/>
      <c r="D177" s="15"/>
      <c r="E177" s="15"/>
      <c r="F177" s="15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5"/>
      <c r="B178" s="15"/>
      <c r="C178" s="15"/>
      <c r="D178" s="15"/>
      <c r="E178" s="15"/>
      <c r="F178" s="15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5"/>
      <c r="B179" s="15"/>
      <c r="C179" s="15"/>
      <c r="D179" s="15"/>
      <c r="E179" s="15"/>
      <c r="F179" s="15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5"/>
      <c r="B180" s="15"/>
      <c r="C180" s="15"/>
      <c r="D180" s="15"/>
      <c r="E180" s="15"/>
      <c r="F180" s="15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5"/>
      <c r="B181" s="15"/>
      <c r="C181" s="15"/>
      <c r="D181" s="15"/>
      <c r="E181" s="15"/>
      <c r="F181" s="15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5"/>
      <c r="B182" s="15"/>
      <c r="C182" s="15"/>
      <c r="D182" s="15"/>
      <c r="E182" s="15"/>
      <c r="F182" s="15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5"/>
      <c r="B183" s="15"/>
      <c r="C183" s="15"/>
      <c r="D183" s="15"/>
      <c r="E183" s="15"/>
      <c r="F183" s="15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5"/>
      <c r="B184" s="15"/>
      <c r="C184" s="15"/>
      <c r="D184" s="15"/>
      <c r="E184" s="15"/>
      <c r="F184" s="15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5"/>
      <c r="B185" s="15"/>
      <c r="C185" s="15"/>
      <c r="D185" s="15"/>
      <c r="E185" s="15"/>
      <c r="F185" s="15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5"/>
      <c r="B186" s="15"/>
      <c r="C186" s="15"/>
      <c r="D186" s="15"/>
      <c r="E186" s="15"/>
      <c r="F186" s="15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5"/>
      <c r="B187" s="15"/>
      <c r="C187" s="15"/>
      <c r="D187" s="15"/>
      <c r="E187" s="15"/>
      <c r="F187" s="15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5"/>
      <c r="B188" s="15"/>
      <c r="C188" s="15"/>
      <c r="D188" s="15"/>
      <c r="E188" s="15"/>
      <c r="F188" s="15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5"/>
      <c r="B189" s="15"/>
      <c r="C189" s="15"/>
      <c r="D189" s="15"/>
      <c r="E189" s="15"/>
      <c r="F189" s="15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5"/>
      <c r="B190" s="15"/>
      <c r="C190" s="15"/>
      <c r="D190" s="15"/>
      <c r="E190" s="15"/>
      <c r="F190" s="15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5"/>
      <c r="B191" s="15"/>
      <c r="C191" s="15"/>
      <c r="D191" s="15"/>
      <c r="E191" s="15"/>
      <c r="F191" s="15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5"/>
      <c r="B192" s="15"/>
      <c r="C192" s="15"/>
      <c r="D192" s="15"/>
      <c r="E192" s="15"/>
      <c r="F192" s="15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5"/>
      <c r="B193" s="15"/>
      <c r="C193" s="15"/>
      <c r="D193" s="15"/>
      <c r="E193" s="15"/>
      <c r="F193" s="15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5"/>
      <c r="B194" s="15"/>
      <c r="C194" s="15"/>
      <c r="D194" s="15"/>
      <c r="E194" s="15"/>
      <c r="F194" s="15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5"/>
      <c r="B195" s="15"/>
      <c r="C195" s="15"/>
      <c r="D195" s="15"/>
      <c r="E195" s="15"/>
      <c r="F195" s="15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5"/>
      <c r="B196" s="15"/>
      <c r="C196" s="15"/>
      <c r="D196" s="15"/>
      <c r="E196" s="15"/>
      <c r="F196" s="15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5"/>
      <c r="B197" s="15"/>
      <c r="C197" s="15"/>
      <c r="D197" s="15"/>
      <c r="E197" s="15"/>
      <c r="F197" s="15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5"/>
      <c r="R197" s="15"/>
      <c r="S197" s="15"/>
      <c r="T197" s="15"/>
      <c r="U197" s="15"/>
      <c r="V197" s="15"/>
      <c r="W197" s="15"/>
      <c r="X197" s="15"/>
      <c r="Y197" s="15"/>
    </row>
  </sheetData>
  <dataValidations>
    <dataValidation type="list" allowBlank="1" sqref="F12 F17 F22:F23">
      <formula1>Menu!$B$74:$B$81</formula1>
    </dataValidation>
    <dataValidation type="list" allowBlank="1" sqref="F141">
      <formula1>#REF!</formula1>
    </dataValidation>
    <dataValidation type="list" allowBlank="1" sqref="E6 E12:E13 E17:E18 E30:E31 E36 E40 E44 E52 E59:E63 E66:E67 E73 E88 E129">
      <formula1>Menu!$B$36:$B$60</formula1>
    </dataValidation>
    <dataValidation type="list" allowBlank="1" sqref="D111 D136:D137 D141">
      <formula1>#REF!</formula1>
    </dataValidation>
    <dataValidation type="list" allowBlank="1" sqref="F6 F14 F18 F40 F44 F52:F53 F62 F65 F71 F88 F128 F131">
      <formula1>Menu!$B$74:$B$84</formula1>
    </dataValidation>
    <dataValidation type="list" allowBlank="1" sqref="C10:C12 C17 C19:C20 C23 C25 C27:C28 C32 C36:C37 C41 C45 C53:C54 C57:C61 C63:C64 C66:C68 C70:C75 C77 C79:C81 C83 C85:C86 C97 C129 C131">
      <formula1>Menu!$B$2:$B$16</formula1>
    </dataValidation>
    <dataValidation type="list" allowBlank="1" sqref="C5:C9 C13:C16 C18 C21:C22 C24 C26 C29:C31 C33:C35 C38:C40 C42:C44 C46:C52 C55:C56 C62 C65 C69 C76 C78 C82 C84 C87:C88 C95 C128 C130">
      <formula1>Menu!$B$2:$B$15</formula1>
    </dataValidation>
    <dataValidation type="list" allowBlank="1" sqref="F5 F7:F11 F13 F15:F16 F19:F21 F24:F34 F36:F39 F41:F43 F45:F51 F54:F61 F63:F64 F68:F70 F72:F83 F85:F87 F97 F110 F129">
      <formula1>Menu!$B$74:$B$86</formula1>
    </dataValidation>
    <dataValidation type="list" allowBlank="1" sqref="D12 D17 D23 D71 D80">
      <formula1>Menu!$B$20:$B$28</formula1>
    </dataValidation>
    <dataValidation type="list" allowBlank="1" sqref="C111 C136:C137 C141">
      <formula1>#REF!</formula1>
    </dataValidation>
    <dataValidation type="list" allowBlank="1" sqref="D5:D11 D13:D16 D18:D22 D24:D60 D62:D70 D72 D74:D79 D81:D88 D95 D97 D110 D128:D131">
      <formula1>Menu!$B$20:$B$27</formula1>
    </dataValidation>
    <dataValidation type="list" allowBlank="1" sqref="D73">
      <formula1>Menu!$B$17:$B$27</formula1>
    </dataValidation>
    <dataValidation type="list" allowBlank="1" sqref="H5:H88">
      <formula1>Menu!$A$1</formula1>
    </dataValidation>
    <dataValidation type="list" allowBlank="1" sqref="E111 E136:E137 E141">
      <formula1>#REF!</formula1>
    </dataValidation>
    <dataValidation type="list" allowBlank="1" sqref="F111">
      <formula1>#REF!</formula1>
    </dataValidation>
    <dataValidation type="list" allowBlank="1" sqref="E5 E7:E11 E14:E16 E19:E29 E32:E35 E37:E39 E41:E43 E45:E51 E53:E58 E64:E65 E68:E72 E74:E87 E95 E97 E110 E128 E130:E131">
      <formula1>Menu!$B$36:$B$61</formula1>
    </dataValidation>
    <dataValidation type="list" allowBlank="1" sqref="D61">
      <formula1>Menu!$B$21:$B$27</formula1>
    </dataValidation>
  </dataValidations>
  <printOptions gridLines="1"/>
  <pageMargins bottom="0.75" footer="0.0" header="0.0" left="0.33379310344827584" right="0.2" top="0.75"/>
  <pageSetup fitToHeight="0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5.13"/>
    <col customWidth="1" min="3" max="3" width="14.38"/>
    <col customWidth="1" min="4" max="4" width="17.0"/>
    <col customWidth="1" min="5" max="5" width="20.75"/>
    <col customWidth="1" min="6" max="6" width="18.25"/>
    <col customWidth="1" min="7" max="7" width="25.5"/>
    <col customWidth="1" min="9" max="9" width="16.5"/>
    <col customWidth="1" min="11" max="11" width="8.25"/>
    <col customWidth="1" min="12" max="12" width="7.5"/>
  </cols>
  <sheetData>
    <row r="1">
      <c r="A1" s="9" t="s">
        <v>2</v>
      </c>
      <c r="B1" s="110"/>
      <c r="C1" s="6"/>
      <c r="D1" s="9"/>
      <c r="E1" s="9"/>
      <c r="F1" s="9"/>
      <c r="G1" s="111"/>
      <c r="H1" s="111"/>
      <c r="I1" s="113"/>
      <c r="J1" s="113"/>
      <c r="K1" s="113"/>
      <c r="L1" s="113"/>
      <c r="M1" s="113"/>
      <c r="N1" s="113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115" t="s">
        <v>37</v>
      </c>
      <c r="B2" s="117"/>
      <c r="C2" s="118"/>
      <c r="D2" s="70"/>
      <c r="E2" s="70"/>
      <c r="F2" s="70"/>
      <c r="G2" s="111"/>
      <c r="H2" s="111"/>
      <c r="I2" s="113"/>
      <c r="J2" s="113"/>
      <c r="K2" s="113"/>
      <c r="L2" s="113"/>
      <c r="M2" s="113"/>
      <c r="N2" s="11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24" t="s">
        <v>28</v>
      </c>
      <c r="B3" s="119"/>
      <c r="C3" s="6"/>
      <c r="D3" s="118"/>
      <c r="E3" s="118"/>
      <c r="F3" s="118"/>
      <c r="G3" s="111"/>
      <c r="H3" s="111"/>
      <c r="I3" s="113"/>
      <c r="J3" s="113"/>
      <c r="K3" s="113"/>
      <c r="L3" s="113"/>
      <c r="M3" s="113"/>
      <c r="N3" s="113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124" t="s">
        <v>38</v>
      </c>
      <c r="B4" s="126"/>
      <c r="C4" s="124" t="s">
        <v>50</v>
      </c>
      <c r="D4" s="120" t="s">
        <v>42</v>
      </c>
      <c r="E4" s="120" t="s">
        <v>45</v>
      </c>
      <c r="F4" s="120" t="s">
        <v>53</v>
      </c>
      <c r="G4" s="127"/>
      <c r="H4" s="127"/>
      <c r="I4" s="123" t="str">
        <f>IFERROR(__xludf.DUMMYFUNCTION("QUERY(A5:H92, ""Select C, count(A), H group by C, H order by H"")"),"")</f>
        <v/>
      </c>
      <c r="J4" s="112" t="str">
        <f>IFERROR(__xludf.DUMMYFUNCTION("""COMPUTED_VALUE"""),"count ")</f>
        <v>count </v>
      </c>
      <c r="K4" s="112" t="str">
        <f>IFERROR(__xludf.DUMMYFUNCTION("""COMPUTED_VALUE"""),"")</f>
        <v/>
      </c>
      <c r="L4" s="123" t="str">
        <f>IFERROR(__xludf.DUMMYFUNCTION("QUERY(A5:H92, ""Select D, count(A), H group by D, H order by H"")"),"")</f>
        <v/>
      </c>
      <c r="M4" s="112" t="str">
        <f>IFERROR(__xludf.DUMMYFUNCTION("""COMPUTED_VALUE"""),"count ")</f>
        <v>count </v>
      </c>
      <c r="N4" s="112" t="str">
        <f>IFERROR(__xludf.DUMMYFUNCTION("""COMPUTED_VALUE"""),"")</f>
        <v/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30.0" customHeight="1">
      <c r="A5" s="6" t="s">
        <v>355</v>
      </c>
      <c r="B5" s="43">
        <v>1.0</v>
      </c>
      <c r="C5" s="47" t="s">
        <v>55</v>
      </c>
      <c r="D5" s="47" t="s">
        <v>87</v>
      </c>
      <c r="E5" s="47" t="s">
        <v>191</v>
      </c>
      <c r="F5" s="97" t="s">
        <v>98</v>
      </c>
      <c r="G5" s="130" t="str">
        <f t="shared" ref="G5:G58" si="1"> CONCATENATE(E5," ", F5)</f>
        <v>крылья Картошка</v>
      </c>
      <c r="H5" s="130" t="s">
        <v>1</v>
      </c>
      <c r="I5" s="112"/>
      <c r="J5" s="112">
        <f>IFERROR(__xludf.DUMMYFUNCTION("""COMPUTED_VALUE"""),0.0)</f>
        <v>0</v>
      </c>
      <c r="K5" s="112"/>
      <c r="L5" s="112"/>
      <c r="M5" s="112">
        <f>IFERROR(__xludf.DUMMYFUNCTION("""COMPUTED_VALUE"""),0.0)</f>
        <v>0</v>
      </c>
      <c r="N5" s="112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</row>
    <row r="6" ht="30.0" customHeight="1">
      <c r="A6" s="68" t="s">
        <v>136</v>
      </c>
      <c r="B6" s="43">
        <v>2.0</v>
      </c>
      <c r="C6" s="47" t="s">
        <v>5</v>
      </c>
      <c r="D6" s="47" t="s">
        <v>65</v>
      </c>
      <c r="E6" s="47" t="s">
        <v>169</v>
      </c>
      <c r="F6" s="47"/>
      <c r="G6" s="130" t="str">
        <f t="shared" si="1"/>
        <v>Гуляш </v>
      </c>
      <c r="H6" s="130" t="s">
        <v>1</v>
      </c>
      <c r="I6" s="112"/>
      <c r="J6" s="112">
        <f>IFERROR(__xludf.DUMMYFUNCTION("""COMPUTED_VALUE"""),2.0)</f>
        <v>2</v>
      </c>
      <c r="K6" s="112" t="str">
        <f>IFERROR(__xludf.DUMMYFUNCTION("""COMPUTED_VALUE"""),"Олимп")</f>
        <v>Олимп</v>
      </c>
      <c r="L6" s="112"/>
      <c r="M6" s="112">
        <f>IFERROR(__xludf.DUMMYFUNCTION("""COMPUTED_VALUE"""),2.0)</f>
        <v>2</v>
      </c>
      <c r="N6" s="112" t="str">
        <f>IFERROR(__xludf.DUMMYFUNCTION("""COMPUTED_VALUE"""),"Олимп")</f>
        <v>Олимп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</row>
    <row r="7" ht="30.0" customHeight="1">
      <c r="A7" s="43" t="s">
        <v>139</v>
      </c>
      <c r="B7" s="43">
        <v>3.0</v>
      </c>
      <c r="C7" s="47" t="s">
        <v>12</v>
      </c>
      <c r="D7" s="47" t="s">
        <v>95</v>
      </c>
      <c r="E7" s="47" t="s">
        <v>157</v>
      </c>
      <c r="F7" s="47"/>
      <c r="G7" s="130" t="str">
        <f t="shared" si="1"/>
        <v>Бл. твор </v>
      </c>
      <c r="H7" s="130" t="s">
        <v>1</v>
      </c>
      <c r="I7" s="112" t="str">
        <f>IFERROR(__xludf.DUMMYFUNCTION("""COMPUTED_VALUE"""),"Весна")</f>
        <v>Весна</v>
      </c>
      <c r="J7" s="112">
        <f>IFERROR(__xludf.DUMMYFUNCTION("""COMPUTED_VALUE"""),6.0)</f>
        <v>6</v>
      </c>
      <c r="K7" s="112" t="str">
        <f>IFERROR(__xludf.DUMMYFUNCTION("""COMPUTED_VALUE"""),"Олимп")</f>
        <v>Олимп</v>
      </c>
      <c r="L7" s="112" t="str">
        <f>IFERROR(__xludf.DUMMYFUNCTION("""COMPUTED_VALUE"""),"3.Б")</f>
        <v>3.Б</v>
      </c>
      <c r="M7" s="112">
        <f>IFERROR(__xludf.DUMMYFUNCTION("""COMPUTED_VALUE"""),22.0)</f>
        <v>22</v>
      </c>
      <c r="N7" s="112" t="str">
        <f>IFERROR(__xludf.DUMMYFUNCTION("""COMPUTED_VALUE"""),"Олимп")</f>
        <v>Олимп</v>
      </c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</row>
    <row r="8" ht="30.0" customHeight="1">
      <c r="A8" s="80" t="s">
        <v>170</v>
      </c>
      <c r="B8" s="43">
        <v>4.0</v>
      </c>
      <c r="C8" s="47" t="s">
        <v>12</v>
      </c>
      <c r="D8" s="47"/>
      <c r="E8" s="47" t="s">
        <v>67</v>
      </c>
      <c r="F8" s="47" t="s">
        <v>80</v>
      </c>
      <c r="G8" s="130" t="str">
        <f t="shared" si="1"/>
        <v>Баса Гр  </v>
      </c>
      <c r="H8" s="128" t="s">
        <v>1</v>
      </c>
      <c r="I8" s="112" t="str">
        <f>IFERROR(__xludf.DUMMYFUNCTION("""COMPUTED_VALUE"""),"Вин")</f>
        <v>Вин</v>
      </c>
      <c r="J8" s="112">
        <f>IFERROR(__xludf.DUMMYFUNCTION("""COMPUTED_VALUE"""),16.0)</f>
        <v>16</v>
      </c>
      <c r="K8" s="112" t="str">
        <f>IFERROR(__xludf.DUMMYFUNCTION("""COMPUTED_VALUE"""),"Олимп")</f>
        <v>Олимп</v>
      </c>
      <c r="L8" s="112" t="str">
        <f>IFERROR(__xludf.DUMMYFUNCTION("""COMPUTED_VALUE"""),"Б ")</f>
        <v>Б </v>
      </c>
      <c r="M8" s="112">
        <f>IFERROR(__xludf.DUMMYFUNCTION("""COMPUTED_VALUE"""),19.0)</f>
        <v>19</v>
      </c>
      <c r="N8" s="112" t="str">
        <f>IFERROR(__xludf.DUMMYFUNCTION("""COMPUTED_VALUE"""),"Олимп")</f>
        <v>Олимп</v>
      </c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</row>
    <row r="9" ht="29.25" customHeight="1">
      <c r="A9" s="80" t="s">
        <v>369</v>
      </c>
      <c r="B9" s="43">
        <v>5.0</v>
      </c>
      <c r="C9" s="47" t="s">
        <v>55</v>
      </c>
      <c r="D9" s="47" t="s">
        <v>87</v>
      </c>
      <c r="E9" s="47" t="s">
        <v>209</v>
      </c>
      <c r="F9" s="47" t="s">
        <v>98</v>
      </c>
      <c r="G9" s="130" t="str">
        <f t="shared" si="1"/>
        <v>Шницель Картошка</v>
      </c>
      <c r="H9" s="130" t="s">
        <v>1</v>
      </c>
      <c r="I9" s="112" t="str">
        <f>IFERROR(__xludf.DUMMYFUNCTION("""COMPUTED_VALUE"""),"Днестр")</f>
        <v>Днестр</v>
      </c>
      <c r="J9" s="112">
        <f>IFERROR(__xludf.DUMMYFUNCTION("""COMPUTED_VALUE"""),9.0)</f>
        <v>9</v>
      </c>
      <c r="K9" s="112" t="str">
        <f>IFERROR(__xludf.DUMMYFUNCTION("""COMPUTED_VALUE"""),"Олимп")</f>
        <v>Олимп</v>
      </c>
      <c r="L9" s="112" t="str">
        <f>IFERROR(__xludf.DUMMYFUNCTION("""COMPUTED_VALUE"""),"Горох")</f>
        <v>Горох</v>
      </c>
      <c r="M9" s="112">
        <f>IFERROR(__xludf.DUMMYFUNCTION("""COMPUTED_VALUE"""),11.0)</f>
        <v>11</v>
      </c>
      <c r="N9" s="112" t="str">
        <f>IFERROR(__xludf.DUMMYFUNCTION("""COMPUTED_VALUE"""),"Олимп")</f>
        <v>Олимп</v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</row>
    <row r="10" ht="29.25" customHeight="1">
      <c r="A10" s="6" t="s">
        <v>374</v>
      </c>
      <c r="B10" s="43">
        <v>6.0</v>
      </c>
      <c r="C10" s="47" t="s">
        <v>32</v>
      </c>
      <c r="D10" s="47" t="s">
        <v>78</v>
      </c>
      <c r="E10" s="47" t="s">
        <v>166</v>
      </c>
      <c r="F10" s="97" t="s">
        <v>98</v>
      </c>
      <c r="G10" s="130" t="str">
        <f t="shared" si="1"/>
        <v>Голубцы Картошка</v>
      </c>
      <c r="H10" s="130" t="s">
        <v>1</v>
      </c>
      <c r="I10" s="112" t="str">
        <f>IFERROR(__xludf.DUMMYFUNCTION("""COMPUTED_VALUE"""),"Ол ")</f>
        <v>Ол </v>
      </c>
      <c r="J10" s="112">
        <f>IFERROR(__xludf.DUMMYFUNCTION("""COMPUTED_VALUE"""),4.0)</f>
        <v>4</v>
      </c>
      <c r="K10" s="112" t="str">
        <f>IFERROR(__xludf.DUMMYFUNCTION("""COMPUTED_VALUE"""),"Олимп")</f>
        <v>Олимп</v>
      </c>
      <c r="L10" s="112" t="str">
        <f>IFERROR(__xludf.DUMMYFUNCTION("""COMPUTED_VALUE"""),"Гриб")</f>
        <v>Гриб</v>
      </c>
      <c r="M10" s="112">
        <f>IFERROR(__xludf.DUMMYFUNCTION("""COMPUTED_VALUE"""),4.0)</f>
        <v>4</v>
      </c>
      <c r="N10" s="112" t="str">
        <f>IFERROR(__xludf.DUMMYFUNCTION("""COMPUTED_VALUE"""),"Олимп")</f>
        <v>Олимп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</row>
    <row r="11" ht="29.25" customHeight="1">
      <c r="A11" s="43" t="s">
        <v>205</v>
      </c>
      <c r="B11" s="43">
        <v>7.0</v>
      </c>
      <c r="C11" s="47" t="s">
        <v>16</v>
      </c>
      <c r="D11" s="47" t="s">
        <v>105</v>
      </c>
      <c r="E11" s="47" t="s">
        <v>209</v>
      </c>
      <c r="F11" s="47" t="s">
        <v>80</v>
      </c>
      <c r="G11" s="130" t="str">
        <f t="shared" si="1"/>
        <v>Шницель Гр  </v>
      </c>
      <c r="H11" s="130" t="s">
        <v>1</v>
      </c>
      <c r="I11" s="112" t="str">
        <f>IFERROR(__xludf.DUMMYFUNCTION("""COMPUTED_VALUE"""),"Сало")</f>
        <v>Сало</v>
      </c>
      <c r="J11" s="112">
        <f>IFERROR(__xludf.DUMMYFUNCTION("""COMPUTED_VALUE"""),14.0)</f>
        <v>14</v>
      </c>
      <c r="K11" s="112" t="str">
        <f>IFERROR(__xludf.DUMMYFUNCTION("""COMPUTED_VALUE"""),"Олимп")</f>
        <v>Олимп</v>
      </c>
      <c r="L11" s="112" t="str">
        <f>IFERROR(__xludf.DUMMYFUNCTION("""COMPUTED_VALUE"""),"Кур ")</f>
        <v>Кур </v>
      </c>
      <c r="M11" s="112">
        <f>IFERROR(__xludf.DUMMYFUNCTION("""COMPUTED_VALUE"""),18.0)</f>
        <v>18</v>
      </c>
      <c r="N11" s="112" t="str">
        <f>IFERROR(__xludf.DUMMYFUNCTION("""COMPUTED_VALUE"""),"Олимп")</f>
        <v>Олимп</v>
      </c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 ht="29.25" customHeight="1">
      <c r="A12" s="132" t="s">
        <v>380</v>
      </c>
      <c r="B12" s="43">
        <v>8.0</v>
      </c>
      <c r="C12" s="47" t="s">
        <v>23</v>
      </c>
      <c r="D12" s="47" t="s">
        <v>87</v>
      </c>
      <c r="E12" s="47" t="s">
        <v>161</v>
      </c>
      <c r="F12" s="47"/>
      <c r="G12" s="133" t="str">
        <f t="shared" si="1"/>
        <v>Вар.Кар </v>
      </c>
      <c r="H12" s="133" t="s">
        <v>1</v>
      </c>
      <c r="I12" s="112" t="str">
        <f>IFERROR(__xludf.DUMMYFUNCTION("""COMPUTED_VALUE"""),"Свкл")</f>
        <v>Свкл</v>
      </c>
      <c r="J12" s="112">
        <f>IFERROR(__xludf.DUMMYFUNCTION("""COMPUTED_VALUE"""),6.0)</f>
        <v>6</v>
      </c>
      <c r="K12" s="112" t="str">
        <f>IFERROR(__xludf.DUMMYFUNCTION("""COMPUTED_VALUE"""),"Олимп")</f>
        <v>Олимп</v>
      </c>
      <c r="L12" s="112" t="str">
        <f>IFERROR(__xludf.DUMMYFUNCTION("""COMPUTED_VALUE"""),"Овощ")</f>
        <v>Овощ</v>
      </c>
      <c r="M12" s="112">
        <f>IFERROR(__xludf.DUMMYFUNCTION("""COMPUTED_VALUE"""),6.0)</f>
        <v>6</v>
      </c>
      <c r="N12" s="112" t="str">
        <f>IFERROR(__xludf.DUMMYFUNCTION("""COMPUTED_VALUE"""),"Олимп")</f>
        <v>Олимп</v>
      </c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</row>
    <row r="13" ht="29.25" customHeight="1">
      <c r="A13" s="132" t="s">
        <v>387</v>
      </c>
      <c r="B13" s="43">
        <v>9.0</v>
      </c>
      <c r="C13" s="129" t="s">
        <v>32</v>
      </c>
      <c r="D13" s="47" t="s">
        <v>78</v>
      </c>
      <c r="E13" s="129" t="s">
        <v>187</v>
      </c>
      <c r="F13" s="97" t="s">
        <v>127</v>
      </c>
      <c r="G13" s="130" t="str">
        <f t="shared" si="1"/>
        <v>Котл. кур MP </v>
      </c>
      <c r="H13" s="130" t="s">
        <v>1</v>
      </c>
      <c r="I13" s="112" t="str">
        <f>IFERROR(__xludf.DUMMYFUNCTION("""COMPUTED_VALUE"""),"Селедка")</f>
        <v>Селедка</v>
      </c>
      <c r="J13" s="112">
        <f>IFERROR(__xludf.DUMMYFUNCTION("""COMPUTED_VALUE"""),9.0)</f>
        <v>9</v>
      </c>
      <c r="K13" s="112" t="str">
        <f>IFERROR(__xludf.DUMMYFUNCTION("""COMPUTED_VALUE"""),"Олимп")</f>
        <v>Олимп</v>
      </c>
      <c r="L13" s="112" t="str">
        <f>IFERROR(__xludf.DUMMYFUNCTION("""COMPUTED_VALUE"""),"Харчо ")</f>
        <v>Харчо </v>
      </c>
      <c r="M13" s="112">
        <f>IFERROR(__xludf.DUMMYFUNCTION("""COMPUTED_VALUE"""),2.0)</f>
        <v>2</v>
      </c>
      <c r="N13" s="112" t="str">
        <f>IFERROR(__xludf.DUMMYFUNCTION("""COMPUTED_VALUE"""),"Олимп")</f>
        <v>Олимп</v>
      </c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 ht="30.0" customHeight="1">
      <c r="A14" s="43" t="s">
        <v>202</v>
      </c>
      <c r="B14" s="43">
        <v>10.0</v>
      </c>
      <c r="C14" s="47" t="s">
        <v>62</v>
      </c>
      <c r="D14" s="47" t="s">
        <v>117</v>
      </c>
      <c r="E14" s="47" t="s">
        <v>191</v>
      </c>
      <c r="F14" s="47"/>
      <c r="G14" s="130" t="str">
        <f t="shared" si="1"/>
        <v>крылья </v>
      </c>
      <c r="H14" s="130" t="s">
        <v>1</v>
      </c>
      <c r="I14" s="112" t="str">
        <f>IFERROR(__xludf.DUMMYFUNCTION("""COMPUTED_VALUE"""),"баклаж")</f>
        <v>баклаж</v>
      </c>
      <c r="J14" s="112">
        <f>IFERROR(__xludf.DUMMYFUNCTION("""COMPUTED_VALUE"""),7.0)</f>
        <v>7</v>
      </c>
      <c r="K14" s="112" t="str">
        <f>IFERROR(__xludf.DUMMYFUNCTION("""COMPUTED_VALUE"""),"Олимп")</f>
        <v>Олимп</v>
      </c>
      <c r="L14" s="112"/>
      <c r="M14" s="112"/>
      <c r="N14" s="112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</row>
    <row r="15" ht="30.0" customHeight="1">
      <c r="A15" s="43" t="s">
        <v>395</v>
      </c>
      <c r="B15" s="43">
        <v>11.0</v>
      </c>
      <c r="C15" s="47" t="s">
        <v>16</v>
      </c>
      <c r="D15" s="47" t="s">
        <v>105</v>
      </c>
      <c r="E15" s="47" t="s">
        <v>204</v>
      </c>
      <c r="F15" s="47" t="s">
        <v>276</v>
      </c>
      <c r="G15" s="130" t="str">
        <f t="shared" si="1"/>
        <v>Св. отбив   Фасоль</v>
      </c>
      <c r="H15" s="130" t="s">
        <v>1</v>
      </c>
      <c r="I15" s="112" t="str">
        <f>IFERROR(__xludf.DUMMYFUNCTION("""COMPUTED_VALUE"""),"капуста")</f>
        <v>капуста</v>
      </c>
      <c r="J15" s="112">
        <f>IFERROR(__xludf.DUMMYFUNCTION("""COMPUTED_VALUE"""),11.0)</f>
        <v>11</v>
      </c>
      <c r="K15" s="112" t="str">
        <f>IFERROR(__xludf.DUMMYFUNCTION("""COMPUTED_VALUE"""),"Олимп")</f>
        <v>Олимп</v>
      </c>
      <c r="L15" s="112"/>
      <c r="M15" s="112"/>
      <c r="N15" s="112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</row>
    <row r="16" ht="30.0" customHeight="1">
      <c r="A16" s="55" t="s">
        <v>383</v>
      </c>
      <c r="B16" s="43">
        <v>12.0</v>
      </c>
      <c r="C16" s="47" t="s">
        <v>16</v>
      </c>
      <c r="D16" s="47" t="s">
        <v>78</v>
      </c>
      <c r="E16" s="47" t="s">
        <v>112</v>
      </c>
      <c r="F16" s="47" t="s">
        <v>98</v>
      </c>
      <c r="G16" s="130" t="str">
        <f t="shared" si="1"/>
        <v>Поперечка Картошка</v>
      </c>
      <c r="H16" s="130" t="s">
        <v>1</v>
      </c>
      <c r="I16" s="112"/>
      <c r="J16" s="112"/>
      <c r="K16" s="112"/>
      <c r="L16" s="112"/>
      <c r="M16" s="112"/>
      <c r="N16" s="112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</row>
    <row r="17" ht="30.0" customHeight="1">
      <c r="A17" s="43" t="s">
        <v>386</v>
      </c>
      <c r="B17" s="43">
        <v>13.0</v>
      </c>
      <c r="C17" s="47" t="s">
        <v>62</v>
      </c>
      <c r="D17" s="47" t="s">
        <v>95</v>
      </c>
      <c r="E17" s="47" t="s">
        <v>173</v>
      </c>
      <c r="F17" s="47" t="s">
        <v>98</v>
      </c>
      <c r="G17" s="130" t="str">
        <f t="shared" si="1"/>
        <v>Дорадо Картошка</v>
      </c>
      <c r="H17" s="130" t="s">
        <v>1</v>
      </c>
      <c r="I17" s="112"/>
      <c r="J17" s="112"/>
      <c r="K17" s="112"/>
      <c r="L17" s="112"/>
      <c r="M17" s="112"/>
      <c r="N17" s="112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</row>
    <row r="18" ht="30.0" customHeight="1">
      <c r="A18" s="43" t="s">
        <v>407</v>
      </c>
      <c r="B18" s="43">
        <v>14.0</v>
      </c>
      <c r="C18" s="47" t="s">
        <v>16</v>
      </c>
      <c r="D18" s="47" t="s">
        <v>105</v>
      </c>
      <c r="E18" s="47" t="s">
        <v>211</v>
      </c>
      <c r="F18" s="47" t="s">
        <v>98</v>
      </c>
      <c r="G18" s="130" t="str">
        <f t="shared" si="1"/>
        <v>табака  Картошка</v>
      </c>
      <c r="H18" s="130" t="s">
        <v>1</v>
      </c>
      <c r="I18" s="123"/>
      <c r="J18" s="112"/>
      <c r="K18" s="112"/>
      <c r="L18" s="112"/>
      <c r="M18" s="112"/>
      <c r="N18" s="112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</row>
    <row r="19" ht="30.0" customHeight="1">
      <c r="A19" s="43" t="s">
        <v>213</v>
      </c>
      <c r="B19" s="43">
        <v>15.0</v>
      </c>
      <c r="C19" s="47" t="s">
        <v>23</v>
      </c>
      <c r="D19" s="129" t="s">
        <v>105</v>
      </c>
      <c r="E19" s="47" t="s">
        <v>181</v>
      </c>
      <c r="F19" s="47" t="s">
        <v>113</v>
      </c>
      <c r="G19" s="130" t="str">
        <f t="shared" si="1"/>
        <v>Жульен  FF</v>
      </c>
      <c r="H19" s="130" t="s">
        <v>1</v>
      </c>
      <c r="I19" s="123"/>
      <c r="J19" s="112"/>
      <c r="K19" s="112"/>
      <c r="L19" s="112"/>
      <c r="M19" s="112"/>
      <c r="N19" s="112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</row>
    <row r="20" ht="30.0" customHeight="1">
      <c r="A20" s="43" t="s">
        <v>418</v>
      </c>
      <c r="B20" s="43">
        <v>16.0</v>
      </c>
      <c r="C20" s="47" t="s">
        <v>62</v>
      </c>
      <c r="D20" s="47" t="s">
        <v>78</v>
      </c>
      <c r="E20" s="47" t="s">
        <v>169</v>
      </c>
      <c r="F20" s="47" t="s">
        <v>127</v>
      </c>
      <c r="G20" s="130" t="str">
        <f t="shared" si="1"/>
        <v>Гуляш MP </v>
      </c>
      <c r="H20" s="130" t="s">
        <v>1</v>
      </c>
      <c r="I20" s="123"/>
      <c r="J20" s="112"/>
      <c r="K20" s="112"/>
      <c r="L20" s="112"/>
      <c r="M20" s="112"/>
      <c r="N20" s="112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</row>
    <row r="21" ht="30.0" customHeight="1">
      <c r="A21" s="43" t="s">
        <v>424</v>
      </c>
      <c r="B21" s="43">
        <v>17.0</v>
      </c>
      <c r="C21" s="47" t="s">
        <v>23</v>
      </c>
      <c r="D21" s="47" t="s">
        <v>87</v>
      </c>
      <c r="E21" s="47" t="s">
        <v>191</v>
      </c>
      <c r="F21" s="47" t="s">
        <v>127</v>
      </c>
      <c r="G21" s="130" t="str">
        <f t="shared" si="1"/>
        <v>крылья MP </v>
      </c>
      <c r="H21" s="130" t="s">
        <v>1</v>
      </c>
      <c r="I21" s="123"/>
      <c r="J21" s="112"/>
      <c r="K21" s="112"/>
      <c r="L21" s="112"/>
      <c r="M21" s="112"/>
      <c r="N21" s="112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</row>
    <row r="22" ht="30.0" customHeight="1">
      <c r="A22" s="43" t="s">
        <v>427</v>
      </c>
      <c r="B22" s="43">
        <v>18.0</v>
      </c>
      <c r="C22" s="47" t="s">
        <v>57</v>
      </c>
      <c r="D22" s="47" t="s">
        <v>117</v>
      </c>
      <c r="E22" s="47" t="s">
        <v>126</v>
      </c>
      <c r="F22" s="47" t="s">
        <v>122</v>
      </c>
      <c r="G22" s="130" t="str">
        <f t="shared" si="1"/>
        <v>S   Туш. кап.</v>
      </c>
      <c r="H22" s="130" t="s">
        <v>1</v>
      </c>
      <c r="I22" s="123"/>
      <c r="J22" s="112"/>
      <c r="K22" s="112"/>
      <c r="L22" s="112"/>
      <c r="M22" s="112"/>
      <c r="N22" s="112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</row>
    <row r="23" ht="30.0" customHeight="1">
      <c r="A23" s="43" t="s">
        <v>435</v>
      </c>
      <c r="B23" s="43">
        <v>19.0</v>
      </c>
      <c r="C23" s="47" t="s">
        <v>47</v>
      </c>
      <c r="D23" s="47" t="s">
        <v>78</v>
      </c>
      <c r="E23" s="47" t="s">
        <v>150</v>
      </c>
      <c r="F23" s="47"/>
      <c r="G23" s="130" t="str">
        <f t="shared" si="1"/>
        <v>Бл. мясо </v>
      </c>
      <c r="H23" s="130" t="s">
        <v>1</v>
      </c>
      <c r="I23" s="123"/>
      <c r="J23" s="112"/>
      <c r="K23" s="112"/>
      <c r="L23" s="112"/>
      <c r="M23" s="112"/>
      <c r="N23" s="112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</row>
    <row r="24" ht="30.0" customHeight="1">
      <c r="A24" s="6" t="s">
        <v>439</v>
      </c>
      <c r="B24" s="43">
        <v>20.0</v>
      </c>
      <c r="C24" s="47" t="s">
        <v>55</v>
      </c>
      <c r="D24" s="47" t="s">
        <v>105</v>
      </c>
      <c r="E24" s="47" t="s">
        <v>165</v>
      </c>
      <c r="F24" s="47"/>
      <c r="G24" s="130" t="str">
        <f t="shared" si="1"/>
        <v>Пельмени </v>
      </c>
      <c r="H24" s="130" t="s">
        <v>1</v>
      </c>
      <c r="I24" s="112"/>
      <c r="J24" s="112"/>
      <c r="K24" s="112"/>
      <c r="L24" s="112"/>
      <c r="M24" s="112"/>
      <c r="N24" s="112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</row>
    <row r="25" ht="30.0" customHeight="1">
      <c r="A25" s="142" t="s">
        <v>245</v>
      </c>
      <c r="B25" s="43">
        <v>21.0</v>
      </c>
      <c r="C25" s="47" t="s">
        <v>32</v>
      </c>
      <c r="D25" s="47" t="s">
        <v>95</v>
      </c>
      <c r="E25" s="47" t="s">
        <v>169</v>
      </c>
      <c r="F25" s="47" t="s">
        <v>98</v>
      </c>
      <c r="G25" s="130" t="str">
        <f t="shared" si="1"/>
        <v>Гуляш Картошка</v>
      </c>
      <c r="H25" s="130" t="s">
        <v>1</v>
      </c>
      <c r="I25" s="112"/>
      <c r="J25" s="112"/>
      <c r="K25" s="112"/>
      <c r="L25" s="112"/>
      <c r="M25" s="112"/>
      <c r="N25" s="112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</row>
    <row r="26" ht="30.0" customHeight="1">
      <c r="A26" s="142" t="s">
        <v>249</v>
      </c>
      <c r="B26" s="43">
        <v>22.0</v>
      </c>
      <c r="C26" s="47" t="s">
        <v>62</v>
      </c>
      <c r="D26" s="47" t="s">
        <v>105</v>
      </c>
      <c r="E26" s="47" t="s">
        <v>169</v>
      </c>
      <c r="F26" s="47" t="s">
        <v>98</v>
      </c>
      <c r="G26" s="130" t="str">
        <f t="shared" si="1"/>
        <v>Гуляш Картошка</v>
      </c>
      <c r="H26" s="130" t="s">
        <v>1</v>
      </c>
      <c r="I26" s="112"/>
      <c r="J26" s="112"/>
      <c r="K26" s="112"/>
      <c r="L26" s="112"/>
      <c r="M26" s="112"/>
      <c r="N26" s="112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</row>
    <row r="27" ht="30.0" customHeight="1">
      <c r="A27" s="55" t="s">
        <v>328</v>
      </c>
      <c r="B27" s="43">
        <v>23.0</v>
      </c>
      <c r="C27" s="47" t="s">
        <v>16</v>
      </c>
      <c r="D27" s="47" t="s">
        <v>78</v>
      </c>
      <c r="E27" s="47" t="s">
        <v>181</v>
      </c>
      <c r="F27" s="47"/>
      <c r="G27" s="130" t="str">
        <f t="shared" si="1"/>
        <v>Жульен </v>
      </c>
      <c r="H27" s="130" t="s">
        <v>1</v>
      </c>
      <c r="I27" s="112"/>
      <c r="J27" s="112"/>
      <c r="K27" s="112"/>
      <c r="L27" s="112"/>
      <c r="M27" s="112"/>
      <c r="N27" s="112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</row>
    <row r="28" ht="30.0" customHeight="1">
      <c r="A28" s="80" t="s">
        <v>454</v>
      </c>
      <c r="B28" s="43">
        <v>24.0</v>
      </c>
      <c r="C28" s="47" t="s">
        <v>32</v>
      </c>
      <c r="D28" s="47" t="s">
        <v>87</v>
      </c>
      <c r="E28" s="47" t="s">
        <v>211</v>
      </c>
      <c r="F28" s="47" t="s">
        <v>80</v>
      </c>
      <c r="G28" s="130" t="str">
        <f t="shared" si="1"/>
        <v>табака  Гр  </v>
      </c>
      <c r="H28" s="130" t="s">
        <v>1</v>
      </c>
      <c r="I28" s="112"/>
      <c r="J28" s="112"/>
      <c r="K28" s="112"/>
      <c r="L28" s="112"/>
      <c r="M28" s="112"/>
      <c r="N28" s="112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</row>
    <row r="29" ht="30.0" customHeight="1">
      <c r="A29" s="55" t="s">
        <v>456</v>
      </c>
      <c r="B29" s="43">
        <v>25.0</v>
      </c>
      <c r="C29" s="47" t="s">
        <v>32</v>
      </c>
      <c r="D29" s="47" t="s">
        <v>87</v>
      </c>
      <c r="E29" s="47" t="s">
        <v>211</v>
      </c>
      <c r="F29" s="47" t="s">
        <v>80</v>
      </c>
      <c r="G29" s="130" t="str">
        <f t="shared" si="1"/>
        <v>табака  Гр  </v>
      </c>
      <c r="H29" s="130" t="s">
        <v>1</v>
      </c>
      <c r="I29" s="112"/>
      <c r="J29" s="112"/>
      <c r="K29" s="112"/>
      <c r="L29" s="112"/>
      <c r="M29" s="112"/>
      <c r="N29" s="112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</row>
    <row r="30" ht="30.0" customHeight="1">
      <c r="A30" s="136" t="s">
        <v>258</v>
      </c>
      <c r="B30" s="43">
        <v>26.0</v>
      </c>
      <c r="C30" s="47" t="s">
        <v>16</v>
      </c>
      <c r="D30" s="47" t="s">
        <v>105</v>
      </c>
      <c r="E30" s="47" t="s">
        <v>126</v>
      </c>
      <c r="F30" s="47" t="s">
        <v>113</v>
      </c>
      <c r="G30" s="130" t="str">
        <f t="shared" si="1"/>
        <v>S    FF</v>
      </c>
      <c r="H30" s="130" t="s">
        <v>1</v>
      </c>
      <c r="I30" s="123"/>
      <c r="J30" s="112"/>
      <c r="K30" s="112"/>
      <c r="L30" s="112"/>
      <c r="M30" s="112"/>
      <c r="N30" s="112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</row>
    <row r="31" ht="30.0" customHeight="1">
      <c r="A31" s="80" t="s">
        <v>459</v>
      </c>
      <c r="B31" s="43">
        <v>27.0</v>
      </c>
      <c r="C31" s="47" t="s">
        <v>62</v>
      </c>
      <c r="D31" s="47" t="s">
        <v>105</v>
      </c>
      <c r="E31" s="47" t="s">
        <v>211</v>
      </c>
      <c r="F31" s="47" t="s">
        <v>98</v>
      </c>
      <c r="G31" s="130" t="str">
        <f t="shared" si="1"/>
        <v>табака  Картошка</v>
      </c>
      <c r="H31" s="130" t="s">
        <v>1</v>
      </c>
      <c r="I31" s="123" t="str">
        <f>IFERROR(__xludf.DUMMYFUNCTION("QUERY(A5:H89, ""Select G, count(A), H group by G, H order by H"")"),"")</f>
        <v/>
      </c>
      <c r="J31" s="112" t="str">
        <f>IFERROR(__xludf.DUMMYFUNCTION("""COMPUTED_VALUE"""),"count ")</f>
        <v>count </v>
      </c>
      <c r="K31" s="112" t="str">
        <f>IFERROR(__xludf.DUMMYFUNCTION("""COMPUTED_VALUE"""),"")</f>
        <v/>
      </c>
      <c r="L31" s="112"/>
      <c r="M31" s="112"/>
      <c r="N31" s="112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</row>
    <row r="32" ht="30.0" customHeight="1">
      <c r="A32" s="136" t="s">
        <v>268</v>
      </c>
      <c r="B32" s="43">
        <v>28.0</v>
      </c>
      <c r="C32" s="47" t="s">
        <v>47</v>
      </c>
      <c r="D32" s="47" t="s">
        <v>95</v>
      </c>
      <c r="E32" s="47" t="s">
        <v>173</v>
      </c>
      <c r="F32" s="47" t="s">
        <v>80</v>
      </c>
      <c r="G32" s="121" t="str">
        <f t="shared" si="1"/>
        <v>Дорадо Гр  </v>
      </c>
      <c r="H32" s="128" t="s">
        <v>1</v>
      </c>
      <c r="I32" s="112" t="str">
        <f>IFERROR(__xludf.DUMMYFUNCTION("""COMPUTED_VALUE"""),"S   ")</f>
        <v>S   </v>
      </c>
      <c r="J32" s="112">
        <f>IFERROR(__xludf.DUMMYFUNCTION("""COMPUTED_VALUE"""),1.0)</f>
        <v>1</v>
      </c>
      <c r="K32" s="112" t="str">
        <f>IFERROR(__xludf.DUMMYFUNCTION("""COMPUTED_VALUE"""),"Олимп")</f>
        <v>Олимп</v>
      </c>
      <c r="L32" s="112"/>
      <c r="M32" s="112"/>
      <c r="N32" s="112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</row>
    <row r="33" ht="30.0" customHeight="1">
      <c r="A33" s="150" t="s">
        <v>466</v>
      </c>
      <c r="B33" s="43">
        <v>29.0</v>
      </c>
      <c r="C33" s="47" t="s">
        <v>55</v>
      </c>
      <c r="D33" s="47" t="s">
        <v>105</v>
      </c>
      <c r="E33" s="47" t="s">
        <v>204</v>
      </c>
      <c r="F33" s="47" t="s">
        <v>122</v>
      </c>
      <c r="G33" s="130" t="str">
        <f t="shared" si="1"/>
        <v>Св. отбив   Туш. кап.</v>
      </c>
      <c r="H33" s="130" t="s">
        <v>1</v>
      </c>
      <c r="I33" s="112" t="str">
        <f>IFERROR(__xludf.DUMMYFUNCTION("""COMPUTED_VALUE"""),"S    FF")</f>
        <v>S    FF</v>
      </c>
      <c r="J33" s="112">
        <f>IFERROR(__xludf.DUMMYFUNCTION("""COMPUTED_VALUE"""),1.0)</f>
        <v>1</v>
      </c>
      <c r="K33" s="112" t="str">
        <f>IFERROR(__xludf.DUMMYFUNCTION("""COMPUTED_VALUE"""),"Олимп")</f>
        <v>Олимп</v>
      </c>
      <c r="L33" s="112"/>
      <c r="M33" s="112"/>
      <c r="N33" s="112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</row>
    <row r="34" ht="30.0" customHeight="1">
      <c r="A34" s="80" t="s">
        <v>469</v>
      </c>
      <c r="B34" s="43">
        <v>30.0</v>
      </c>
      <c r="C34" s="47" t="s">
        <v>5</v>
      </c>
      <c r="D34" s="47" t="s">
        <v>78</v>
      </c>
      <c r="E34" s="47" t="s">
        <v>126</v>
      </c>
      <c r="F34" s="47" t="s">
        <v>127</v>
      </c>
      <c r="G34" s="130" t="str">
        <f t="shared" si="1"/>
        <v>S   MP </v>
      </c>
      <c r="H34" s="130" t="s">
        <v>1</v>
      </c>
      <c r="I34" s="112" t="str">
        <f>IFERROR(__xludf.DUMMYFUNCTION("""COMPUTED_VALUE"""),"S   MP ")</f>
        <v>S   MP </v>
      </c>
      <c r="J34" s="112">
        <f>IFERROR(__xludf.DUMMYFUNCTION("""COMPUTED_VALUE"""),5.0)</f>
        <v>5</v>
      </c>
      <c r="K34" s="112" t="str">
        <f>IFERROR(__xludf.DUMMYFUNCTION("""COMPUTED_VALUE"""),"Олимп")</f>
        <v>Олимп</v>
      </c>
      <c r="L34" s="112"/>
      <c r="M34" s="112"/>
      <c r="N34" s="112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ht="30.0" customHeight="1">
      <c r="A35" s="55" t="s">
        <v>246</v>
      </c>
      <c r="B35" s="43">
        <v>31.0</v>
      </c>
      <c r="C35" s="47" t="s">
        <v>62</v>
      </c>
      <c r="D35" s="47" t="s">
        <v>85</v>
      </c>
      <c r="E35" s="47" t="s">
        <v>67</v>
      </c>
      <c r="F35" s="47" t="s">
        <v>80</v>
      </c>
      <c r="G35" s="121" t="str">
        <f t="shared" si="1"/>
        <v>Баса Гр  </v>
      </c>
      <c r="H35" s="128" t="s">
        <v>1</v>
      </c>
      <c r="I35" s="112" t="str">
        <f>IFERROR(__xludf.DUMMYFUNCTION("""COMPUTED_VALUE"""),"S   Гр  ")</f>
        <v>S   Гр  </v>
      </c>
      <c r="J35" s="112">
        <f>IFERROR(__xludf.DUMMYFUNCTION("""COMPUTED_VALUE"""),1.0)</f>
        <v>1</v>
      </c>
      <c r="K35" s="112" t="str">
        <f>IFERROR(__xludf.DUMMYFUNCTION("""COMPUTED_VALUE"""),"Олимп")</f>
        <v>Олимп</v>
      </c>
      <c r="L35" s="112"/>
      <c r="M35" s="112"/>
      <c r="N35" s="112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</row>
    <row r="36" ht="30.0" customHeight="1">
      <c r="A36" s="80" t="s">
        <v>474</v>
      </c>
      <c r="B36" s="43">
        <v>32.0</v>
      </c>
      <c r="C36" s="47" t="s">
        <v>32</v>
      </c>
      <c r="D36" s="47" t="s">
        <v>87</v>
      </c>
      <c r="E36" s="47" t="s">
        <v>211</v>
      </c>
      <c r="F36" s="47" t="s">
        <v>80</v>
      </c>
      <c r="G36" s="121" t="str">
        <f t="shared" si="1"/>
        <v>табака  Гр  </v>
      </c>
      <c r="H36" s="128" t="s">
        <v>1</v>
      </c>
      <c r="I36" s="112" t="str">
        <f>IFERROR(__xludf.DUMMYFUNCTION("""COMPUTED_VALUE"""),"S   Паста  ")</f>
        <v>S   Паста  </v>
      </c>
      <c r="J36" s="112">
        <f>IFERROR(__xludf.DUMMYFUNCTION("""COMPUTED_VALUE"""),1.0)</f>
        <v>1</v>
      </c>
      <c r="K36" s="112" t="str">
        <f>IFERROR(__xludf.DUMMYFUNCTION("""COMPUTED_VALUE"""),"Олимп")</f>
        <v>Олимп</v>
      </c>
      <c r="L36" s="112"/>
      <c r="M36" s="112"/>
      <c r="N36" s="112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</row>
    <row r="37" ht="30.0" customHeight="1">
      <c r="A37" s="43" t="s">
        <v>308</v>
      </c>
      <c r="B37" s="43">
        <v>33.0</v>
      </c>
      <c r="C37" s="47" t="s">
        <v>62</v>
      </c>
      <c r="D37" s="47" t="s">
        <v>87</v>
      </c>
      <c r="E37" s="47" t="s">
        <v>79</v>
      </c>
      <c r="F37" s="47" t="s">
        <v>127</v>
      </c>
      <c r="G37" s="130" t="str">
        <f t="shared" si="1"/>
        <v>Чалахач MP </v>
      </c>
      <c r="H37" s="130" t="s">
        <v>1</v>
      </c>
      <c r="I37" s="112" t="str">
        <f>IFERROR(__xludf.DUMMYFUNCTION("""COMPUTED_VALUE"""),"S   Туш. кап.")</f>
        <v>S   Туш. кап.</v>
      </c>
      <c r="J37" s="112">
        <f>IFERROR(__xludf.DUMMYFUNCTION("""COMPUTED_VALUE"""),3.0)</f>
        <v>3</v>
      </c>
      <c r="K37" s="112" t="str">
        <f>IFERROR(__xludf.DUMMYFUNCTION("""COMPUTED_VALUE"""),"Олимп")</f>
        <v>Олимп</v>
      </c>
      <c r="L37" s="112"/>
      <c r="M37" s="112"/>
      <c r="N37" s="112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</row>
    <row r="38" ht="30.0" customHeight="1">
      <c r="A38" s="80" t="s">
        <v>480</v>
      </c>
      <c r="B38" s="43">
        <v>34.0</v>
      </c>
      <c r="C38" s="47" t="s">
        <v>5</v>
      </c>
      <c r="D38" s="47" t="s">
        <v>78</v>
      </c>
      <c r="E38" s="47" t="s">
        <v>126</v>
      </c>
      <c r="F38" s="47" t="s">
        <v>80</v>
      </c>
      <c r="G38" s="130" t="str">
        <f t="shared" si="1"/>
        <v>S   Гр  </v>
      </c>
      <c r="H38" s="130" t="s">
        <v>1</v>
      </c>
      <c r="I38" s="112" t="str">
        <f>IFERROR(__xludf.DUMMYFUNCTION("""COMPUTED_VALUE"""),"S   Фасоль")</f>
        <v>S   Фасоль</v>
      </c>
      <c r="J38" s="112">
        <f>IFERROR(__xludf.DUMMYFUNCTION("""COMPUTED_VALUE"""),1.0)</f>
        <v>1</v>
      </c>
      <c r="K38" s="112" t="str">
        <f>IFERROR(__xludf.DUMMYFUNCTION("""COMPUTED_VALUE"""),"Олимп")</f>
        <v>Олимп</v>
      </c>
      <c r="L38" s="112"/>
      <c r="M38" s="112"/>
      <c r="N38" s="112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</row>
    <row r="39" ht="30.0" customHeight="1">
      <c r="A39" s="43" t="s">
        <v>482</v>
      </c>
      <c r="B39" s="43">
        <v>35.0</v>
      </c>
      <c r="C39" s="129" t="s">
        <v>5</v>
      </c>
      <c r="D39" s="47" t="s">
        <v>78</v>
      </c>
      <c r="E39" s="129" t="s">
        <v>157</v>
      </c>
      <c r="F39" s="129"/>
      <c r="G39" s="130" t="str">
        <f t="shared" si="1"/>
        <v>Бл. твор </v>
      </c>
      <c r="H39" s="130" t="s">
        <v>1</v>
      </c>
      <c r="I39" s="112" t="str">
        <f>IFERROR(__xludf.DUMMYFUNCTION("""COMPUTED_VALUE"""),"Баса ")</f>
        <v>Баса </v>
      </c>
      <c r="J39" s="112">
        <f>IFERROR(__xludf.DUMMYFUNCTION("""COMPUTED_VALUE"""),1.0)</f>
        <v>1</v>
      </c>
      <c r="K39" s="112" t="str">
        <f>IFERROR(__xludf.DUMMYFUNCTION("""COMPUTED_VALUE"""),"Олимп")</f>
        <v>Олимп</v>
      </c>
      <c r="L39" s="112"/>
      <c r="M39" s="112"/>
      <c r="N39" s="112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</row>
    <row r="40" ht="30.0" customHeight="1">
      <c r="A40" s="80" t="s">
        <v>485</v>
      </c>
      <c r="B40" s="43">
        <v>36.0</v>
      </c>
      <c r="C40" s="47" t="s">
        <v>55</v>
      </c>
      <c r="D40" s="47" t="s">
        <v>78</v>
      </c>
      <c r="E40" s="47" t="s">
        <v>79</v>
      </c>
      <c r="F40" s="47"/>
      <c r="G40" s="130" t="str">
        <f t="shared" si="1"/>
        <v>Чалахач </v>
      </c>
      <c r="H40" s="130" t="s">
        <v>1</v>
      </c>
      <c r="I40" s="112" t="str">
        <f>IFERROR(__xludf.DUMMYFUNCTION("""COMPUTED_VALUE"""),"Баса  FF")</f>
        <v>Баса  FF</v>
      </c>
      <c r="J40" s="112">
        <f>IFERROR(__xludf.DUMMYFUNCTION("""COMPUTED_VALUE"""),0.0)</f>
        <v>0</v>
      </c>
      <c r="K40" s="112" t="str">
        <f>IFERROR(__xludf.DUMMYFUNCTION("""COMPUTED_VALUE"""),"Олимп")</f>
        <v>Олимп</v>
      </c>
      <c r="L40" s="112"/>
      <c r="M40" s="112"/>
      <c r="N40" s="112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</row>
    <row r="41" ht="30.0" customHeight="1">
      <c r="A41" s="6" t="s">
        <v>490</v>
      </c>
      <c r="B41" s="43">
        <v>37.0</v>
      </c>
      <c r="C41" s="47" t="s">
        <v>47</v>
      </c>
      <c r="D41" s="47" t="s">
        <v>87</v>
      </c>
      <c r="E41" s="47" t="s">
        <v>126</v>
      </c>
      <c r="F41" s="97" t="s">
        <v>272</v>
      </c>
      <c r="G41" s="130" t="str">
        <f t="shared" si="1"/>
        <v>S   Паста  </v>
      </c>
      <c r="H41" s="130" t="s">
        <v>1</v>
      </c>
      <c r="I41" s="112" t="str">
        <f>IFERROR(__xludf.DUMMYFUNCTION("""COMPUTED_VALUE"""),"Баса MP ")</f>
        <v>Баса MP </v>
      </c>
      <c r="J41" s="112">
        <f>IFERROR(__xludf.DUMMYFUNCTION("""COMPUTED_VALUE"""),5.0)</f>
        <v>5</v>
      </c>
      <c r="K41" s="112" t="str">
        <f>IFERROR(__xludf.DUMMYFUNCTION("""COMPUTED_VALUE"""),"Олимп")</f>
        <v>Олимп</v>
      </c>
      <c r="L41" s="112"/>
      <c r="M41" s="112"/>
      <c r="N41" s="112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</row>
    <row r="42" ht="30.0" customHeight="1">
      <c r="A42" s="80" t="s">
        <v>494</v>
      </c>
      <c r="B42" s="43">
        <v>38.0</v>
      </c>
      <c r="C42" s="47" t="s">
        <v>16</v>
      </c>
      <c r="D42" s="47" t="s">
        <v>65</v>
      </c>
      <c r="E42" s="47" t="s">
        <v>165</v>
      </c>
      <c r="F42" s="47"/>
      <c r="G42" s="130" t="str">
        <f t="shared" si="1"/>
        <v>Пельмени </v>
      </c>
      <c r="H42" s="130" t="s">
        <v>1</v>
      </c>
      <c r="I42" s="112" t="str">
        <f>IFERROR(__xludf.DUMMYFUNCTION("""COMPUTED_VALUE"""),"Баса Гр  ")</f>
        <v>Баса Гр  </v>
      </c>
      <c r="J42" s="112">
        <f>IFERROR(__xludf.DUMMYFUNCTION("""COMPUTED_VALUE"""),3.0)</f>
        <v>3</v>
      </c>
      <c r="K42" s="112" t="str">
        <f>IFERROR(__xludf.DUMMYFUNCTION("""COMPUTED_VALUE"""),"Олимп")</f>
        <v>Олимп</v>
      </c>
      <c r="L42" s="112"/>
      <c r="M42" s="112"/>
      <c r="N42" s="112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</row>
    <row r="43" ht="30.0" customHeight="1">
      <c r="A43" s="80" t="s">
        <v>499</v>
      </c>
      <c r="B43" s="43">
        <v>39.0</v>
      </c>
      <c r="C43" s="47" t="s">
        <v>16</v>
      </c>
      <c r="D43" s="47" t="s">
        <v>78</v>
      </c>
      <c r="E43" s="47" t="s">
        <v>204</v>
      </c>
      <c r="F43" s="47" t="s">
        <v>113</v>
      </c>
      <c r="G43" s="130" t="str">
        <f t="shared" si="1"/>
        <v>Св. отбив    FF</v>
      </c>
      <c r="H43" s="130" t="s">
        <v>1</v>
      </c>
      <c r="I43" s="112" t="str">
        <f>IFERROR(__xludf.DUMMYFUNCTION("""COMPUTED_VALUE"""),"Баса Картошка")</f>
        <v>Баса Картошка</v>
      </c>
      <c r="J43" s="112">
        <f>IFERROR(__xludf.DUMMYFUNCTION("""COMPUTED_VALUE"""),1.0)</f>
        <v>1</v>
      </c>
      <c r="K43" s="112" t="str">
        <f>IFERROR(__xludf.DUMMYFUNCTION("""COMPUTED_VALUE"""),"Олимп")</f>
        <v>Олимп</v>
      </c>
      <c r="L43" s="112"/>
      <c r="M43" s="112"/>
      <c r="N43" s="112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</row>
    <row r="44" ht="30.0" customHeight="1">
      <c r="A44" s="55" t="s">
        <v>505</v>
      </c>
      <c r="B44" s="43">
        <v>40.0</v>
      </c>
      <c r="C44" s="75" t="s">
        <v>16</v>
      </c>
      <c r="D44" s="75" t="s">
        <v>105</v>
      </c>
      <c r="E44" s="75" t="s">
        <v>157</v>
      </c>
      <c r="F44" s="154"/>
      <c r="G44" s="133" t="str">
        <f t="shared" si="1"/>
        <v>Бл. твор </v>
      </c>
      <c r="H44" s="133" t="s">
        <v>1</v>
      </c>
      <c r="I44" s="112" t="str">
        <f>IFERROR(__xludf.DUMMYFUNCTION("""COMPUTED_VALUE"""),"Баса Туш. кап.")</f>
        <v>Баса Туш. кап.</v>
      </c>
      <c r="J44" s="112">
        <f>IFERROR(__xludf.DUMMYFUNCTION("""COMPUTED_VALUE"""),2.0)</f>
        <v>2</v>
      </c>
      <c r="K44" s="112" t="str">
        <f>IFERROR(__xludf.DUMMYFUNCTION("""COMPUTED_VALUE"""),"Олимп")</f>
        <v>Олимп</v>
      </c>
      <c r="L44" s="112"/>
      <c r="M44" s="112"/>
      <c r="N44" s="112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</row>
    <row r="45" ht="30.0" customHeight="1">
      <c r="A45" s="80" t="s">
        <v>512</v>
      </c>
      <c r="B45" s="43">
        <v>41.0</v>
      </c>
      <c r="C45" s="47" t="s">
        <v>12</v>
      </c>
      <c r="D45" s="47" t="s">
        <v>105</v>
      </c>
      <c r="E45" s="47" t="s">
        <v>126</v>
      </c>
      <c r="F45" s="47" t="s">
        <v>127</v>
      </c>
      <c r="G45" s="130" t="str">
        <f t="shared" si="1"/>
        <v>S   MP </v>
      </c>
      <c r="H45" s="130" t="s">
        <v>1</v>
      </c>
      <c r="I45" s="112" t="str">
        <f>IFERROR(__xludf.DUMMYFUNCTION("""COMPUTED_VALUE"""),"Бл. мясо ")</f>
        <v>Бл. мясо </v>
      </c>
      <c r="J45" s="112">
        <f>IFERROR(__xludf.DUMMYFUNCTION("""COMPUTED_VALUE"""),2.0)</f>
        <v>2</v>
      </c>
      <c r="K45" s="112" t="str">
        <f>IFERROR(__xludf.DUMMYFUNCTION("""COMPUTED_VALUE"""),"Олимп")</f>
        <v>Олимп</v>
      </c>
      <c r="L45" s="112"/>
      <c r="M45" s="112"/>
      <c r="N45" s="112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</row>
    <row r="46" ht="30.0" customHeight="1">
      <c r="A46" s="80" t="s">
        <v>338</v>
      </c>
      <c r="B46" s="43">
        <v>42.0</v>
      </c>
      <c r="C46" s="47" t="s">
        <v>12</v>
      </c>
      <c r="D46" s="47" t="s">
        <v>105</v>
      </c>
      <c r="E46" s="129" t="s">
        <v>187</v>
      </c>
      <c r="F46" s="47" t="s">
        <v>127</v>
      </c>
      <c r="G46" s="130" t="str">
        <f t="shared" si="1"/>
        <v>Котл. кур MP </v>
      </c>
      <c r="H46" s="130" t="s">
        <v>1</v>
      </c>
      <c r="I46" s="112" t="str">
        <f>IFERROR(__xludf.DUMMYFUNCTION("""COMPUTED_VALUE"""),"Бл. твор ")</f>
        <v>Бл. твор </v>
      </c>
      <c r="J46" s="112">
        <f>IFERROR(__xludf.DUMMYFUNCTION("""COMPUTED_VALUE"""),3.0)</f>
        <v>3</v>
      </c>
      <c r="K46" s="112" t="str">
        <f>IFERROR(__xludf.DUMMYFUNCTION("""COMPUTED_VALUE"""),"Олимп")</f>
        <v>Олимп</v>
      </c>
      <c r="L46" s="112"/>
      <c r="M46" s="112"/>
      <c r="N46" s="112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</row>
    <row r="47" ht="30.0" customHeight="1">
      <c r="A47" s="80" t="s">
        <v>260</v>
      </c>
      <c r="B47" s="43">
        <v>43.0</v>
      </c>
      <c r="C47" s="47" t="s">
        <v>57</v>
      </c>
      <c r="D47" s="47" t="s">
        <v>87</v>
      </c>
      <c r="E47" s="47" t="s">
        <v>112</v>
      </c>
      <c r="F47" s="47" t="s">
        <v>122</v>
      </c>
      <c r="G47" s="130" t="str">
        <f t="shared" si="1"/>
        <v>Поперечка Туш. кап.</v>
      </c>
      <c r="H47" s="130" t="s">
        <v>1</v>
      </c>
      <c r="I47" s="112" t="str">
        <f>IFERROR(__xludf.DUMMYFUNCTION("""COMPUTED_VALUE"""),"Вар.Кар ")</f>
        <v>Вар.Кар </v>
      </c>
      <c r="J47" s="112">
        <f>IFERROR(__xludf.DUMMYFUNCTION("""COMPUTED_VALUE"""),3.0)</f>
        <v>3</v>
      </c>
      <c r="K47" s="112" t="str">
        <f>IFERROR(__xludf.DUMMYFUNCTION("""COMPUTED_VALUE"""),"Олимп")</f>
        <v>Олимп</v>
      </c>
      <c r="L47" s="112"/>
      <c r="M47" s="112"/>
      <c r="N47" s="112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</row>
    <row r="48" ht="30.0" customHeight="1">
      <c r="A48" s="6" t="s">
        <v>520</v>
      </c>
      <c r="B48" s="43">
        <v>44.0</v>
      </c>
      <c r="C48" s="129"/>
      <c r="D48" s="129" t="s">
        <v>78</v>
      </c>
      <c r="E48" s="129" t="s">
        <v>187</v>
      </c>
      <c r="F48" s="47" t="s">
        <v>113</v>
      </c>
      <c r="G48" s="130" t="str">
        <f t="shared" si="1"/>
        <v>Котл. кур  FF</v>
      </c>
      <c r="H48" s="130" t="s">
        <v>1</v>
      </c>
      <c r="I48" s="112" t="str">
        <f>IFERROR(__xludf.DUMMYFUNCTION("""COMPUTED_VALUE"""),"Голубцы Картошка")</f>
        <v>Голубцы Картошка</v>
      </c>
      <c r="J48" s="112">
        <f>IFERROR(__xludf.DUMMYFUNCTION("""COMPUTED_VALUE"""),1.0)</f>
        <v>1</v>
      </c>
      <c r="K48" s="112" t="str">
        <f>IFERROR(__xludf.DUMMYFUNCTION("""COMPUTED_VALUE"""),"Олимп")</f>
        <v>Олимп</v>
      </c>
      <c r="L48" s="112"/>
      <c r="M48" s="112"/>
      <c r="N48" s="112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</row>
    <row r="49" ht="30.0" customHeight="1">
      <c r="A49" s="80" t="s">
        <v>522</v>
      </c>
      <c r="B49" s="43">
        <v>45.0</v>
      </c>
      <c r="C49" s="47" t="s">
        <v>55</v>
      </c>
      <c r="D49" s="47" t="s">
        <v>105</v>
      </c>
      <c r="E49" s="47" t="s">
        <v>67</v>
      </c>
      <c r="F49" s="47" t="s">
        <v>98</v>
      </c>
      <c r="G49" s="130" t="str">
        <f t="shared" si="1"/>
        <v>Баса Картошка</v>
      </c>
      <c r="H49" s="130" t="s">
        <v>1</v>
      </c>
      <c r="I49" s="112" t="str">
        <f>IFERROR(__xludf.DUMMYFUNCTION("""COMPUTED_VALUE"""),"Гуляш ")</f>
        <v>Гуляш </v>
      </c>
      <c r="J49" s="112">
        <f>IFERROR(__xludf.DUMMYFUNCTION("""COMPUTED_VALUE"""),1.0)</f>
        <v>1</v>
      </c>
      <c r="K49" s="112" t="str">
        <f>IFERROR(__xludf.DUMMYFUNCTION("""COMPUTED_VALUE"""),"Олимп")</f>
        <v>Олимп</v>
      </c>
      <c r="L49" s="112"/>
      <c r="M49" s="112"/>
      <c r="N49" s="112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</row>
    <row r="50" ht="30.0" customHeight="1">
      <c r="A50" s="132" t="s">
        <v>524</v>
      </c>
      <c r="B50" s="43">
        <v>46.0</v>
      </c>
      <c r="C50" s="47" t="s">
        <v>12</v>
      </c>
      <c r="D50" s="47" t="s">
        <v>78</v>
      </c>
      <c r="E50" s="47" t="s">
        <v>79</v>
      </c>
      <c r="F50" s="139" t="s">
        <v>80</v>
      </c>
      <c r="G50" s="130" t="str">
        <f t="shared" si="1"/>
        <v>Чалахач Гр  </v>
      </c>
      <c r="H50" s="130" t="s">
        <v>1</v>
      </c>
      <c r="I50" s="112" t="str">
        <f>IFERROR(__xludf.DUMMYFUNCTION("""COMPUTED_VALUE"""),"Гуляш  FF")</f>
        <v>Гуляш  FF</v>
      </c>
      <c r="J50" s="112">
        <f>IFERROR(__xludf.DUMMYFUNCTION("""COMPUTED_VALUE"""),1.0)</f>
        <v>1</v>
      </c>
      <c r="K50" s="112" t="str">
        <f>IFERROR(__xludf.DUMMYFUNCTION("""COMPUTED_VALUE"""),"Олимп")</f>
        <v>Олимп</v>
      </c>
      <c r="L50" s="112"/>
      <c r="M50" s="112"/>
      <c r="N50" s="112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</row>
    <row r="51" ht="30.0" customHeight="1">
      <c r="A51" s="132" t="s">
        <v>529</v>
      </c>
      <c r="B51" s="43">
        <v>47.0</v>
      </c>
      <c r="C51" s="47" t="s">
        <v>23</v>
      </c>
      <c r="D51" s="47" t="s">
        <v>105</v>
      </c>
      <c r="E51" s="47" t="s">
        <v>126</v>
      </c>
      <c r="F51" s="47" t="s">
        <v>276</v>
      </c>
      <c r="G51" s="130" t="str">
        <f t="shared" si="1"/>
        <v>S   Фасоль</v>
      </c>
      <c r="H51" s="130" t="s">
        <v>1</v>
      </c>
      <c r="I51" s="112" t="str">
        <f>IFERROR(__xludf.DUMMYFUNCTION("""COMPUTED_VALUE"""),"Гуляш MP ")</f>
        <v>Гуляш MP </v>
      </c>
      <c r="J51" s="112">
        <f>IFERROR(__xludf.DUMMYFUNCTION("""COMPUTED_VALUE"""),2.0)</f>
        <v>2</v>
      </c>
      <c r="K51" s="112" t="str">
        <f>IFERROR(__xludf.DUMMYFUNCTION("""COMPUTED_VALUE"""),"Олимп")</f>
        <v>Олимп</v>
      </c>
      <c r="L51" s="112"/>
      <c r="M51" s="112"/>
      <c r="N51" s="112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</row>
    <row r="52" ht="30.0" customHeight="1">
      <c r="A52" s="80" t="s">
        <v>458</v>
      </c>
      <c r="B52" s="43">
        <v>48.0</v>
      </c>
      <c r="C52" s="47" t="s">
        <v>16</v>
      </c>
      <c r="D52" s="47"/>
      <c r="E52" s="47" t="s">
        <v>161</v>
      </c>
      <c r="F52" s="47"/>
      <c r="G52" s="130" t="str">
        <f t="shared" si="1"/>
        <v>Вар.Кар </v>
      </c>
      <c r="H52" s="130" t="s">
        <v>1</v>
      </c>
      <c r="I52" s="112" t="str">
        <f>IFERROR(__xludf.DUMMYFUNCTION("""COMPUTED_VALUE"""),"Гуляш Картошка")</f>
        <v>Гуляш Картошка</v>
      </c>
      <c r="J52" s="112">
        <f>IFERROR(__xludf.DUMMYFUNCTION("""COMPUTED_VALUE"""),3.0)</f>
        <v>3</v>
      </c>
      <c r="K52" s="112" t="str">
        <f>IFERROR(__xludf.DUMMYFUNCTION("""COMPUTED_VALUE"""),"Олимп")</f>
        <v>Олимп</v>
      </c>
      <c r="L52" s="112"/>
      <c r="M52" s="112"/>
      <c r="N52" s="112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</row>
    <row r="53" ht="30.0" customHeight="1">
      <c r="A53" s="80" t="s">
        <v>534</v>
      </c>
      <c r="B53" s="43">
        <v>49.0</v>
      </c>
      <c r="C53" s="47" t="s">
        <v>62</v>
      </c>
      <c r="D53" s="47" t="s">
        <v>78</v>
      </c>
      <c r="E53" s="47" t="s">
        <v>126</v>
      </c>
      <c r="F53" s="47" t="s">
        <v>127</v>
      </c>
      <c r="G53" s="130" t="str">
        <f t="shared" si="1"/>
        <v>S   MP </v>
      </c>
      <c r="H53" s="130" t="s">
        <v>1</v>
      </c>
      <c r="I53" s="111" t="str">
        <f>IFERROR(__xludf.DUMMYFUNCTION("""COMPUTED_VALUE"""),"Дорадо  FF")</f>
        <v>Дорадо  FF</v>
      </c>
      <c r="J53" s="111">
        <f>IFERROR(__xludf.DUMMYFUNCTION("""COMPUTED_VALUE"""),1.0)</f>
        <v>1</v>
      </c>
      <c r="K53" s="111" t="str">
        <f>IFERROR(__xludf.DUMMYFUNCTION("""COMPUTED_VALUE"""),"Олимп")</f>
        <v>Олимп</v>
      </c>
      <c r="L53" s="111"/>
      <c r="M53" s="111"/>
      <c r="N53" s="111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30.0" customHeight="1">
      <c r="A54" s="80" t="s">
        <v>538</v>
      </c>
      <c r="B54" s="43">
        <v>50.0</v>
      </c>
      <c r="C54" s="47" t="s">
        <v>16</v>
      </c>
      <c r="D54" s="47" t="s">
        <v>87</v>
      </c>
      <c r="E54" s="47" t="s">
        <v>67</v>
      </c>
      <c r="F54" s="47" t="s">
        <v>127</v>
      </c>
      <c r="G54" s="130" t="str">
        <f t="shared" si="1"/>
        <v>Баса MP </v>
      </c>
      <c r="H54" s="130" t="s">
        <v>1</v>
      </c>
      <c r="I54" s="111" t="str">
        <f>IFERROR(__xludf.DUMMYFUNCTION("""COMPUTED_VALUE"""),"Дорадо MP ")</f>
        <v>Дорадо MP </v>
      </c>
      <c r="J54" s="111">
        <f>IFERROR(__xludf.DUMMYFUNCTION("""COMPUTED_VALUE"""),2.0)</f>
        <v>2</v>
      </c>
      <c r="K54" s="111" t="str">
        <f>IFERROR(__xludf.DUMMYFUNCTION("""COMPUTED_VALUE"""),"Олимп")</f>
        <v>Олимп</v>
      </c>
      <c r="L54" s="111"/>
      <c r="M54" s="111"/>
      <c r="N54" s="111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30.0" customHeight="1">
      <c r="A55" s="80" t="s">
        <v>542</v>
      </c>
      <c r="B55" s="43">
        <v>51.0</v>
      </c>
      <c r="C55" s="47" t="s">
        <v>57</v>
      </c>
      <c r="D55" s="47" t="s">
        <v>78</v>
      </c>
      <c r="E55" s="47" t="s">
        <v>181</v>
      </c>
      <c r="F55" s="47" t="s">
        <v>98</v>
      </c>
      <c r="G55" s="121" t="str">
        <f t="shared" si="1"/>
        <v>Жульен Картошка</v>
      </c>
      <c r="H55" s="128" t="s">
        <v>1</v>
      </c>
      <c r="I55" s="111" t="str">
        <f>IFERROR(__xludf.DUMMYFUNCTION("""COMPUTED_VALUE"""),"Дорадо Гр  ")</f>
        <v>Дорадо Гр  </v>
      </c>
      <c r="J55" s="111">
        <f>IFERROR(__xludf.DUMMYFUNCTION("""COMPUTED_VALUE"""),1.0)</f>
        <v>1</v>
      </c>
      <c r="K55" s="111" t="str">
        <f>IFERROR(__xludf.DUMMYFUNCTION("""COMPUTED_VALUE"""),"Олимп")</f>
        <v>Олимп</v>
      </c>
      <c r="L55" s="111"/>
      <c r="M55" s="111"/>
      <c r="N55" s="111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30.0" customHeight="1">
      <c r="A56" s="80" t="s">
        <v>546</v>
      </c>
      <c r="B56" s="43">
        <v>52.0</v>
      </c>
      <c r="C56" s="47" t="s">
        <v>62</v>
      </c>
      <c r="D56" s="47" t="s">
        <v>65</v>
      </c>
      <c r="E56" s="47" t="s">
        <v>67</v>
      </c>
      <c r="F56" s="47" t="s">
        <v>127</v>
      </c>
      <c r="G56" s="130" t="str">
        <f t="shared" si="1"/>
        <v>Баса MP </v>
      </c>
      <c r="H56" s="130" t="s">
        <v>1</v>
      </c>
      <c r="I56" s="111" t="str">
        <f>IFERROR(__xludf.DUMMYFUNCTION("""COMPUTED_VALUE"""),"Дорадо Картошка")</f>
        <v>Дорадо Картошка</v>
      </c>
      <c r="J56" s="111">
        <f>IFERROR(__xludf.DUMMYFUNCTION("""COMPUTED_VALUE"""),1.0)</f>
        <v>1</v>
      </c>
      <c r="K56" s="111" t="str">
        <f>IFERROR(__xludf.DUMMYFUNCTION("""COMPUTED_VALUE"""),"Олимп")</f>
        <v>Олимп</v>
      </c>
      <c r="L56" s="111"/>
      <c r="M56" s="111"/>
      <c r="N56" s="111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30.0" customHeight="1">
      <c r="A57" s="80" t="s">
        <v>549</v>
      </c>
      <c r="B57" s="43">
        <v>53.0</v>
      </c>
      <c r="C57" s="47" t="s">
        <v>16</v>
      </c>
      <c r="D57" s="47" t="s">
        <v>95</v>
      </c>
      <c r="E57" s="47" t="s">
        <v>126</v>
      </c>
      <c r="F57" s="47" t="s">
        <v>127</v>
      </c>
      <c r="G57" s="130" t="str">
        <f t="shared" si="1"/>
        <v>S   MP </v>
      </c>
      <c r="H57" s="130" t="s">
        <v>1</v>
      </c>
      <c r="I57" s="111" t="str">
        <f>IFERROR(__xludf.DUMMYFUNCTION("""COMPUTED_VALUE"""),"Жульен ")</f>
        <v>Жульен </v>
      </c>
      <c r="J57" s="111">
        <f>IFERROR(__xludf.DUMMYFUNCTION("""COMPUTED_VALUE"""),1.0)</f>
        <v>1</v>
      </c>
      <c r="K57" s="111" t="str">
        <f>IFERROR(__xludf.DUMMYFUNCTION("""COMPUTED_VALUE"""),"Олимп")</f>
        <v>Олимп</v>
      </c>
      <c r="L57" s="111"/>
      <c r="M57" s="111"/>
      <c r="N57" s="111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30.0" customHeight="1">
      <c r="A58" s="80" t="s">
        <v>550</v>
      </c>
      <c r="B58" s="43">
        <v>54.0</v>
      </c>
      <c r="C58" s="47" t="s">
        <v>32</v>
      </c>
      <c r="D58" s="47" t="s">
        <v>65</v>
      </c>
      <c r="E58" s="47" t="s">
        <v>97</v>
      </c>
      <c r="F58" s="47" t="s">
        <v>80</v>
      </c>
      <c r="G58" s="130" t="str">
        <f t="shared" si="1"/>
        <v>Терияки Гр  </v>
      </c>
      <c r="H58" s="130" t="s">
        <v>1</v>
      </c>
      <c r="I58" s="111" t="str">
        <f>IFERROR(__xludf.DUMMYFUNCTION("""COMPUTED_VALUE"""),"Жульен  FF")</f>
        <v>Жульен  FF</v>
      </c>
      <c r="J58" s="111">
        <f>IFERROR(__xludf.DUMMYFUNCTION("""COMPUTED_VALUE"""),1.0)</f>
        <v>1</v>
      </c>
      <c r="K58" s="111" t="str">
        <f>IFERROR(__xludf.DUMMYFUNCTION("""COMPUTED_VALUE"""),"Олимп")</f>
        <v>Олимп</v>
      </c>
      <c r="L58" s="111"/>
      <c r="M58" s="111"/>
      <c r="N58" s="111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30.0" customHeight="1">
      <c r="G59" s="130" t="str">
        <f> CONCATENATE(E133," ", F133)</f>
        <v>Баса  FF</v>
      </c>
      <c r="H59" s="130" t="s">
        <v>1</v>
      </c>
      <c r="I59" s="111" t="str">
        <f>IFERROR(__xludf.DUMMYFUNCTION("""COMPUTED_VALUE"""),"Жульен Картошка")</f>
        <v>Жульен Картошка</v>
      </c>
      <c r="J59" s="111">
        <f>IFERROR(__xludf.DUMMYFUNCTION("""COMPUTED_VALUE"""),2.0)</f>
        <v>2</v>
      </c>
      <c r="K59" s="111" t="str">
        <f>IFERROR(__xludf.DUMMYFUNCTION("""COMPUTED_VALUE"""),"Олимп")</f>
        <v>Олимп</v>
      </c>
      <c r="L59" s="111"/>
      <c r="M59" s="111"/>
      <c r="N59" s="111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30.0" customHeight="1">
      <c r="A60" s="80" t="s">
        <v>273</v>
      </c>
      <c r="B60" s="43">
        <v>56.0</v>
      </c>
      <c r="C60" s="47" t="s">
        <v>16</v>
      </c>
      <c r="D60" s="47" t="s">
        <v>78</v>
      </c>
      <c r="E60" s="47" t="s">
        <v>67</v>
      </c>
      <c r="F60" s="47" t="s">
        <v>127</v>
      </c>
      <c r="G60" s="130" t="str">
        <f t="shared" ref="G60:G89" si="2"> CONCATENATE(E60," ", F60)</f>
        <v>Баса MP </v>
      </c>
      <c r="H60" s="130" t="s">
        <v>1</v>
      </c>
      <c r="I60" s="111" t="str">
        <f>IFERROR(__xludf.DUMMYFUNCTION("""COMPUTED_VALUE"""),"Котл. кур ")</f>
        <v>Котл. кур </v>
      </c>
      <c r="J60" s="111">
        <f>IFERROR(__xludf.DUMMYFUNCTION("""COMPUTED_VALUE"""),1.0)</f>
        <v>1</v>
      </c>
      <c r="K60" s="111" t="str">
        <f>IFERROR(__xludf.DUMMYFUNCTION("""COMPUTED_VALUE"""),"Олимп")</f>
        <v>Олимп</v>
      </c>
      <c r="L60" s="111"/>
      <c r="M60" s="111"/>
      <c r="N60" s="111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30.0" customHeight="1">
      <c r="A61" s="80" t="s">
        <v>557</v>
      </c>
      <c r="B61" s="43">
        <v>57.0</v>
      </c>
      <c r="C61" s="47" t="s">
        <v>55</v>
      </c>
      <c r="D61" s="47" t="s">
        <v>78</v>
      </c>
      <c r="E61" s="47" t="s">
        <v>67</v>
      </c>
      <c r="F61" s="47" t="s">
        <v>122</v>
      </c>
      <c r="G61" s="130" t="str">
        <f t="shared" si="2"/>
        <v>Баса Туш. кап.</v>
      </c>
      <c r="H61" s="130" t="s">
        <v>1</v>
      </c>
      <c r="I61" s="111" t="str">
        <f>IFERROR(__xludf.DUMMYFUNCTION("""COMPUTED_VALUE"""),"Котл. кур  FF")</f>
        <v>Котл. кур  FF</v>
      </c>
      <c r="J61" s="111">
        <f>IFERROR(__xludf.DUMMYFUNCTION("""COMPUTED_VALUE"""),1.0)</f>
        <v>1</v>
      </c>
      <c r="K61" s="111" t="str">
        <f>IFERROR(__xludf.DUMMYFUNCTION("""COMPUTED_VALUE"""),"Олимп")</f>
        <v>Олимп</v>
      </c>
      <c r="L61" s="111"/>
      <c r="M61" s="111"/>
      <c r="N61" s="111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30.0" customHeight="1">
      <c r="A62" s="80" t="s">
        <v>560</v>
      </c>
      <c r="B62" s="43">
        <v>58.0</v>
      </c>
      <c r="C62" s="47" t="s">
        <v>5</v>
      </c>
      <c r="D62" s="47" t="s">
        <v>85</v>
      </c>
      <c r="E62" s="47" t="s">
        <v>187</v>
      </c>
      <c r="F62" s="47" t="s">
        <v>127</v>
      </c>
      <c r="G62" s="130" t="str">
        <f t="shared" si="2"/>
        <v>Котл. кур MP </v>
      </c>
      <c r="H62" s="130" t="s">
        <v>1</v>
      </c>
      <c r="I62" s="111" t="str">
        <f>IFERROR(__xludf.DUMMYFUNCTION("""COMPUTED_VALUE"""),"Котл. кур MP ")</f>
        <v>Котл. кур MP </v>
      </c>
      <c r="J62" s="111">
        <f>IFERROR(__xludf.DUMMYFUNCTION("""COMPUTED_VALUE"""),4.0)</f>
        <v>4</v>
      </c>
      <c r="K62" s="111" t="str">
        <f>IFERROR(__xludf.DUMMYFUNCTION("""COMPUTED_VALUE"""),"Олимп")</f>
        <v>Олимп</v>
      </c>
      <c r="L62" s="111"/>
      <c r="M62" s="111"/>
      <c r="N62" s="111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30.0" customHeight="1">
      <c r="A63" s="80" t="s">
        <v>561</v>
      </c>
      <c r="B63" s="43">
        <v>59.0</v>
      </c>
      <c r="C63" s="47"/>
      <c r="D63" s="47" t="s">
        <v>95</v>
      </c>
      <c r="E63" s="47" t="s">
        <v>187</v>
      </c>
      <c r="F63" s="47" t="s">
        <v>127</v>
      </c>
      <c r="G63" s="130" t="str">
        <f t="shared" si="2"/>
        <v>Котл. кур MP </v>
      </c>
      <c r="H63" s="130" t="s">
        <v>1</v>
      </c>
      <c r="I63" s="111" t="str">
        <f>IFERROR(__xludf.DUMMYFUNCTION("""COMPUTED_VALUE"""),"Пельмени ")</f>
        <v>Пельмени </v>
      </c>
      <c r="J63" s="111">
        <f>IFERROR(__xludf.DUMMYFUNCTION("""COMPUTED_VALUE"""),3.0)</f>
        <v>3</v>
      </c>
      <c r="K63" s="111" t="str">
        <f>IFERROR(__xludf.DUMMYFUNCTION("""COMPUTED_VALUE"""),"Олимп")</f>
        <v>Олимп</v>
      </c>
      <c r="L63" s="111"/>
      <c r="M63" s="111"/>
      <c r="N63" s="111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30.0" customHeight="1">
      <c r="A64" s="80" t="s">
        <v>563</v>
      </c>
      <c r="B64" s="43">
        <v>60.0</v>
      </c>
      <c r="C64" s="47" t="s">
        <v>55</v>
      </c>
      <c r="D64" s="129" t="s">
        <v>65</v>
      </c>
      <c r="E64" s="47" t="s">
        <v>169</v>
      </c>
      <c r="F64" s="129" t="s">
        <v>113</v>
      </c>
      <c r="G64" s="130" t="str">
        <f t="shared" si="2"/>
        <v>Гуляш  FF</v>
      </c>
      <c r="H64" s="130" t="s">
        <v>1</v>
      </c>
      <c r="I64" s="111" t="str">
        <f>IFERROR(__xludf.DUMMYFUNCTION("""COMPUTED_VALUE"""),"Поперечка Картошка")</f>
        <v>Поперечка Картошка</v>
      </c>
      <c r="J64" s="111">
        <f>IFERROR(__xludf.DUMMYFUNCTION("""COMPUTED_VALUE"""),1.0)</f>
        <v>1</v>
      </c>
      <c r="K64" s="111" t="str">
        <f>IFERROR(__xludf.DUMMYFUNCTION("""COMPUTED_VALUE"""),"Олимп")</f>
        <v>Олимп</v>
      </c>
      <c r="L64" s="111"/>
      <c r="M64" s="111"/>
      <c r="N64" s="111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8.5" customHeight="1">
      <c r="A65" s="6" t="s">
        <v>363</v>
      </c>
      <c r="B65" s="43">
        <v>61.0</v>
      </c>
      <c r="C65" s="47" t="s">
        <v>57</v>
      </c>
      <c r="D65" s="47" t="s">
        <v>65</v>
      </c>
      <c r="E65" s="47" t="s">
        <v>181</v>
      </c>
      <c r="F65" s="47" t="s">
        <v>98</v>
      </c>
      <c r="G65" s="121" t="str">
        <f t="shared" si="2"/>
        <v>Жульен Картошка</v>
      </c>
      <c r="H65" s="128" t="s">
        <v>1</v>
      </c>
      <c r="I65" s="112" t="str">
        <f>IFERROR(__xludf.DUMMYFUNCTION("""COMPUTED_VALUE"""),"Поперечка Туш. кап.")</f>
        <v>Поперечка Туш. кап.</v>
      </c>
      <c r="J65" s="112">
        <f>IFERROR(__xludf.DUMMYFUNCTION("""COMPUTED_VALUE"""),1.0)</f>
        <v>1</v>
      </c>
      <c r="K65" s="112" t="str">
        <f>IFERROR(__xludf.DUMMYFUNCTION("""COMPUTED_VALUE"""),"Олимп")</f>
        <v>Олимп</v>
      </c>
      <c r="L65" s="112"/>
      <c r="M65" s="112"/>
      <c r="N65" s="112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</row>
    <row r="66" ht="28.5" customHeight="1">
      <c r="A66" s="80" t="s">
        <v>568</v>
      </c>
      <c r="B66" s="43">
        <v>62.0</v>
      </c>
      <c r="C66" s="47" t="s">
        <v>5</v>
      </c>
      <c r="D66" s="47" t="s">
        <v>105</v>
      </c>
      <c r="E66" s="47" t="s">
        <v>126</v>
      </c>
      <c r="F66" s="47" t="s">
        <v>127</v>
      </c>
      <c r="G66" s="130" t="str">
        <f t="shared" si="2"/>
        <v>S   MP </v>
      </c>
      <c r="H66" s="130" t="s">
        <v>1</v>
      </c>
      <c r="I66" s="112" t="str">
        <f>IFERROR(__xludf.DUMMYFUNCTION("""COMPUTED_VALUE"""),"Св. отбив    FF")</f>
        <v>Св. отбив    FF</v>
      </c>
      <c r="J66" s="112">
        <f>IFERROR(__xludf.DUMMYFUNCTION("""COMPUTED_VALUE"""),1.0)</f>
        <v>1</v>
      </c>
      <c r="K66" s="112" t="str">
        <f>IFERROR(__xludf.DUMMYFUNCTION("""COMPUTED_VALUE"""),"Олимп")</f>
        <v>Олимп</v>
      </c>
      <c r="L66" s="112"/>
      <c r="M66" s="112"/>
      <c r="N66" s="112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</row>
    <row r="67" ht="28.5" customHeight="1">
      <c r="A67" s="80" t="s">
        <v>570</v>
      </c>
      <c r="B67" s="43">
        <v>63.0</v>
      </c>
      <c r="C67" s="47" t="s">
        <v>32</v>
      </c>
      <c r="D67" s="129" t="s">
        <v>65</v>
      </c>
      <c r="E67" s="47" t="s">
        <v>126</v>
      </c>
      <c r="F67" s="47"/>
      <c r="G67" s="130" t="str">
        <f t="shared" si="2"/>
        <v>S   </v>
      </c>
      <c r="H67" s="130" t="s">
        <v>1</v>
      </c>
      <c r="I67" s="112" t="str">
        <f>IFERROR(__xludf.DUMMYFUNCTION("""COMPUTED_VALUE"""),"Св. отбив   Туш. кап.")</f>
        <v>Св. отбив   Туш. кап.</v>
      </c>
      <c r="J67" s="112">
        <f>IFERROR(__xludf.DUMMYFUNCTION("""COMPUTED_VALUE"""),1.0)</f>
        <v>1</v>
      </c>
      <c r="K67" s="112" t="str">
        <f>IFERROR(__xludf.DUMMYFUNCTION("""COMPUTED_VALUE"""),"Олимп")</f>
        <v>Олимп</v>
      </c>
      <c r="L67" s="112"/>
      <c r="M67" s="112"/>
      <c r="N67" s="112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</row>
    <row r="68" ht="30.0" customHeight="1">
      <c r="A68" s="80" t="s">
        <v>381</v>
      </c>
      <c r="B68" s="43">
        <v>64.0</v>
      </c>
      <c r="C68" s="47" t="s">
        <v>57</v>
      </c>
      <c r="D68" s="47" t="s">
        <v>87</v>
      </c>
      <c r="E68" s="47" t="s">
        <v>191</v>
      </c>
      <c r="F68" s="47" t="s">
        <v>113</v>
      </c>
      <c r="G68" s="130" t="str">
        <f t="shared" si="2"/>
        <v>крылья  FF</v>
      </c>
      <c r="H68" s="130" t="s">
        <v>1</v>
      </c>
      <c r="I68" s="112" t="str">
        <f>IFERROR(__xludf.DUMMYFUNCTION("""COMPUTED_VALUE"""),"Св. отбив   Фасоль")</f>
        <v>Св. отбив   Фасоль</v>
      </c>
      <c r="J68" s="112">
        <f>IFERROR(__xludf.DUMMYFUNCTION("""COMPUTED_VALUE"""),1.0)</f>
        <v>1</v>
      </c>
      <c r="K68" s="112" t="str">
        <f>IFERROR(__xludf.DUMMYFUNCTION("""COMPUTED_VALUE"""),"Олимп")</f>
        <v>Олимп</v>
      </c>
      <c r="L68" s="112"/>
      <c r="M68" s="112"/>
      <c r="N68" s="112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</row>
    <row r="69" ht="30.0" customHeight="1">
      <c r="A69" s="43" t="s">
        <v>572</v>
      </c>
      <c r="B69" s="43">
        <v>65.0</v>
      </c>
      <c r="C69" s="47" t="s">
        <v>55</v>
      </c>
      <c r="D69" s="47" t="s">
        <v>78</v>
      </c>
      <c r="E69" s="47" t="s">
        <v>169</v>
      </c>
      <c r="F69" s="47" t="s">
        <v>98</v>
      </c>
      <c r="G69" s="130" t="str">
        <f t="shared" si="2"/>
        <v>Гуляш Картошка</v>
      </c>
      <c r="H69" s="130" t="s">
        <v>1</v>
      </c>
      <c r="I69" s="112" t="str">
        <f>IFERROR(__xludf.DUMMYFUNCTION("""COMPUTED_VALUE"""),"Терияки Гр  ")</f>
        <v>Терияки Гр  </v>
      </c>
      <c r="J69" s="112">
        <f>IFERROR(__xludf.DUMMYFUNCTION("""COMPUTED_VALUE"""),2.0)</f>
        <v>2</v>
      </c>
      <c r="K69" s="112" t="str">
        <f>IFERROR(__xludf.DUMMYFUNCTION("""COMPUTED_VALUE"""),"Олимп")</f>
        <v>Олимп</v>
      </c>
      <c r="L69" s="112"/>
      <c r="M69" s="112"/>
      <c r="N69" s="112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</row>
    <row r="70" ht="30.0" customHeight="1">
      <c r="A70" s="43" t="s">
        <v>573</v>
      </c>
      <c r="B70" s="43">
        <v>66.0</v>
      </c>
      <c r="C70" s="47" t="s">
        <v>5</v>
      </c>
      <c r="D70" s="47" t="s">
        <v>105</v>
      </c>
      <c r="E70" s="47" t="s">
        <v>173</v>
      </c>
      <c r="F70" s="47" t="s">
        <v>113</v>
      </c>
      <c r="G70" s="130" t="str">
        <f t="shared" si="2"/>
        <v>Дорадо  FF</v>
      </c>
      <c r="H70" s="130" t="s">
        <v>1</v>
      </c>
      <c r="I70" s="112" t="str">
        <f>IFERROR(__xludf.DUMMYFUNCTION("""COMPUTED_VALUE"""),"Чалахач ")</f>
        <v>Чалахач </v>
      </c>
      <c r="J70" s="112">
        <f>IFERROR(__xludf.DUMMYFUNCTION("""COMPUTED_VALUE"""),3.0)</f>
        <v>3</v>
      </c>
      <c r="K70" s="112" t="str">
        <f>IFERROR(__xludf.DUMMYFUNCTION("""COMPUTED_VALUE"""),"Олимп")</f>
        <v>Олимп</v>
      </c>
      <c r="L70" s="112"/>
      <c r="M70" s="112"/>
      <c r="N70" s="112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</row>
    <row r="71" ht="30.0" customHeight="1">
      <c r="A71" s="43" t="s">
        <v>574</v>
      </c>
      <c r="B71" s="43">
        <v>67.0</v>
      </c>
      <c r="C71" s="47" t="s">
        <v>55</v>
      </c>
      <c r="D71" s="47" t="s">
        <v>87</v>
      </c>
      <c r="E71" s="47" t="s">
        <v>173</v>
      </c>
      <c r="F71" s="129" t="s">
        <v>127</v>
      </c>
      <c r="G71" s="130" t="str">
        <f t="shared" si="2"/>
        <v>Дорадо MP </v>
      </c>
      <c r="H71" s="130" t="s">
        <v>1</v>
      </c>
      <c r="I71" s="111" t="str">
        <f>IFERROR(__xludf.DUMMYFUNCTION("""COMPUTED_VALUE"""),"Чалахач MP ")</f>
        <v>Чалахач MP </v>
      </c>
      <c r="J71" s="164">
        <f>IFERROR(__xludf.DUMMYFUNCTION("""COMPUTED_VALUE"""),1.0)</f>
        <v>1</v>
      </c>
      <c r="K71" s="111" t="str">
        <f>IFERROR(__xludf.DUMMYFUNCTION("""COMPUTED_VALUE"""),"Олимп")</f>
        <v>Олимп</v>
      </c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</row>
    <row r="72" ht="30.0" customHeight="1">
      <c r="A72" s="80" t="s">
        <v>392</v>
      </c>
      <c r="B72" s="43">
        <v>68.0</v>
      </c>
      <c r="C72" s="47" t="s">
        <v>12</v>
      </c>
      <c r="D72" s="47" t="s">
        <v>78</v>
      </c>
      <c r="E72" s="47" t="s">
        <v>165</v>
      </c>
      <c r="F72" s="129"/>
      <c r="G72" s="130" t="str">
        <f t="shared" si="2"/>
        <v>Пельмени </v>
      </c>
      <c r="H72" s="130" t="s">
        <v>1</v>
      </c>
      <c r="I72" s="111" t="str">
        <f>IFERROR(__xludf.DUMMYFUNCTION("""COMPUTED_VALUE"""),"Чалахач Гр  ")</f>
        <v>Чалахач Гр  </v>
      </c>
      <c r="J72" s="164">
        <f>IFERROR(__xludf.DUMMYFUNCTION("""COMPUTED_VALUE"""),1.0)</f>
        <v>1</v>
      </c>
      <c r="K72" s="111" t="str">
        <f>IFERROR(__xludf.DUMMYFUNCTION("""COMPUTED_VALUE"""),"Олимп")</f>
        <v>Олимп</v>
      </c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</row>
    <row r="73" ht="30.0" customHeight="1">
      <c r="A73" s="55" t="s">
        <v>576</v>
      </c>
      <c r="B73" s="43">
        <v>69.0</v>
      </c>
      <c r="C73" s="47" t="s">
        <v>16</v>
      </c>
      <c r="D73" s="47" t="s">
        <v>87</v>
      </c>
      <c r="E73" s="47" t="s">
        <v>187</v>
      </c>
      <c r="F73" s="47"/>
      <c r="G73" s="130" t="str">
        <f t="shared" si="2"/>
        <v>Котл. кур </v>
      </c>
      <c r="H73" s="130" t="s">
        <v>1</v>
      </c>
      <c r="I73" s="112" t="str">
        <f>IFERROR(__xludf.DUMMYFUNCTION("""COMPUTED_VALUE"""),"Шницель MP ")</f>
        <v>Шницель MP </v>
      </c>
      <c r="J73" s="112">
        <f>IFERROR(__xludf.DUMMYFUNCTION("""COMPUTED_VALUE"""),1.0)</f>
        <v>1</v>
      </c>
      <c r="K73" s="112" t="str">
        <f>IFERROR(__xludf.DUMMYFUNCTION("""COMPUTED_VALUE"""),"Олимп")</f>
        <v>Олимп</v>
      </c>
      <c r="L73" s="112"/>
      <c r="M73" s="112"/>
      <c r="N73" s="112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</row>
    <row r="74" ht="30.0" customHeight="1">
      <c r="A74" s="43" t="s">
        <v>577</v>
      </c>
      <c r="B74" s="43">
        <v>70.0</v>
      </c>
      <c r="C74" s="47" t="s">
        <v>32</v>
      </c>
      <c r="D74" s="47" t="s">
        <v>85</v>
      </c>
      <c r="E74" s="47" t="s">
        <v>150</v>
      </c>
      <c r="F74" s="47"/>
      <c r="G74" s="130" t="str">
        <f t="shared" si="2"/>
        <v>Бл. мясо </v>
      </c>
      <c r="H74" s="130" t="s">
        <v>1</v>
      </c>
      <c r="I74" s="112" t="str">
        <f>IFERROR(__xludf.DUMMYFUNCTION("""COMPUTED_VALUE"""),"Шницель Гр  ")</f>
        <v>Шницель Гр  </v>
      </c>
      <c r="J74" s="112">
        <f>IFERROR(__xludf.DUMMYFUNCTION("""COMPUTED_VALUE"""),1.0)</f>
        <v>1</v>
      </c>
      <c r="K74" s="112" t="str">
        <f>IFERROR(__xludf.DUMMYFUNCTION("""COMPUTED_VALUE"""),"Олимп")</f>
        <v>Олимп</v>
      </c>
      <c r="L74" s="112"/>
      <c r="M74" s="112"/>
      <c r="N74" s="112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</row>
    <row r="75" ht="30.0" customHeight="1">
      <c r="A75" s="6" t="s">
        <v>509</v>
      </c>
      <c r="B75" s="43">
        <v>71.0</v>
      </c>
      <c r="C75" s="47" t="s">
        <v>47</v>
      </c>
      <c r="D75" s="47" t="s">
        <v>65</v>
      </c>
      <c r="E75" s="47" t="s">
        <v>161</v>
      </c>
      <c r="F75" s="47"/>
      <c r="G75" s="130" t="str">
        <f t="shared" si="2"/>
        <v>Вар.Кар </v>
      </c>
      <c r="H75" s="130" t="s">
        <v>1</v>
      </c>
      <c r="I75" s="112" t="str">
        <f>IFERROR(__xludf.DUMMYFUNCTION("""COMPUTED_VALUE"""),"Шницель Картошка")</f>
        <v>Шницель Картошка</v>
      </c>
      <c r="J75" s="112">
        <f>IFERROR(__xludf.DUMMYFUNCTION("""COMPUTED_VALUE"""),1.0)</f>
        <v>1</v>
      </c>
      <c r="K75" s="112" t="str">
        <f>IFERROR(__xludf.DUMMYFUNCTION("""COMPUTED_VALUE"""),"Олимп")</f>
        <v>Олимп</v>
      </c>
      <c r="L75" s="112"/>
      <c r="M75" s="112"/>
      <c r="N75" s="112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</row>
    <row r="76" ht="30.0" customHeight="1">
      <c r="A76" s="80" t="s">
        <v>304</v>
      </c>
      <c r="B76" s="43">
        <v>72.0</v>
      </c>
      <c r="C76" s="47" t="s">
        <v>55</v>
      </c>
      <c r="D76" s="47" t="s">
        <v>105</v>
      </c>
      <c r="E76" s="129" t="s">
        <v>126</v>
      </c>
      <c r="F76" s="47" t="s">
        <v>122</v>
      </c>
      <c r="G76" s="130" t="str">
        <f t="shared" si="2"/>
        <v>S   Туш. кап.</v>
      </c>
      <c r="H76" s="130" t="s">
        <v>1</v>
      </c>
      <c r="I76" s="112" t="str">
        <f>IFERROR(__xludf.DUMMYFUNCTION("""COMPUTED_VALUE"""),"крылья ")</f>
        <v>крылья </v>
      </c>
      <c r="J76" s="112">
        <f>IFERROR(__xludf.DUMMYFUNCTION("""COMPUTED_VALUE"""),1.0)</f>
        <v>1</v>
      </c>
      <c r="K76" s="112" t="str">
        <f>IFERROR(__xludf.DUMMYFUNCTION("""COMPUTED_VALUE"""),"Олимп")</f>
        <v>Олимп</v>
      </c>
      <c r="L76" s="112"/>
      <c r="M76" s="112"/>
      <c r="N76" s="112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</row>
    <row r="77" ht="30.0" customHeight="1">
      <c r="A77" s="166" t="s">
        <v>580</v>
      </c>
      <c r="B77" s="43">
        <v>73.0</v>
      </c>
      <c r="C77" s="47" t="s">
        <v>57</v>
      </c>
      <c r="D77" s="47" t="s">
        <v>65</v>
      </c>
      <c r="E77" s="47" t="s">
        <v>67</v>
      </c>
      <c r="F77" s="47"/>
      <c r="G77" s="130" t="str">
        <f t="shared" si="2"/>
        <v>Баса </v>
      </c>
      <c r="H77" s="130" t="s">
        <v>1</v>
      </c>
      <c r="I77" s="112" t="str">
        <f>IFERROR(__xludf.DUMMYFUNCTION("""COMPUTED_VALUE"""),"крылья  FF")</f>
        <v>крылья  FF</v>
      </c>
      <c r="J77" s="112">
        <f>IFERROR(__xludf.DUMMYFUNCTION("""COMPUTED_VALUE"""),1.0)</f>
        <v>1</v>
      </c>
      <c r="K77" s="112" t="str">
        <f>IFERROR(__xludf.DUMMYFUNCTION("""COMPUTED_VALUE"""),"Олимп")</f>
        <v>Олимп</v>
      </c>
      <c r="L77" s="112"/>
      <c r="M77" s="112"/>
      <c r="N77" s="112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</row>
    <row r="78" ht="30.0" customHeight="1">
      <c r="A78" s="150" t="s">
        <v>581</v>
      </c>
      <c r="B78" s="43">
        <v>74.0</v>
      </c>
      <c r="C78" s="47" t="s">
        <v>16</v>
      </c>
      <c r="D78" s="47" t="s">
        <v>87</v>
      </c>
      <c r="E78" s="47" t="s">
        <v>126</v>
      </c>
      <c r="F78" s="47" t="s">
        <v>122</v>
      </c>
      <c r="G78" s="130" t="str">
        <f t="shared" si="2"/>
        <v>S   Туш. кап.</v>
      </c>
      <c r="H78" s="130" t="s">
        <v>1</v>
      </c>
      <c r="I78" s="112" t="str">
        <f>IFERROR(__xludf.DUMMYFUNCTION("""COMPUTED_VALUE"""),"крылья MP ")</f>
        <v>крылья MP </v>
      </c>
      <c r="J78" s="112">
        <f>IFERROR(__xludf.DUMMYFUNCTION("""COMPUTED_VALUE"""),1.0)</f>
        <v>1</v>
      </c>
      <c r="K78" s="112" t="str">
        <f>IFERROR(__xludf.DUMMYFUNCTION("""COMPUTED_VALUE"""),"Олимп")</f>
        <v>Олимп</v>
      </c>
      <c r="L78" s="112"/>
      <c r="M78" s="112"/>
      <c r="N78" s="112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</row>
    <row r="79" ht="30.0" customHeight="1">
      <c r="A79" s="68" t="s">
        <v>582</v>
      </c>
      <c r="B79" s="43">
        <v>75.0</v>
      </c>
      <c r="C79" s="47" t="s">
        <v>23</v>
      </c>
      <c r="D79" s="47" t="s">
        <v>105</v>
      </c>
      <c r="E79" s="47" t="s">
        <v>67</v>
      </c>
      <c r="F79" s="47" t="s">
        <v>80</v>
      </c>
      <c r="G79" s="130" t="str">
        <f t="shared" si="2"/>
        <v>Баса Гр  </v>
      </c>
      <c r="H79" s="130" t="s">
        <v>1</v>
      </c>
      <c r="I79" s="112" t="str">
        <f>IFERROR(__xludf.DUMMYFUNCTION("""COMPUTED_VALUE"""),"крылья Гр  ")</f>
        <v>крылья Гр  </v>
      </c>
      <c r="J79" s="112">
        <f>IFERROR(__xludf.DUMMYFUNCTION("""COMPUTED_VALUE"""),1.0)</f>
        <v>1</v>
      </c>
      <c r="K79" s="112" t="str">
        <f>IFERROR(__xludf.DUMMYFUNCTION("""COMPUTED_VALUE"""),"Олимп")</f>
        <v>Олимп</v>
      </c>
      <c r="L79" s="112"/>
      <c r="M79" s="112"/>
      <c r="N79" s="112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</row>
    <row r="80" ht="30.0" customHeight="1">
      <c r="A80" s="68" t="s">
        <v>583</v>
      </c>
      <c r="B80" s="43">
        <v>76.0</v>
      </c>
      <c r="C80" s="47" t="s">
        <v>32</v>
      </c>
      <c r="D80" s="47" t="s">
        <v>87</v>
      </c>
      <c r="E80" s="47" t="s">
        <v>67</v>
      </c>
      <c r="F80" s="47" t="s">
        <v>127</v>
      </c>
      <c r="G80" s="130" t="str">
        <f t="shared" si="2"/>
        <v>Баса MP </v>
      </c>
      <c r="H80" s="130" t="s">
        <v>1</v>
      </c>
      <c r="I80" s="112" t="str">
        <f>IFERROR(__xludf.DUMMYFUNCTION("""COMPUTED_VALUE"""),"крылья Картошка")</f>
        <v>крылья Картошка</v>
      </c>
      <c r="J80" s="112">
        <f>IFERROR(__xludf.DUMMYFUNCTION("""COMPUTED_VALUE"""),1.0)</f>
        <v>1</v>
      </c>
      <c r="K80" s="112" t="str">
        <f>IFERROR(__xludf.DUMMYFUNCTION("""COMPUTED_VALUE"""),"Олимп")</f>
        <v>Олимп</v>
      </c>
      <c r="L80" s="112"/>
      <c r="M80" s="112"/>
      <c r="N80" s="112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</row>
    <row r="81" ht="30.0" customHeight="1">
      <c r="A81" s="68" t="s">
        <v>584</v>
      </c>
      <c r="B81" s="43">
        <v>77.0</v>
      </c>
      <c r="C81" s="47" t="s">
        <v>16</v>
      </c>
      <c r="D81" s="47" t="s">
        <v>87</v>
      </c>
      <c r="E81" s="47" t="s">
        <v>97</v>
      </c>
      <c r="F81" s="47" t="s">
        <v>80</v>
      </c>
      <c r="G81" s="130" t="str">
        <f t="shared" si="2"/>
        <v>Терияки Гр  </v>
      </c>
      <c r="H81" s="130" t="s">
        <v>1</v>
      </c>
      <c r="I81" s="112" t="str">
        <f>IFERROR(__xludf.DUMMYFUNCTION("""COMPUTED_VALUE"""),"табака  Гр  ")</f>
        <v>табака  Гр  </v>
      </c>
      <c r="J81" s="112">
        <f>IFERROR(__xludf.DUMMYFUNCTION("""COMPUTED_VALUE"""),3.0)</f>
        <v>3</v>
      </c>
      <c r="K81" s="112" t="str">
        <f>IFERROR(__xludf.DUMMYFUNCTION("""COMPUTED_VALUE"""),"Олимп")</f>
        <v>Олимп</v>
      </c>
      <c r="L81" s="112"/>
      <c r="M81" s="112"/>
      <c r="N81" s="112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</row>
    <row r="82" ht="30.0" customHeight="1">
      <c r="A82" s="68" t="s">
        <v>315</v>
      </c>
      <c r="B82" s="43">
        <v>78.0</v>
      </c>
      <c r="C82" s="47" t="s">
        <v>23</v>
      </c>
      <c r="D82" s="47" t="s">
        <v>87</v>
      </c>
      <c r="E82" s="47" t="s">
        <v>79</v>
      </c>
      <c r="F82" s="47"/>
      <c r="G82" s="130" t="str">
        <f t="shared" si="2"/>
        <v>Чалахач </v>
      </c>
      <c r="H82" s="130" t="s">
        <v>1</v>
      </c>
      <c r="I82" s="112" t="str">
        <f>IFERROR(__xludf.DUMMYFUNCTION("""COMPUTED_VALUE"""),"табака  Картошка")</f>
        <v>табака  Картошка</v>
      </c>
      <c r="J82" s="112">
        <f>IFERROR(__xludf.DUMMYFUNCTION("""COMPUTED_VALUE"""),2.0)</f>
        <v>2</v>
      </c>
      <c r="K82" s="112" t="str">
        <f>IFERROR(__xludf.DUMMYFUNCTION("""COMPUTED_VALUE"""),"Олимп")</f>
        <v>Олимп</v>
      </c>
      <c r="L82" s="112"/>
      <c r="M82" s="112"/>
      <c r="N82" s="112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</row>
    <row r="83" ht="30.0" customHeight="1">
      <c r="A83" s="150" t="s">
        <v>585</v>
      </c>
      <c r="B83" s="43">
        <v>79.0</v>
      </c>
      <c r="C83" s="47" t="s">
        <v>32</v>
      </c>
      <c r="D83" s="47" t="s">
        <v>65</v>
      </c>
      <c r="E83" s="47" t="s">
        <v>67</v>
      </c>
      <c r="F83" s="47" t="s">
        <v>127</v>
      </c>
      <c r="G83" s="130" t="str">
        <f t="shared" si="2"/>
        <v>Баса MP </v>
      </c>
      <c r="H83" s="130" t="s">
        <v>1</v>
      </c>
      <c r="I83" s="112"/>
      <c r="J83" s="112"/>
      <c r="K83" s="112"/>
      <c r="L83" s="112"/>
      <c r="M83" s="112"/>
      <c r="N83" s="112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</row>
    <row r="84" ht="30.0" customHeight="1">
      <c r="A84" s="90" t="s">
        <v>586</v>
      </c>
      <c r="B84" s="43">
        <v>80.0</v>
      </c>
      <c r="C84" s="47" t="s">
        <v>55</v>
      </c>
      <c r="D84" s="47" t="s">
        <v>78</v>
      </c>
      <c r="E84" s="47" t="s">
        <v>209</v>
      </c>
      <c r="F84" s="47" t="s">
        <v>127</v>
      </c>
      <c r="G84" s="130" t="str">
        <f t="shared" si="2"/>
        <v>Шницель MP </v>
      </c>
      <c r="H84" s="130" t="s">
        <v>1</v>
      </c>
      <c r="I84" s="112"/>
      <c r="J84" s="112"/>
      <c r="K84" s="112"/>
      <c r="L84" s="112"/>
      <c r="M84" s="112"/>
      <c r="N84" s="112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</row>
    <row r="85" ht="30.0" customHeight="1">
      <c r="A85" s="90" t="s">
        <v>587</v>
      </c>
      <c r="B85" s="43">
        <v>81.0</v>
      </c>
      <c r="C85" s="47" t="s">
        <v>23</v>
      </c>
      <c r="D85" s="47" t="s">
        <v>65</v>
      </c>
      <c r="E85" s="47" t="s">
        <v>169</v>
      </c>
      <c r="F85" s="47" t="s">
        <v>127</v>
      </c>
      <c r="G85" s="130" t="str">
        <f t="shared" si="2"/>
        <v>Гуляш MP </v>
      </c>
      <c r="H85" s="130" t="s">
        <v>1</v>
      </c>
      <c r="I85" s="112"/>
      <c r="J85" s="112"/>
      <c r="K85" s="112"/>
      <c r="L85" s="112"/>
      <c r="M85" s="112"/>
      <c r="N85" s="112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</row>
    <row r="86" ht="30.0" customHeight="1">
      <c r="A86" s="80" t="s">
        <v>588</v>
      </c>
      <c r="B86" s="43">
        <v>82.0</v>
      </c>
      <c r="C86" s="47" t="s">
        <v>55</v>
      </c>
      <c r="D86" s="47" t="s">
        <v>87</v>
      </c>
      <c r="E86" s="47" t="s">
        <v>173</v>
      </c>
      <c r="F86" s="47" t="s">
        <v>127</v>
      </c>
      <c r="G86" s="130" t="str">
        <f t="shared" si="2"/>
        <v>Дорадо MP </v>
      </c>
      <c r="H86" s="130" t="s">
        <v>1</v>
      </c>
      <c r="I86" s="112"/>
      <c r="J86" s="112"/>
      <c r="K86" s="112"/>
      <c r="L86" s="112"/>
      <c r="M86" s="112"/>
      <c r="N86" s="112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</row>
    <row r="87" ht="30.0" customHeight="1">
      <c r="A87" s="80" t="s">
        <v>318</v>
      </c>
      <c r="B87" s="43">
        <v>83.0</v>
      </c>
      <c r="C87" s="47" t="s">
        <v>23</v>
      </c>
      <c r="D87" s="47" t="s">
        <v>78</v>
      </c>
      <c r="E87" s="47" t="s">
        <v>79</v>
      </c>
      <c r="F87" s="47"/>
      <c r="G87" s="130" t="str">
        <f t="shared" si="2"/>
        <v>Чалахач </v>
      </c>
      <c r="H87" s="130" t="s">
        <v>1</v>
      </c>
      <c r="I87" s="112"/>
      <c r="J87" s="112"/>
      <c r="K87" s="112"/>
      <c r="L87" s="112"/>
      <c r="M87" s="112"/>
      <c r="N87" s="112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</row>
    <row r="88" ht="30.0" customHeight="1">
      <c r="A88" s="80" t="s">
        <v>589</v>
      </c>
      <c r="B88" s="43">
        <v>84.0</v>
      </c>
      <c r="C88" s="47" t="s">
        <v>23</v>
      </c>
      <c r="D88" s="47" t="s">
        <v>85</v>
      </c>
      <c r="E88" s="47" t="s">
        <v>67</v>
      </c>
      <c r="F88" s="47" t="s">
        <v>122</v>
      </c>
      <c r="G88" s="130" t="str">
        <f t="shared" si="2"/>
        <v>Баса Туш. кап.</v>
      </c>
      <c r="H88" s="130" t="s">
        <v>1</v>
      </c>
      <c r="I88" s="112"/>
      <c r="J88" s="112"/>
      <c r="K88" s="112"/>
      <c r="L88" s="112"/>
      <c r="M88" s="112"/>
      <c r="N88" s="112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</row>
    <row r="89" ht="30.0" customHeight="1">
      <c r="A89" s="80" t="s">
        <v>528</v>
      </c>
      <c r="B89" s="43">
        <v>85.0</v>
      </c>
      <c r="C89" s="47" t="s">
        <v>55</v>
      </c>
      <c r="D89" s="47" t="s">
        <v>78</v>
      </c>
      <c r="E89" s="47" t="s">
        <v>191</v>
      </c>
      <c r="F89" s="47" t="s">
        <v>80</v>
      </c>
      <c r="G89" s="130" t="str">
        <f t="shared" si="2"/>
        <v>крылья Гр  </v>
      </c>
      <c r="H89" s="130" t="s">
        <v>1</v>
      </c>
      <c r="I89" s="140" t="s">
        <v>590</v>
      </c>
      <c r="J89" s="112"/>
      <c r="K89" s="112"/>
      <c r="L89" s="112"/>
      <c r="M89" s="112"/>
      <c r="N89" s="112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</row>
    <row r="90" ht="30.0" customHeight="1">
      <c r="A90" s="19"/>
      <c r="B90" s="19"/>
      <c r="C90" s="19"/>
      <c r="D90" s="19"/>
      <c r="E90" s="19"/>
      <c r="F90" s="19"/>
      <c r="G90" s="19"/>
      <c r="H90" s="19"/>
      <c r="I90" s="113"/>
      <c r="J90" s="113"/>
      <c r="K90" s="113"/>
      <c r="L90" s="113"/>
      <c r="M90" s="113"/>
      <c r="N90" s="113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9"/>
      <c r="B91" s="19"/>
      <c r="C91" s="19"/>
      <c r="D91" s="19"/>
      <c r="E91" s="19"/>
      <c r="F91" s="19"/>
      <c r="G91" s="19"/>
      <c r="H91" s="19"/>
      <c r="I91" s="113"/>
      <c r="J91" s="113"/>
      <c r="K91" s="113"/>
      <c r="L91" s="113"/>
      <c r="M91" s="113"/>
      <c r="N91" s="113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B92" s="19"/>
      <c r="C92" s="19"/>
      <c r="D92" s="19"/>
      <c r="E92" s="19"/>
      <c r="F92" s="1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9"/>
      <c r="W92" s="19"/>
      <c r="X92" s="19"/>
      <c r="Y92" s="19"/>
    </row>
    <row r="93">
      <c r="A93" s="19"/>
      <c r="F93" s="1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9"/>
      <c r="W93" s="19"/>
      <c r="X93" s="19"/>
      <c r="Y93" s="19"/>
    </row>
    <row r="94">
      <c r="A94" s="1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9"/>
      <c r="W94" s="19"/>
      <c r="X94" s="19"/>
      <c r="Y94" s="19"/>
    </row>
    <row r="95">
      <c r="A95" s="80" t="s">
        <v>591</v>
      </c>
      <c r="B95" s="167" t="s">
        <v>592</v>
      </c>
      <c r="C95" s="47" t="s">
        <v>5</v>
      </c>
      <c r="D95" s="47" t="s">
        <v>78</v>
      </c>
      <c r="E95" s="47" t="s">
        <v>181</v>
      </c>
      <c r="F95" s="47" t="s">
        <v>272</v>
      </c>
      <c r="G95" s="107"/>
      <c r="H95" s="168"/>
      <c r="I95" s="97"/>
      <c r="J95" s="97"/>
      <c r="K95" s="97"/>
      <c r="L95" s="97"/>
      <c r="M95" s="113"/>
      <c r="N95" s="113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80" t="s">
        <v>372</v>
      </c>
      <c r="B96" s="157" t="s">
        <v>547</v>
      </c>
      <c r="C96" s="47" t="s">
        <v>16</v>
      </c>
      <c r="D96" s="47" t="s">
        <v>85</v>
      </c>
      <c r="E96" s="47" t="s">
        <v>209</v>
      </c>
      <c r="G96" s="113"/>
      <c r="H96" s="113"/>
      <c r="I96" s="113"/>
      <c r="J96" s="113"/>
      <c r="K96" s="113"/>
      <c r="L96" s="113"/>
      <c r="M96" s="113"/>
      <c r="N96" s="113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43" t="s">
        <v>299</v>
      </c>
      <c r="B97" s="156" t="s">
        <v>593</v>
      </c>
      <c r="C97" s="47" t="s">
        <v>12</v>
      </c>
      <c r="D97" s="47" t="s">
        <v>78</v>
      </c>
      <c r="E97" s="47" t="s">
        <v>173</v>
      </c>
      <c r="G97" s="113"/>
      <c r="H97" s="113"/>
      <c r="I97" s="113"/>
      <c r="J97" s="113"/>
      <c r="K97" s="113"/>
      <c r="L97" s="113"/>
      <c r="M97" s="113"/>
      <c r="N97" s="113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55" t="s">
        <v>594</v>
      </c>
      <c r="B98" s="169" t="s">
        <v>595</v>
      </c>
      <c r="C98" s="47" t="s">
        <v>62</v>
      </c>
      <c r="D98" s="47" t="s">
        <v>85</v>
      </c>
      <c r="E98" s="47" t="s">
        <v>211</v>
      </c>
      <c r="F98" s="47" t="s">
        <v>272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6" t="s">
        <v>451</v>
      </c>
      <c r="B99" s="170" t="s">
        <v>596</v>
      </c>
      <c r="C99" s="47" t="s">
        <v>16</v>
      </c>
      <c r="D99" s="47" t="s">
        <v>95</v>
      </c>
      <c r="E99" s="47" t="s">
        <v>209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5">
      <c r="A105" s="171" t="s">
        <v>597</v>
      </c>
      <c r="B105" s="172"/>
      <c r="C105" s="19"/>
      <c r="D105" s="19"/>
      <c r="E105" s="19"/>
      <c r="F105" s="19"/>
      <c r="G105" s="113"/>
      <c r="H105" s="113"/>
      <c r="I105" s="113"/>
      <c r="J105" s="113"/>
      <c r="K105" s="113"/>
      <c r="L105" s="113"/>
      <c r="M105" s="113"/>
      <c r="N105" s="113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80" t="s">
        <v>538</v>
      </c>
      <c r="B106" s="43">
        <v>50.0</v>
      </c>
      <c r="C106" s="47" t="s">
        <v>16</v>
      </c>
      <c r="D106" s="47" t="s">
        <v>87</v>
      </c>
      <c r="E106" s="47" t="s">
        <v>67</v>
      </c>
      <c r="F106" s="47" t="s">
        <v>127</v>
      </c>
      <c r="G106" s="113"/>
      <c r="H106" s="113"/>
      <c r="I106" s="113"/>
      <c r="J106" s="113"/>
      <c r="K106" s="113"/>
      <c r="L106" s="113"/>
      <c r="M106" s="113"/>
      <c r="N106" s="113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6" t="s">
        <v>363</v>
      </c>
      <c r="B107" s="43">
        <v>61.0</v>
      </c>
      <c r="C107" s="47" t="s">
        <v>57</v>
      </c>
      <c r="D107" s="47" t="s">
        <v>65</v>
      </c>
      <c r="E107" s="47" t="s">
        <v>181</v>
      </c>
      <c r="F107" s="47" t="s">
        <v>98</v>
      </c>
      <c r="G107" s="113"/>
      <c r="H107" s="113"/>
      <c r="I107" s="113"/>
      <c r="J107" s="113"/>
      <c r="K107" s="113"/>
      <c r="L107" s="113"/>
      <c r="M107" s="113"/>
      <c r="N107" s="113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50" t="s">
        <v>585</v>
      </c>
      <c r="B108" s="43">
        <v>79.0</v>
      </c>
      <c r="C108" s="47" t="s">
        <v>32</v>
      </c>
      <c r="D108" s="47" t="s">
        <v>65</v>
      </c>
      <c r="E108" s="47" t="s">
        <v>67</v>
      </c>
      <c r="F108" s="47" t="s">
        <v>127</v>
      </c>
      <c r="G108" s="113"/>
      <c r="H108" s="113"/>
      <c r="I108" s="113"/>
      <c r="J108" s="113"/>
      <c r="K108" s="113"/>
      <c r="L108" s="113"/>
      <c r="M108" s="113"/>
      <c r="N108" s="113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6" t="s">
        <v>509</v>
      </c>
      <c r="B109" s="43">
        <v>71.0</v>
      </c>
      <c r="C109" s="47" t="s">
        <v>47</v>
      </c>
      <c r="D109" s="47" t="s">
        <v>65</v>
      </c>
      <c r="E109" s="47" t="s">
        <v>161</v>
      </c>
      <c r="F109" s="19"/>
      <c r="G109" s="113"/>
      <c r="H109" s="113"/>
      <c r="I109" s="113"/>
      <c r="J109" s="113"/>
      <c r="K109" s="113"/>
      <c r="L109" s="113"/>
      <c r="M109" s="113"/>
      <c r="N109" s="113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9"/>
      <c r="B110" s="19"/>
      <c r="C110" s="19"/>
      <c r="D110" s="19"/>
      <c r="E110" s="19"/>
      <c r="F110" s="19"/>
      <c r="G110" s="113"/>
      <c r="H110" s="113"/>
      <c r="I110" s="113"/>
      <c r="J110" s="113"/>
      <c r="K110" s="113"/>
      <c r="L110" s="113"/>
      <c r="M110" s="113"/>
      <c r="N110" s="113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6">
      <c r="A116" s="19"/>
      <c r="B116" s="172"/>
      <c r="C116" s="19"/>
      <c r="D116" s="19"/>
      <c r="E116" s="19"/>
      <c r="F116" s="19"/>
      <c r="G116" s="113"/>
      <c r="H116" s="113"/>
      <c r="I116" s="113"/>
      <c r="J116" s="113"/>
      <c r="K116" s="113"/>
      <c r="L116" s="113"/>
      <c r="M116" s="113"/>
      <c r="N116" s="113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72"/>
      <c r="C117" s="19"/>
      <c r="D117" s="19"/>
      <c r="E117" s="19"/>
      <c r="F117" s="19"/>
      <c r="G117" s="113"/>
      <c r="H117" s="113"/>
      <c r="I117" s="113"/>
      <c r="J117" s="113"/>
      <c r="K117" s="113"/>
      <c r="L117" s="113"/>
      <c r="M117" s="113"/>
      <c r="N117" s="113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72"/>
      <c r="C118" s="19"/>
      <c r="D118" s="19"/>
      <c r="E118" s="19"/>
      <c r="F118" s="19"/>
      <c r="G118" s="113"/>
      <c r="H118" s="113"/>
      <c r="I118" s="113"/>
      <c r="J118" s="113"/>
      <c r="K118" s="113"/>
      <c r="L118" s="113"/>
      <c r="M118" s="113"/>
      <c r="N118" s="113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71" t="s">
        <v>601</v>
      </c>
      <c r="B119" s="159"/>
      <c r="C119" s="159"/>
      <c r="D119" s="159"/>
      <c r="E119" s="159"/>
      <c r="F119" s="159"/>
      <c r="G119" s="113"/>
      <c r="H119" s="113"/>
      <c r="I119" s="113"/>
      <c r="J119" s="113"/>
      <c r="K119" s="113"/>
      <c r="L119" s="113"/>
      <c r="M119" s="113"/>
      <c r="N119" s="113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6" t="s">
        <v>491</v>
      </c>
      <c r="B120" s="151">
        <v>8.0</v>
      </c>
      <c r="C120" s="75" t="s">
        <v>55</v>
      </c>
      <c r="D120" s="75" t="s">
        <v>87</v>
      </c>
      <c r="E120" s="75" t="s">
        <v>126</v>
      </c>
      <c r="F120" s="75" t="s">
        <v>127</v>
      </c>
      <c r="G120" s="113"/>
      <c r="H120" s="113"/>
      <c r="I120" s="113"/>
      <c r="J120" s="113"/>
      <c r="K120" s="113"/>
      <c r="L120" s="113"/>
      <c r="M120" s="113"/>
      <c r="N120" s="113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73" t="s">
        <v>493</v>
      </c>
      <c r="B121" s="153">
        <v>9.0</v>
      </c>
      <c r="C121" s="75" t="s">
        <v>55</v>
      </c>
      <c r="D121" s="75" t="s">
        <v>87</v>
      </c>
      <c r="E121" s="75" t="s">
        <v>209</v>
      </c>
      <c r="F121" s="75" t="s">
        <v>80</v>
      </c>
      <c r="G121" s="113"/>
      <c r="H121" s="113"/>
      <c r="I121" s="113"/>
      <c r="J121" s="113"/>
      <c r="K121" s="113"/>
      <c r="L121" s="113"/>
      <c r="M121" s="113"/>
      <c r="N121" s="113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6" t="s">
        <v>602</v>
      </c>
      <c r="B122" s="153">
        <v>20.0</v>
      </c>
      <c r="C122" s="75" t="s">
        <v>57</v>
      </c>
      <c r="D122" s="75" t="s">
        <v>85</v>
      </c>
      <c r="E122" s="75" t="s">
        <v>173</v>
      </c>
      <c r="F122" s="75" t="s">
        <v>122</v>
      </c>
      <c r="G122" s="113"/>
      <c r="H122" s="113"/>
      <c r="I122" s="113"/>
      <c r="J122" s="113"/>
      <c r="K122" s="113"/>
      <c r="L122" s="113"/>
      <c r="M122" s="113"/>
      <c r="N122" s="113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6" t="s">
        <v>603</v>
      </c>
      <c r="B123" s="153">
        <v>32.0</v>
      </c>
      <c r="C123" s="75" t="s">
        <v>16</v>
      </c>
      <c r="D123" s="75" t="s">
        <v>117</v>
      </c>
      <c r="E123" s="174" t="s">
        <v>161</v>
      </c>
      <c r="F123" s="75"/>
      <c r="G123" s="113"/>
      <c r="H123" s="113"/>
      <c r="I123" s="113"/>
      <c r="J123" s="113"/>
      <c r="K123" s="113"/>
      <c r="L123" s="113"/>
      <c r="M123" s="113"/>
      <c r="N123" s="113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72"/>
      <c r="C124" s="19"/>
      <c r="D124" s="19"/>
      <c r="E124" s="19"/>
      <c r="F124" s="19"/>
      <c r="G124" s="113"/>
      <c r="H124" s="113"/>
      <c r="I124" s="113"/>
      <c r="J124" s="113"/>
      <c r="K124" s="113"/>
      <c r="L124" s="113"/>
      <c r="M124" s="113"/>
      <c r="N124" s="113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7">
      <c r="A127" s="19"/>
      <c r="B127" s="172"/>
      <c r="C127" s="19"/>
      <c r="D127" s="19"/>
      <c r="E127" s="19"/>
      <c r="F127" s="19"/>
      <c r="G127" s="113"/>
      <c r="H127" s="113"/>
      <c r="I127" s="113"/>
      <c r="J127" s="113"/>
      <c r="K127" s="113"/>
      <c r="L127" s="113"/>
      <c r="M127" s="113"/>
      <c r="N127" s="113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72"/>
      <c r="C128" s="19"/>
      <c r="D128" s="19"/>
      <c r="E128" s="19"/>
      <c r="F128" s="19"/>
      <c r="G128" s="113"/>
      <c r="H128" s="113"/>
      <c r="I128" s="113"/>
      <c r="J128" s="113"/>
      <c r="K128" s="113"/>
      <c r="L128" s="113"/>
      <c r="M128" s="113"/>
      <c r="N128" s="113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72"/>
      <c r="C129" s="19"/>
      <c r="D129" s="19"/>
      <c r="E129" s="19"/>
      <c r="F129" s="19"/>
      <c r="G129" s="113"/>
      <c r="H129" s="113"/>
      <c r="I129" s="113"/>
      <c r="J129" s="113"/>
      <c r="K129" s="113"/>
      <c r="L129" s="113"/>
      <c r="M129" s="113"/>
      <c r="N129" s="113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72"/>
      <c r="C130" s="19"/>
      <c r="D130" s="19"/>
      <c r="E130" s="19"/>
      <c r="F130" s="19"/>
      <c r="G130" s="113"/>
      <c r="H130" s="113"/>
      <c r="I130" s="113"/>
      <c r="J130" s="113"/>
      <c r="K130" s="113"/>
      <c r="L130" s="113"/>
      <c r="M130" s="113"/>
      <c r="N130" s="113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72"/>
      <c r="C131" s="19"/>
      <c r="D131" s="19"/>
      <c r="E131" s="19"/>
      <c r="F131" s="19"/>
      <c r="G131" s="113"/>
      <c r="H131" s="113"/>
      <c r="I131" s="113"/>
      <c r="J131" s="113"/>
      <c r="K131" s="113"/>
      <c r="L131" s="113"/>
      <c r="M131" s="113"/>
      <c r="N131" s="113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71" t="s">
        <v>604</v>
      </c>
      <c r="B132" s="172"/>
      <c r="C132" s="19"/>
      <c r="D132" s="19"/>
      <c r="E132" s="19"/>
      <c r="F132" s="19"/>
      <c r="G132" s="113"/>
      <c r="H132" s="113"/>
      <c r="I132" s="113"/>
      <c r="J132" s="113"/>
      <c r="K132" s="113"/>
      <c r="L132" s="113"/>
      <c r="M132" s="113"/>
      <c r="N132" s="113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80" t="s">
        <v>605</v>
      </c>
      <c r="B133" s="156" t="s">
        <v>606</v>
      </c>
      <c r="C133" s="47" t="s">
        <v>62</v>
      </c>
      <c r="D133" s="47" t="s">
        <v>117</v>
      </c>
      <c r="E133" s="47" t="s">
        <v>67</v>
      </c>
      <c r="F133" s="47" t="s">
        <v>113</v>
      </c>
      <c r="G133" s="113"/>
      <c r="H133" s="113"/>
      <c r="I133" s="113"/>
      <c r="J133" s="113"/>
      <c r="K133" s="113"/>
      <c r="L133" s="113"/>
      <c r="M133" s="113"/>
      <c r="N133" s="113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72"/>
      <c r="C134" s="19"/>
      <c r="D134" s="19"/>
      <c r="E134" s="19"/>
      <c r="F134" s="19"/>
      <c r="G134" s="113"/>
      <c r="H134" s="113"/>
      <c r="I134" s="113"/>
      <c r="J134" s="113"/>
      <c r="K134" s="113"/>
      <c r="L134" s="113"/>
      <c r="M134" s="113"/>
      <c r="N134" s="113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72"/>
      <c r="C135" s="19"/>
      <c r="D135" s="19"/>
      <c r="E135" s="19"/>
      <c r="F135" s="19"/>
      <c r="G135" s="113"/>
      <c r="H135" s="113"/>
      <c r="I135" s="113"/>
      <c r="J135" s="113"/>
      <c r="K135" s="113"/>
      <c r="L135" s="113"/>
      <c r="M135" s="113"/>
      <c r="N135" s="113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72"/>
      <c r="C136" s="19"/>
      <c r="D136" s="19"/>
      <c r="E136" s="19"/>
      <c r="F136" s="19"/>
      <c r="G136" s="113"/>
      <c r="H136" s="113"/>
      <c r="I136" s="113"/>
      <c r="J136" s="113"/>
      <c r="K136" s="113"/>
      <c r="L136" s="113"/>
      <c r="M136" s="113"/>
      <c r="N136" s="113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72"/>
      <c r="C137" s="19"/>
      <c r="D137" s="19"/>
      <c r="E137" s="19"/>
      <c r="F137" s="19"/>
      <c r="G137" s="113"/>
      <c r="H137" s="113"/>
      <c r="I137" s="113"/>
      <c r="J137" s="113"/>
      <c r="K137" s="113"/>
      <c r="L137" s="113"/>
      <c r="M137" s="113"/>
      <c r="N137" s="113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72"/>
      <c r="C138" s="19"/>
      <c r="D138" s="19"/>
      <c r="E138" s="19"/>
      <c r="F138" s="19"/>
      <c r="G138" s="113"/>
      <c r="H138" s="113"/>
      <c r="I138" s="113"/>
      <c r="J138" s="113"/>
      <c r="K138" s="113"/>
      <c r="L138" s="113"/>
      <c r="M138" s="113"/>
      <c r="N138" s="113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72"/>
      <c r="C139" s="19"/>
      <c r="D139" s="19"/>
      <c r="E139" s="19"/>
      <c r="F139" s="19"/>
      <c r="G139" s="113"/>
      <c r="H139" s="113"/>
      <c r="I139" s="113"/>
      <c r="J139" s="113"/>
      <c r="K139" s="113"/>
      <c r="L139" s="113"/>
      <c r="M139" s="113"/>
      <c r="N139" s="113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72"/>
      <c r="C140" s="19"/>
      <c r="D140" s="19"/>
      <c r="E140" s="19"/>
      <c r="F140" s="19"/>
      <c r="G140" s="113"/>
      <c r="H140" s="113"/>
      <c r="I140" s="113"/>
      <c r="J140" s="113"/>
      <c r="K140" s="113"/>
      <c r="L140" s="113"/>
      <c r="M140" s="113"/>
      <c r="N140" s="113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72"/>
      <c r="C141" s="19"/>
      <c r="D141" s="19"/>
      <c r="E141" s="19"/>
      <c r="F141" s="19"/>
      <c r="G141" s="113"/>
      <c r="H141" s="113"/>
      <c r="I141" s="113"/>
      <c r="J141" s="113"/>
      <c r="K141" s="113"/>
      <c r="L141" s="113"/>
      <c r="M141" s="113"/>
      <c r="N141" s="113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72"/>
      <c r="C142" s="19"/>
      <c r="D142" s="19"/>
      <c r="E142" s="19"/>
      <c r="F142" s="19"/>
      <c r="G142" s="113"/>
      <c r="H142" s="113"/>
      <c r="I142" s="113"/>
      <c r="J142" s="113"/>
      <c r="K142" s="113"/>
      <c r="L142" s="113"/>
      <c r="M142" s="113"/>
      <c r="N142" s="113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72"/>
      <c r="C143" s="19"/>
      <c r="D143" s="19"/>
      <c r="E143" s="19"/>
      <c r="F143" s="19"/>
      <c r="G143" s="113"/>
      <c r="H143" s="113"/>
      <c r="I143" s="113"/>
      <c r="J143" s="113"/>
      <c r="K143" s="113"/>
      <c r="L143" s="113"/>
      <c r="M143" s="113"/>
      <c r="N143" s="113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72"/>
      <c r="C144" s="19"/>
      <c r="D144" s="19"/>
      <c r="E144" s="19"/>
      <c r="F144" s="19"/>
      <c r="G144" s="113"/>
      <c r="H144" s="113"/>
      <c r="I144" s="113"/>
      <c r="J144" s="113"/>
      <c r="K144" s="113"/>
      <c r="L144" s="113"/>
      <c r="M144" s="113"/>
      <c r="N144" s="113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72"/>
      <c r="C145" s="19"/>
      <c r="D145" s="19"/>
      <c r="E145" s="19"/>
      <c r="F145" s="19"/>
      <c r="G145" s="113"/>
      <c r="H145" s="113"/>
      <c r="I145" s="113"/>
      <c r="J145" s="113"/>
      <c r="K145" s="113"/>
      <c r="L145" s="113"/>
      <c r="M145" s="113"/>
      <c r="N145" s="113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72"/>
      <c r="C146" s="19"/>
      <c r="D146" s="19"/>
      <c r="E146" s="19"/>
      <c r="F146" s="19"/>
      <c r="G146" s="113"/>
      <c r="H146" s="113"/>
      <c r="I146" s="113"/>
      <c r="J146" s="113"/>
      <c r="K146" s="113"/>
      <c r="L146" s="113"/>
      <c r="M146" s="113"/>
      <c r="N146" s="113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72"/>
      <c r="C147" s="19"/>
      <c r="D147" s="19"/>
      <c r="E147" s="19"/>
      <c r="F147" s="19"/>
      <c r="G147" s="113"/>
      <c r="H147" s="113"/>
      <c r="I147" s="113"/>
      <c r="J147" s="113"/>
      <c r="K147" s="113"/>
      <c r="L147" s="113"/>
      <c r="M147" s="113"/>
      <c r="N147" s="113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72"/>
      <c r="C148" s="19"/>
      <c r="D148" s="19"/>
      <c r="E148" s="19"/>
      <c r="F148" s="19"/>
      <c r="G148" s="113"/>
      <c r="H148" s="113"/>
      <c r="I148" s="113"/>
      <c r="J148" s="113"/>
      <c r="K148" s="113"/>
      <c r="L148" s="113"/>
      <c r="M148" s="113"/>
      <c r="N148" s="113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72"/>
      <c r="C149" s="19"/>
      <c r="D149" s="19"/>
      <c r="E149" s="19"/>
      <c r="F149" s="19"/>
      <c r="G149" s="113"/>
      <c r="H149" s="113"/>
      <c r="I149" s="113"/>
      <c r="J149" s="113"/>
      <c r="K149" s="113"/>
      <c r="L149" s="113"/>
      <c r="M149" s="113"/>
      <c r="N149" s="113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9"/>
      <c r="B150" s="172"/>
      <c r="C150" s="19"/>
      <c r="D150" s="19"/>
      <c r="E150" s="19"/>
      <c r="F150" s="19"/>
      <c r="G150" s="113"/>
      <c r="H150" s="113"/>
      <c r="I150" s="113"/>
      <c r="J150" s="113"/>
      <c r="K150" s="113"/>
      <c r="L150" s="113"/>
      <c r="M150" s="113"/>
      <c r="N150" s="113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9"/>
      <c r="B151" s="172"/>
      <c r="C151" s="19"/>
      <c r="D151" s="19"/>
      <c r="E151" s="19"/>
      <c r="F151" s="19"/>
      <c r="G151" s="113"/>
      <c r="H151" s="113"/>
      <c r="I151" s="113"/>
      <c r="J151" s="113"/>
      <c r="K151" s="113"/>
      <c r="L151" s="113"/>
      <c r="M151" s="113"/>
      <c r="N151" s="113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9"/>
      <c r="B152" s="172"/>
      <c r="C152" s="19"/>
      <c r="D152" s="19"/>
      <c r="E152" s="19"/>
      <c r="F152" s="19"/>
      <c r="G152" s="113"/>
      <c r="H152" s="113"/>
      <c r="I152" s="113"/>
      <c r="J152" s="113"/>
      <c r="K152" s="113"/>
      <c r="L152" s="113"/>
      <c r="M152" s="113"/>
      <c r="N152" s="113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9"/>
      <c r="B153" s="172"/>
      <c r="C153" s="19"/>
      <c r="D153" s="19"/>
      <c r="E153" s="19"/>
      <c r="F153" s="19"/>
      <c r="G153" s="113"/>
      <c r="H153" s="113"/>
      <c r="I153" s="113"/>
      <c r="J153" s="113"/>
      <c r="K153" s="113"/>
      <c r="L153" s="113"/>
      <c r="M153" s="113"/>
      <c r="N153" s="113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9"/>
      <c r="B154" s="172"/>
      <c r="C154" s="19"/>
      <c r="D154" s="19"/>
      <c r="E154" s="19"/>
      <c r="F154" s="19"/>
      <c r="G154" s="113"/>
      <c r="H154" s="113"/>
      <c r="I154" s="113"/>
      <c r="J154" s="113"/>
      <c r="K154" s="113"/>
      <c r="L154" s="113"/>
      <c r="M154" s="113"/>
      <c r="N154" s="113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9"/>
      <c r="B155" s="172"/>
      <c r="C155" s="19"/>
      <c r="D155" s="19"/>
      <c r="E155" s="19"/>
      <c r="F155" s="19"/>
      <c r="G155" s="113"/>
      <c r="H155" s="113"/>
      <c r="I155" s="113"/>
      <c r="J155" s="113"/>
      <c r="K155" s="113"/>
      <c r="L155" s="113"/>
      <c r="M155" s="113"/>
      <c r="N155" s="113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9"/>
      <c r="B156" s="172"/>
      <c r="C156" s="19"/>
      <c r="D156" s="19"/>
      <c r="E156" s="19"/>
      <c r="F156" s="19"/>
      <c r="G156" s="113"/>
      <c r="H156" s="113"/>
      <c r="I156" s="113"/>
      <c r="J156" s="113"/>
      <c r="K156" s="113"/>
      <c r="L156" s="113"/>
      <c r="M156" s="113"/>
      <c r="N156" s="113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9"/>
      <c r="B157" s="172"/>
      <c r="C157" s="19"/>
      <c r="D157" s="19"/>
      <c r="E157" s="19"/>
      <c r="F157" s="19"/>
      <c r="G157" s="113"/>
      <c r="H157" s="113"/>
      <c r="I157" s="113"/>
      <c r="J157" s="113"/>
      <c r="K157" s="113"/>
      <c r="L157" s="113"/>
      <c r="M157" s="113"/>
      <c r="N157" s="113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9"/>
      <c r="B158" s="172"/>
      <c r="C158" s="19"/>
      <c r="D158" s="19"/>
      <c r="E158" s="19"/>
      <c r="F158" s="19"/>
      <c r="G158" s="113"/>
      <c r="H158" s="113"/>
      <c r="I158" s="113"/>
      <c r="J158" s="113"/>
      <c r="K158" s="113"/>
      <c r="L158" s="113"/>
      <c r="M158" s="113"/>
      <c r="N158" s="113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9"/>
      <c r="B159" s="172"/>
      <c r="C159" s="19"/>
      <c r="D159" s="19"/>
      <c r="E159" s="19"/>
      <c r="F159" s="19"/>
      <c r="G159" s="113"/>
      <c r="H159" s="113"/>
      <c r="I159" s="113"/>
      <c r="J159" s="113"/>
      <c r="K159" s="113"/>
      <c r="L159" s="113"/>
      <c r="M159" s="113"/>
      <c r="N159" s="113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9"/>
      <c r="B160" s="172"/>
      <c r="C160" s="19"/>
      <c r="D160" s="19"/>
      <c r="E160" s="19"/>
      <c r="F160" s="19"/>
      <c r="G160" s="113"/>
      <c r="H160" s="113"/>
      <c r="I160" s="113"/>
      <c r="J160" s="113"/>
      <c r="K160" s="113"/>
      <c r="L160" s="113"/>
      <c r="M160" s="113"/>
      <c r="N160" s="113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9"/>
      <c r="B161" s="172"/>
      <c r="C161" s="19"/>
      <c r="D161" s="19"/>
      <c r="E161" s="19"/>
      <c r="F161" s="19"/>
      <c r="G161" s="113"/>
      <c r="H161" s="113"/>
      <c r="I161" s="113"/>
      <c r="J161" s="113"/>
      <c r="K161" s="113"/>
      <c r="L161" s="113"/>
      <c r="M161" s="113"/>
      <c r="N161" s="113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9"/>
      <c r="B162" s="172"/>
      <c r="C162" s="19"/>
      <c r="D162" s="19"/>
      <c r="E162" s="19"/>
      <c r="F162" s="19"/>
      <c r="G162" s="113"/>
      <c r="H162" s="113"/>
      <c r="I162" s="113"/>
      <c r="J162" s="113"/>
      <c r="K162" s="113"/>
      <c r="L162" s="113"/>
      <c r="M162" s="113"/>
      <c r="N162" s="113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9"/>
      <c r="B163" s="172"/>
      <c r="C163" s="19"/>
      <c r="D163" s="19"/>
      <c r="E163" s="19"/>
      <c r="F163" s="19"/>
      <c r="G163" s="113"/>
      <c r="H163" s="113"/>
      <c r="I163" s="113"/>
      <c r="J163" s="113"/>
      <c r="K163" s="113"/>
      <c r="L163" s="113"/>
      <c r="M163" s="113"/>
      <c r="N163" s="113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9"/>
      <c r="B164" s="172"/>
      <c r="C164" s="19"/>
      <c r="D164" s="19"/>
      <c r="E164" s="19"/>
      <c r="F164" s="19"/>
      <c r="G164" s="113"/>
      <c r="H164" s="113"/>
      <c r="I164" s="113"/>
      <c r="J164" s="113"/>
      <c r="K164" s="113"/>
      <c r="L164" s="113"/>
      <c r="M164" s="113"/>
      <c r="N164" s="113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72"/>
      <c r="C165" s="19"/>
      <c r="D165" s="19"/>
      <c r="E165" s="19"/>
      <c r="F165" s="19"/>
      <c r="G165" s="113"/>
      <c r="H165" s="113"/>
      <c r="I165" s="113"/>
      <c r="J165" s="113"/>
      <c r="K165" s="113"/>
      <c r="L165" s="113"/>
      <c r="M165" s="113"/>
      <c r="N165" s="113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72"/>
      <c r="C166" s="19"/>
      <c r="D166" s="19"/>
      <c r="E166" s="19"/>
      <c r="F166" s="19"/>
      <c r="G166" s="113"/>
      <c r="H166" s="113"/>
      <c r="I166" s="113"/>
      <c r="J166" s="113"/>
      <c r="K166" s="113"/>
      <c r="L166" s="113"/>
      <c r="M166" s="113"/>
      <c r="N166" s="113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72"/>
      <c r="C167" s="19"/>
      <c r="D167" s="19"/>
      <c r="E167" s="19"/>
      <c r="F167" s="19"/>
      <c r="G167" s="113"/>
      <c r="H167" s="113"/>
      <c r="I167" s="113"/>
      <c r="J167" s="113"/>
      <c r="K167" s="113"/>
      <c r="L167" s="113"/>
      <c r="M167" s="113"/>
      <c r="N167" s="113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72"/>
      <c r="C168" s="19"/>
      <c r="D168" s="19"/>
      <c r="E168" s="19"/>
      <c r="F168" s="19"/>
      <c r="G168" s="113"/>
      <c r="H168" s="113"/>
      <c r="I168" s="113"/>
      <c r="J168" s="113"/>
      <c r="K168" s="113"/>
      <c r="L168" s="113"/>
      <c r="M168" s="113"/>
      <c r="N168" s="113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72"/>
      <c r="C169" s="19"/>
      <c r="D169" s="19"/>
      <c r="E169" s="19"/>
      <c r="F169" s="19"/>
      <c r="G169" s="113"/>
      <c r="H169" s="113"/>
      <c r="I169" s="113"/>
      <c r="J169" s="113"/>
      <c r="K169" s="113"/>
      <c r="L169" s="113"/>
      <c r="M169" s="113"/>
      <c r="N169" s="113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72"/>
      <c r="C170" s="19"/>
      <c r="D170" s="19"/>
      <c r="E170" s="19"/>
      <c r="F170" s="19"/>
      <c r="G170" s="113"/>
      <c r="H170" s="113"/>
      <c r="I170" s="113"/>
      <c r="J170" s="113"/>
      <c r="K170" s="113"/>
      <c r="L170" s="113"/>
      <c r="M170" s="113"/>
      <c r="N170" s="113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72"/>
      <c r="C171" s="19"/>
      <c r="D171" s="19"/>
      <c r="E171" s="19"/>
      <c r="F171" s="19"/>
      <c r="G171" s="113"/>
      <c r="H171" s="113"/>
      <c r="I171" s="113"/>
      <c r="J171" s="113"/>
      <c r="K171" s="113"/>
      <c r="L171" s="113"/>
      <c r="M171" s="113"/>
      <c r="N171" s="113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72"/>
      <c r="C172" s="19"/>
      <c r="D172" s="19"/>
      <c r="E172" s="19"/>
      <c r="F172" s="19"/>
      <c r="G172" s="113"/>
      <c r="H172" s="113"/>
      <c r="I172" s="113"/>
      <c r="J172" s="113"/>
      <c r="K172" s="113"/>
      <c r="L172" s="113"/>
      <c r="M172" s="113"/>
      <c r="N172" s="113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72"/>
      <c r="C173" s="19"/>
      <c r="D173" s="19"/>
      <c r="E173" s="19"/>
      <c r="F173" s="19"/>
      <c r="G173" s="113"/>
      <c r="H173" s="113"/>
      <c r="I173" s="113"/>
      <c r="J173" s="113"/>
      <c r="K173" s="113"/>
      <c r="L173" s="113"/>
      <c r="M173" s="113"/>
      <c r="N173" s="113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72"/>
      <c r="C174" s="19"/>
      <c r="D174" s="19"/>
      <c r="E174" s="19"/>
      <c r="F174" s="19"/>
      <c r="G174" s="113"/>
      <c r="H174" s="113"/>
      <c r="I174" s="113"/>
      <c r="J174" s="113"/>
      <c r="K174" s="113"/>
      <c r="L174" s="113"/>
      <c r="M174" s="113"/>
      <c r="N174" s="113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72"/>
      <c r="C175" s="19"/>
      <c r="D175" s="19"/>
      <c r="E175" s="19"/>
      <c r="F175" s="19"/>
      <c r="G175" s="113"/>
      <c r="H175" s="113"/>
      <c r="I175" s="113"/>
      <c r="J175" s="113"/>
      <c r="K175" s="113"/>
      <c r="L175" s="113"/>
      <c r="M175" s="113"/>
      <c r="N175" s="113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72"/>
      <c r="C176" s="19"/>
      <c r="D176" s="19"/>
      <c r="E176" s="19"/>
      <c r="F176" s="19"/>
      <c r="G176" s="113"/>
      <c r="H176" s="113"/>
      <c r="I176" s="113"/>
      <c r="J176" s="113"/>
      <c r="K176" s="113"/>
      <c r="L176" s="113"/>
      <c r="M176" s="113"/>
      <c r="N176" s="113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72"/>
      <c r="C177" s="19"/>
      <c r="D177" s="19"/>
      <c r="E177" s="19"/>
      <c r="F177" s="19"/>
      <c r="G177" s="113"/>
      <c r="H177" s="113"/>
      <c r="I177" s="113"/>
      <c r="J177" s="113"/>
      <c r="K177" s="113"/>
      <c r="L177" s="113"/>
      <c r="M177" s="113"/>
      <c r="N177" s="113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72"/>
      <c r="C178" s="19"/>
      <c r="D178" s="19"/>
      <c r="E178" s="19"/>
      <c r="F178" s="19"/>
      <c r="G178" s="113"/>
      <c r="H178" s="113"/>
      <c r="I178" s="113"/>
      <c r="J178" s="113"/>
      <c r="K178" s="113"/>
      <c r="L178" s="113"/>
      <c r="M178" s="113"/>
      <c r="N178" s="113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72"/>
      <c r="C179" s="19"/>
      <c r="D179" s="19"/>
      <c r="E179" s="19"/>
      <c r="F179" s="19"/>
      <c r="G179" s="113"/>
      <c r="H179" s="113"/>
      <c r="I179" s="113"/>
      <c r="J179" s="113"/>
      <c r="K179" s="113"/>
      <c r="L179" s="113"/>
      <c r="M179" s="113"/>
      <c r="N179" s="113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72"/>
      <c r="C180" s="19"/>
      <c r="D180" s="19"/>
      <c r="E180" s="19"/>
      <c r="F180" s="19"/>
      <c r="G180" s="113"/>
      <c r="H180" s="113"/>
      <c r="I180" s="113"/>
      <c r="J180" s="113"/>
      <c r="K180" s="113"/>
      <c r="L180" s="113"/>
      <c r="M180" s="113"/>
      <c r="N180" s="113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72"/>
      <c r="C181" s="19"/>
      <c r="D181" s="19"/>
      <c r="E181" s="19"/>
      <c r="F181" s="19"/>
      <c r="G181" s="113"/>
      <c r="H181" s="113"/>
      <c r="I181" s="113"/>
      <c r="J181" s="113"/>
      <c r="K181" s="113"/>
      <c r="L181" s="113"/>
      <c r="M181" s="113"/>
      <c r="N181" s="113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72"/>
      <c r="C182" s="19"/>
      <c r="D182" s="19"/>
      <c r="E182" s="19"/>
      <c r="F182" s="19"/>
      <c r="G182" s="113"/>
      <c r="H182" s="113"/>
      <c r="I182" s="113"/>
      <c r="J182" s="113"/>
      <c r="K182" s="113"/>
      <c r="L182" s="113"/>
      <c r="M182" s="113"/>
      <c r="N182" s="113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72"/>
      <c r="C183" s="19"/>
      <c r="D183" s="19"/>
      <c r="E183" s="19"/>
      <c r="F183" s="19"/>
      <c r="G183" s="113"/>
      <c r="H183" s="113"/>
      <c r="I183" s="113"/>
      <c r="J183" s="113"/>
      <c r="K183" s="113"/>
      <c r="L183" s="113"/>
      <c r="M183" s="113"/>
      <c r="N183" s="113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72"/>
      <c r="C184" s="19"/>
      <c r="D184" s="19"/>
      <c r="E184" s="19"/>
      <c r="F184" s="19"/>
      <c r="G184" s="113"/>
      <c r="H184" s="113"/>
      <c r="I184" s="113"/>
      <c r="J184" s="113"/>
      <c r="K184" s="113"/>
      <c r="L184" s="113"/>
      <c r="M184" s="113"/>
      <c r="N184" s="113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72"/>
      <c r="C185" s="19"/>
      <c r="D185" s="19"/>
      <c r="E185" s="19"/>
      <c r="F185" s="19"/>
      <c r="G185" s="113"/>
      <c r="H185" s="113"/>
      <c r="I185" s="113"/>
      <c r="J185" s="113"/>
      <c r="K185" s="113"/>
      <c r="L185" s="113"/>
      <c r="M185" s="113"/>
      <c r="N185" s="113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72"/>
      <c r="C186" s="19"/>
      <c r="D186" s="19"/>
      <c r="E186" s="19"/>
      <c r="F186" s="19"/>
      <c r="G186" s="113"/>
      <c r="H186" s="113"/>
      <c r="I186" s="113"/>
      <c r="J186" s="113"/>
      <c r="K186" s="113"/>
      <c r="L186" s="113"/>
      <c r="M186" s="113"/>
      <c r="N186" s="113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72"/>
      <c r="C187" s="19"/>
      <c r="D187" s="19"/>
      <c r="E187" s="19"/>
      <c r="F187" s="19"/>
      <c r="G187" s="113"/>
      <c r="H187" s="113"/>
      <c r="I187" s="113"/>
      <c r="J187" s="113"/>
      <c r="K187" s="113"/>
      <c r="L187" s="113"/>
      <c r="M187" s="113"/>
      <c r="N187" s="113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72"/>
      <c r="C188" s="19"/>
      <c r="D188" s="19"/>
      <c r="E188" s="19"/>
      <c r="F188" s="19"/>
      <c r="G188" s="113"/>
      <c r="H188" s="113"/>
      <c r="I188" s="113"/>
      <c r="J188" s="113"/>
      <c r="K188" s="113"/>
      <c r="L188" s="113"/>
      <c r="M188" s="113"/>
      <c r="N188" s="113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72"/>
      <c r="C189" s="19"/>
      <c r="D189" s="19"/>
      <c r="E189" s="19"/>
      <c r="F189" s="19"/>
      <c r="G189" s="113"/>
      <c r="H189" s="113"/>
      <c r="I189" s="113"/>
      <c r="J189" s="113"/>
      <c r="K189" s="113"/>
      <c r="L189" s="113"/>
      <c r="M189" s="113"/>
      <c r="N189" s="113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72"/>
      <c r="C190" s="19"/>
      <c r="D190" s="19"/>
      <c r="E190" s="19"/>
      <c r="F190" s="19"/>
      <c r="G190" s="113"/>
      <c r="H190" s="113"/>
      <c r="I190" s="113"/>
      <c r="J190" s="113"/>
      <c r="K190" s="113"/>
      <c r="L190" s="113"/>
      <c r="M190" s="113"/>
      <c r="N190" s="113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72"/>
      <c r="C191" s="19"/>
      <c r="D191" s="19"/>
      <c r="E191" s="19"/>
      <c r="F191" s="19"/>
      <c r="G191" s="113"/>
      <c r="H191" s="113"/>
      <c r="I191" s="113"/>
      <c r="J191" s="113"/>
      <c r="K191" s="113"/>
      <c r="L191" s="113"/>
      <c r="M191" s="113"/>
      <c r="N191" s="113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72"/>
      <c r="C192" s="19"/>
      <c r="D192" s="19"/>
      <c r="E192" s="19"/>
      <c r="F192" s="19"/>
      <c r="G192" s="113"/>
      <c r="H192" s="113"/>
      <c r="I192" s="113"/>
      <c r="J192" s="113"/>
      <c r="K192" s="113"/>
      <c r="L192" s="113"/>
      <c r="M192" s="113"/>
      <c r="N192" s="113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72"/>
      <c r="C193" s="19"/>
      <c r="D193" s="19"/>
      <c r="E193" s="19"/>
      <c r="F193" s="19"/>
      <c r="G193" s="113"/>
      <c r="H193" s="113"/>
      <c r="I193" s="113"/>
      <c r="J193" s="113"/>
      <c r="K193" s="113"/>
      <c r="L193" s="113"/>
      <c r="M193" s="113"/>
      <c r="N193" s="113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72"/>
      <c r="C194" s="19"/>
      <c r="D194" s="19"/>
      <c r="E194" s="19"/>
      <c r="F194" s="19"/>
      <c r="G194" s="113"/>
      <c r="H194" s="113"/>
      <c r="I194" s="113"/>
      <c r="J194" s="113"/>
      <c r="K194" s="113"/>
      <c r="L194" s="113"/>
      <c r="M194" s="113"/>
      <c r="N194" s="113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72"/>
      <c r="C195" s="19"/>
      <c r="D195" s="19"/>
      <c r="E195" s="19"/>
      <c r="F195" s="19"/>
      <c r="G195" s="113"/>
      <c r="H195" s="113"/>
      <c r="I195" s="113"/>
      <c r="J195" s="113"/>
      <c r="K195" s="113"/>
      <c r="L195" s="113"/>
      <c r="M195" s="113"/>
      <c r="N195" s="113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72"/>
      <c r="C196" s="19"/>
      <c r="D196" s="19"/>
      <c r="E196" s="19"/>
      <c r="F196" s="19"/>
      <c r="G196" s="113"/>
      <c r="H196" s="113"/>
      <c r="I196" s="113"/>
      <c r="J196" s="113"/>
      <c r="K196" s="113"/>
      <c r="L196" s="113"/>
      <c r="M196" s="113"/>
      <c r="N196" s="113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72"/>
      <c r="C197" s="19"/>
      <c r="D197" s="19"/>
      <c r="E197" s="19"/>
      <c r="F197" s="19"/>
      <c r="G197" s="113"/>
      <c r="H197" s="113"/>
      <c r="I197" s="113"/>
      <c r="J197" s="113"/>
      <c r="K197" s="113"/>
      <c r="L197" s="113"/>
      <c r="M197" s="113"/>
      <c r="N197" s="113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72"/>
      <c r="C198" s="19"/>
      <c r="D198" s="19"/>
      <c r="E198" s="19"/>
      <c r="F198" s="19"/>
      <c r="G198" s="113"/>
      <c r="H198" s="113"/>
      <c r="I198" s="113"/>
      <c r="J198" s="113"/>
      <c r="K198" s="113"/>
      <c r="L198" s="113"/>
      <c r="M198" s="113"/>
      <c r="N198" s="113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72"/>
      <c r="C199" s="19"/>
      <c r="D199" s="19"/>
      <c r="E199" s="19"/>
      <c r="F199" s="19"/>
      <c r="G199" s="113"/>
      <c r="H199" s="113"/>
      <c r="I199" s="113"/>
      <c r="J199" s="113"/>
      <c r="K199" s="113"/>
      <c r="L199" s="113"/>
      <c r="M199" s="113"/>
      <c r="N199" s="113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72"/>
      <c r="C200" s="19"/>
      <c r="D200" s="19"/>
      <c r="E200" s="19"/>
      <c r="F200" s="19"/>
      <c r="G200" s="113"/>
      <c r="H200" s="113"/>
      <c r="I200" s="113"/>
      <c r="J200" s="113"/>
      <c r="K200" s="113"/>
      <c r="L200" s="113"/>
      <c r="M200" s="113"/>
      <c r="N200" s="113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72"/>
      <c r="C201" s="19"/>
      <c r="D201" s="19"/>
      <c r="E201" s="19"/>
      <c r="F201" s="19"/>
      <c r="G201" s="113"/>
      <c r="H201" s="113"/>
      <c r="I201" s="113"/>
      <c r="J201" s="113"/>
      <c r="K201" s="113"/>
      <c r="L201" s="113"/>
      <c r="M201" s="113"/>
      <c r="N201" s="113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72"/>
      <c r="C202" s="19"/>
      <c r="D202" s="19"/>
      <c r="E202" s="19"/>
      <c r="F202" s="19"/>
      <c r="G202" s="113"/>
      <c r="H202" s="113"/>
      <c r="I202" s="113"/>
      <c r="J202" s="113"/>
      <c r="K202" s="113"/>
      <c r="L202" s="113"/>
      <c r="M202" s="113"/>
      <c r="N202" s="113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72"/>
      <c r="C203" s="19"/>
      <c r="D203" s="19"/>
      <c r="E203" s="19"/>
      <c r="F203" s="19"/>
      <c r="G203" s="113"/>
      <c r="H203" s="113"/>
      <c r="I203" s="113"/>
      <c r="J203" s="113"/>
      <c r="K203" s="113"/>
      <c r="L203" s="113"/>
      <c r="M203" s="113"/>
      <c r="N203" s="113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72"/>
      <c r="C204" s="19"/>
      <c r="D204" s="19"/>
      <c r="E204" s="19"/>
      <c r="F204" s="19"/>
      <c r="G204" s="113"/>
      <c r="H204" s="113"/>
      <c r="I204" s="113"/>
      <c r="J204" s="113"/>
      <c r="K204" s="113"/>
      <c r="L204" s="113"/>
      <c r="M204" s="113"/>
      <c r="N204" s="113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72"/>
      <c r="C205" s="19"/>
      <c r="D205" s="19"/>
      <c r="E205" s="19"/>
      <c r="F205" s="19"/>
      <c r="G205" s="113"/>
      <c r="H205" s="113"/>
      <c r="I205" s="113"/>
      <c r="J205" s="113"/>
      <c r="K205" s="113"/>
      <c r="L205" s="113"/>
      <c r="M205" s="113"/>
      <c r="N205" s="113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72"/>
      <c r="C206" s="19"/>
      <c r="D206" s="19"/>
      <c r="E206" s="19"/>
      <c r="F206" s="19"/>
      <c r="G206" s="113"/>
      <c r="H206" s="113"/>
      <c r="I206" s="113"/>
      <c r="J206" s="113"/>
      <c r="K206" s="113"/>
      <c r="L206" s="113"/>
      <c r="M206" s="113"/>
      <c r="N206" s="113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72"/>
      <c r="C207" s="19"/>
      <c r="D207" s="19"/>
      <c r="E207" s="19"/>
      <c r="F207" s="19"/>
      <c r="G207" s="113"/>
      <c r="H207" s="113"/>
      <c r="I207" s="113"/>
      <c r="J207" s="113"/>
      <c r="K207" s="113"/>
      <c r="L207" s="113"/>
      <c r="M207" s="113"/>
      <c r="N207" s="113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72"/>
      <c r="C208" s="19"/>
      <c r="D208" s="19"/>
      <c r="E208" s="19"/>
      <c r="F208" s="19"/>
      <c r="G208" s="113"/>
      <c r="H208" s="113"/>
      <c r="I208" s="113"/>
      <c r="J208" s="113"/>
      <c r="K208" s="113"/>
      <c r="L208" s="113"/>
      <c r="M208" s="113"/>
      <c r="N208" s="113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72"/>
      <c r="C209" s="19"/>
      <c r="D209" s="19"/>
      <c r="E209" s="19"/>
      <c r="F209" s="19"/>
      <c r="G209" s="113"/>
      <c r="H209" s="113"/>
      <c r="I209" s="113"/>
      <c r="J209" s="113"/>
      <c r="K209" s="113"/>
      <c r="L209" s="113"/>
      <c r="M209" s="113"/>
      <c r="N209" s="113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72"/>
      <c r="C210" s="19"/>
      <c r="D210" s="19"/>
      <c r="E210" s="19"/>
      <c r="F210" s="19"/>
      <c r="G210" s="113"/>
      <c r="H210" s="113"/>
      <c r="I210" s="113"/>
      <c r="J210" s="113"/>
      <c r="K210" s="113"/>
      <c r="L210" s="113"/>
      <c r="M210" s="113"/>
      <c r="N210" s="113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72"/>
      <c r="C211" s="19"/>
      <c r="D211" s="19"/>
      <c r="E211" s="19"/>
      <c r="F211" s="19"/>
      <c r="G211" s="113"/>
      <c r="H211" s="113"/>
      <c r="I211" s="113"/>
      <c r="J211" s="113"/>
      <c r="K211" s="113"/>
      <c r="L211" s="113"/>
      <c r="M211" s="113"/>
      <c r="N211" s="113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72"/>
      <c r="C212" s="19"/>
      <c r="D212" s="19"/>
      <c r="E212" s="19"/>
      <c r="F212" s="19"/>
      <c r="G212" s="113"/>
      <c r="H212" s="113"/>
      <c r="I212" s="113"/>
      <c r="J212" s="113"/>
      <c r="K212" s="113"/>
      <c r="L212" s="113"/>
      <c r="M212" s="113"/>
      <c r="N212" s="113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72"/>
      <c r="C213" s="19"/>
      <c r="D213" s="19"/>
      <c r="E213" s="19"/>
      <c r="F213" s="19"/>
      <c r="G213" s="113"/>
      <c r="H213" s="113"/>
      <c r="I213" s="113"/>
      <c r="J213" s="113"/>
      <c r="K213" s="113"/>
      <c r="L213" s="113"/>
      <c r="M213" s="113"/>
      <c r="N213" s="113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72"/>
      <c r="C214" s="19"/>
      <c r="D214" s="19"/>
      <c r="E214" s="19"/>
      <c r="F214" s="19"/>
      <c r="G214" s="113"/>
      <c r="H214" s="113"/>
      <c r="I214" s="113"/>
      <c r="J214" s="113"/>
      <c r="K214" s="113"/>
      <c r="L214" s="113"/>
      <c r="M214" s="113"/>
      <c r="N214" s="113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72"/>
      <c r="C215" s="19"/>
      <c r="D215" s="19"/>
      <c r="E215" s="19"/>
      <c r="F215" s="19"/>
      <c r="G215" s="113"/>
      <c r="H215" s="113"/>
      <c r="I215" s="113"/>
      <c r="J215" s="113"/>
      <c r="K215" s="113"/>
      <c r="L215" s="113"/>
      <c r="M215" s="113"/>
      <c r="N215" s="113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72"/>
      <c r="C216" s="19"/>
      <c r="D216" s="19"/>
      <c r="E216" s="19"/>
      <c r="F216" s="19"/>
      <c r="G216" s="113"/>
      <c r="H216" s="113"/>
      <c r="I216" s="113"/>
      <c r="J216" s="113"/>
      <c r="K216" s="113"/>
      <c r="L216" s="113"/>
      <c r="M216" s="113"/>
      <c r="N216" s="113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72"/>
      <c r="C217" s="19"/>
      <c r="D217" s="19"/>
      <c r="E217" s="19"/>
      <c r="F217" s="19"/>
      <c r="G217" s="113"/>
      <c r="H217" s="113"/>
      <c r="I217" s="113"/>
      <c r="J217" s="113"/>
      <c r="K217" s="113"/>
      <c r="L217" s="113"/>
      <c r="M217" s="113"/>
      <c r="N217" s="113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72"/>
      <c r="C218" s="19"/>
      <c r="D218" s="19"/>
      <c r="E218" s="19"/>
      <c r="F218" s="19"/>
      <c r="G218" s="113"/>
      <c r="H218" s="113"/>
      <c r="I218" s="113"/>
      <c r="J218" s="113"/>
      <c r="K218" s="113"/>
      <c r="L218" s="113"/>
      <c r="M218" s="113"/>
      <c r="N218" s="113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72"/>
      <c r="C219" s="19"/>
      <c r="D219" s="19"/>
      <c r="E219" s="19"/>
      <c r="F219" s="19"/>
      <c r="G219" s="113"/>
      <c r="H219" s="113"/>
      <c r="I219" s="113"/>
      <c r="J219" s="113"/>
      <c r="K219" s="113"/>
      <c r="L219" s="113"/>
      <c r="M219" s="113"/>
      <c r="N219" s="113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72"/>
      <c r="C220" s="19"/>
      <c r="D220" s="19"/>
      <c r="E220" s="19"/>
      <c r="F220" s="19"/>
      <c r="G220" s="113"/>
      <c r="H220" s="113"/>
      <c r="I220" s="113"/>
      <c r="J220" s="113"/>
      <c r="K220" s="113"/>
      <c r="L220" s="113"/>
      <c r="M220" s="113"/>
      <c r="N220" s="113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72"/>
      <c r="C221" s="19"/>
      <c r="D221" s="19"/>
      <c r="E221" s="19"/>
      <c r="F221" s="19"/>
      <c r="G221" s="113"/>
      <c r="H221" s="113"/>
      <c r="I221" s="113"/>
      <c r="J221" s="113"/>
      <c r="K221" s="113"/>
      <c r="L221" s="113"/>
      <c r="M221" s="113"/>
      <c r="N221" s="113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72"/>
      <c r="C222" s="19"/>
      <c r="D222" s="19"/>
      <c r="E222" s="19"/>
      <c r="F222" s="19"/>
      <c r="G222" s="113"/>
      <c r="H222" s="113"/>
      <c r="I222" s="113"/>
      <c r="J222" s="113"/>
      <c r="K222" s="113"/>
      <c r="L222" s="113"/>
      <c r="M222" s="113"/>
      <c r="N222" s="113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72"/>
      <c r="C223" s="19"/>
      <c r="D223" s="19"/>
      <c r="E223" s="19"/>
      <c r="F223" s="19"/>
      <c r="G223" s="113"/>
      <c r="H223" s="113"/>
      <c r="I223" s="113"/>
      <c r="J223" s="113"/>
      <c r="K223" s="113"/>
      <c r="L223" s="113"/>
      <c r="M223" s="113"/>
      <c r="N223" s="113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72"/>
      <c r="C224" s="19"/>
      <c r="D224" s="19"/>
      <c r="E224" s="19"/>
      <c r="F224" s="19"/>
      <c r="G224" s="113"/>
      <c r="H224" s="113"/>
      <c r="I224" s="113"/>
      <c r="J224" s="113"/>
      <c r="K224" s="113"/>
      <c r="L224" s="113"/>
      <c r="M224" s="113"/>
      <c r="N224" s="113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72"/>
      <c r="C225" s="19"/>
      <c r="D225" s="19"/>
      <c r="E225" s="19"/>
      <c r="F225" s="19"/>
      <c r="G225" s="113"/>
      <c r="H225" s="113"/>
      <c r="I225" s="113"/>
      <c r="J225" s="113"/>
      <c r="K225" s="113"/>
      <c r="L225" s="113"/>
      <c r="M225" s="113"/>
      <c r="N225" s="113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72"/>
      <c r="C226" s="19"/>
      <c r="D226" s="19"/>
      <c r="E226" s="19"/>
      <c r="F226" s="19"/>
      <c r="G226" s="113"/>
      <c r="H226" s="113"/>
      <c r="I226" s="113"/>
      <c r="J226" s="113"/>
      <c r="K226" s="113"/>
      <c r="L226" s="113"/>
      <c r="M226" s="113"/>
      <c r="N226" s="113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72"/>
      <c r="C227" s="19"/>
      <c r="D227" s="19"/>
      <c r="E227" s="19"/>
      <c r="F227" s="19"/>
      <c r="G227" s="113"/>
      <c r="H227" s="113"/>
      <c r="I227" s="113"/>
      <c r="J227" s="113"/>
      <c r="K227" s="113"/>
      <c r="L227" s="113"/>
      <c r="M227" s="113"/>
      <c r="N227" s="113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72"/>
      <c r="C228" s="19"/>
      <c r="D228" s="19"/>
      <c r="E228" s="19"/>
      <c r="F228" s="19"/>
      <c r="G228" s="113"/>
      <c r="H228" s="113"/>
      <c r="I228" s="113"/>
      <c r="J228" s="113"/>
      <c r="K228" s="113"/>
      <c r="L228" s="113"/>
      <c r="M228" s="113"/>
      <c r="N228" s="113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72"/>
      <c r="C229" s="19"/>
      <c r="D229" s="19"/>
      <c r="E229" s="19"/>
      <c r="F229" s="19"/>
      <c r="G229" s="113"/>
      <c r="H229" s="113"/>
      <c r="I229" s="113"/>
      <c r="J229" s="113"/>
      <c r="K229" s="113"/>
      <c r="L229" s="113"/>
      <c r="M229" s="113"/>
      <c r="N229" s="113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72"/>
      <c r="C230" s="19"/>
      <c r="D230" s="19"/>
      <c r="E230" s="19"/>
      <c r="F230" s="19"/>
      <c r="G230" s="113"/>
      <c r="H230" s="113"/>
      <c r="I230" s="113"/>
      <c r="J230" s="113"/>
      <c r="K230" s="113"/>
      <c r="L230" s="113"/>
      <c r="M230" s="113"/>
      <c r="N230" s="113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72"/>
      <c r="C231" s="19"/>
      <c r="D231" s="19"/>
      <c r="E231" s="19"/>
      <c r="F231" s="19"/>
      <c r="G231" s="113"/>
      <c r="H231" s="113"/>
      <c r="I231" s="113"/>
      <c r="J231" s="113"/>
      <c r="K231" s="113"/>
      <c r="L231" s="113"/>
      <c r="M231" s="113"/>
      <c r="N231" s="113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72"/>
      <c r="C232" s="19"/>
      <c r="D232" s="19"/>
      <c r="E232" s="19"/>
      <c r="F232" s="19"/>
      <c r="G232" s="113"/>
      <c r="H232" s="113"/>
      <c r="I232" s="113"/>
      <c r="J232" s="113"/>
      <c r="K232" s="113"/>
      <c r="L232" s="113"/>
      <c r="M232" s="113"/>
      <c r="N232" s="113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72"/>
      <c r="C233" s="19"/>
      <c r="D233" s="19"/>
      <c r="E233" s="19"/>
      <c r="F233" s="19"/>
      <c r="G233" s="113"/>
      <c r="H233" s="113"/>
      <c r="I233" s="113"/>
      <c r="J233" s="113"/>
      <c r="K233" s="113"/>
      <c r="L233" s="113"/>
      <c r="M233" s="113"/>
      <c r="N233" s="113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72"/>
      <c r="C234" s="19"/>
      <c r="D234" s="19"/>
      <c r="E234" s="19"/>
      <c r="F234" s="19"/>
      <c r="G234" s="113"/>
      <c r="H234" s="113"/>
      <c r="I234" s="113"/>
      <c r="J234" s="113"/>
      <c r="K234" s="113"/>
      <c r="L234" s="113"/>
      <c r="M234" s="113"/>
      <c r="N234" s="113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72"/>
      <c r="C235" s="19"/>
      <c r="D235" s="19"/>
      <c r="E235" s="19"/>
      <c r="F235" s="19"/>
      <c r="G235" s="113"/>
      <c r="H235" s="113"/>
      <c r="I235" s="113"/>
      <c r="J235" s="113"/>
      <c r="K235" s="113"/>
      <c r="L235" s="113"/>
      <c r="M235" s="113"/>
      <c r="N235" s="113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72"/>
      <c r="C236" s="19"/>
      <c r="D236" s="19"/>
      <c r="E236" s="19"/>
      <c r="F236" s="19"/>
      <c r="G236" s="113"/>
      <c r="H236" s="113"/>
      <c r="I236" s="113"/>
      <c r="J236" s="113"/>
      <c r="K236" s="113"/>
      <c r="L236" s="113"/>
      <c r="M236" s="113"/>
      <c r="N236" s="113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72"/>
      <c r="C237" s="19"/>
      <c r="D237" s="19"/>
      <c r="E237" s="19"/>
      <c r="F237" s="19"/>
      <c r="G237" s="113"/>
      <c r="H237" s="113"/>
      <c r="I237" s="113"/>
      <c r="J237" s="113"/>
      <c r="K237" s="113"/>
      <c r="L237" s="113"/>
      <c r="M237" s="113"/>
      <c r="N237" s="113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72"/>
      <c r="C238" s="19"/>
      <c r="D238" s="19"/>
      <c r="E238" s="19"/>
      <c r="F238" s="19"/>
      <c r="G238" s="113"/>
      <c r="H238" s="113"/>
      <c r="I238" s="113"/>
      <c r="J238" s="113"/>
      <c r="K238" s="113"/>
      <c r="L238" s="113"/>
      <c r="M238" s="113"/>
      <c r="N238" s="113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72"/>
      <c r="C239" s="19"/>
      <c r="D239" s="19"/>
      <c r="E239" s="19"/>
      <c r="F239" s="19"/>
      <c r="G239" s="113"/>
      <c r="H239" s="113"/>
      <c r="I239" s="113"/>
      <c r="J239" s="113"/>
      <c r="K239" s="113"/>
      <c r="L239" s="113"/>
      <c r="M239" s="113"/>
      <c r="N239" s="113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72"/>
      <c r="C240" s="19"/>
      <c r="D240" s="19"/>
      <c r="E240" s="19"/>
      <c r="F240" s="19"/>
      <c r="G240" s="113"/>
      <c r="H240" s="113"/>
      <c r="I240" s="113"/>
      <c r="J240" s="113"/>
      <c r="K240" s="113"/>
      <c r="L240" s="113"/>
      <c r="M240" s="113"/>
      <c r="N240" s="113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72"/>
      <c r="C241" s="19"/>
      <c r="D241" s="19"/>
      <c r="E241" s="19"/>
      <c r="F241" s="19"/>
      <c r="G241" s="113"/>
      <c r="H241" s="113"/>
      <c r="I241" s="113"/>
      <c r="J241" s="113"/>
      <c r="K241" s="113"/>
      <c r="L241" s="113"/>
      <c r="M241" s="113"/>
      <c r="N241" s="113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72"/>
      <c r="C242" s="19"/>
      <c r="D242" s="19"/>
      <c r="E242" s="19"/>
      <c r="F242" s="19"/>
      <c r="G242" s="113"/>
      <c r="H242" s="113"/>
      <c r="I242" s="113"/>
      <c r="J242" s="113"/>
      <c r="K242" s="113"/>
      <c r="L242" s="113"/>
      <c r="M242" s="113"/>
      <c r="N242" s="113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72"/>
      <c r="C243" s="19"/>
      <c r="D243" s="19"/>
      <c r="E243" s="19"/>
      <c r="F243" s="19"/>
      <c r="G243" s="113"/>
      <c r="H243" s="113"/>
      <c r="I243" s="113"/>
      <c r="J243" s="113"/>
      <c r="K243" s="113"/>
      <c r="L243" s="113"/>
      <c r="M243" s="113"/>
      <c r="N243" s="113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72"/>
      <c r="C244" s="19"/>
      <c r="D244" s="19"/>
      <c r="E244" s="19"/>
      <c r="F244" s="19"/>
      <c r="G244" s="113"/>
      <c r="H244" s="113"/>
      <c r="I244" s="113"/>
      <c r="J244" s="113"/>
      <c r="K244" s="113"/>
      <c r="L244" s="113"/>
      <c r="M244" s="113"/>
      <c r="N244" s="113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72"/>
      <c r="C245" s="19"/>
      <c r="D245" s="19"/>
      <c r="E245" s="19"/>
      <c r="F245" s="19"/>
      <c r="G245" s="113"/>
      <c r="H245" s="113"/>
      <c r="I245" s="113"/>
      <c r="J245" s="113"/>
      <c r="K245" s="113"/>
      <c r="L245" s="113"/>
      <c r="M245" s="113"/>
      <c r="N245" s="113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72"/>
      <c r="C246" s="19"/>
      <c r="D246" s="19"/>
      <c r="E246" s="19"/>
      <c r="F246" s="19"/>
      <c r="G246" s="113"/>
      <c r="H246" s="113"/>
      <c r="I246" s="113"/>
      <c r="J246" s="113"/>
      <c r="K246" s="113"/>
      <c r="L246" s="113"/>
      <c r="M246" s="113"/>
      <c r="N246" s="113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72"/>
      <c r="C247" s="19"/>
      <c r="D247" s="19"/>
      <c r="E247" s="19"/>
      <c r="F247" s="19"/>
      <c r="G247" s="113"/>
      <c r="H247" s="113"/>
      <c r="I247" s="113"/>
      <c r="J247" s="113"/>
      <c r="K247" s="113"/>
      <c r="L247" s="113"/>
      <c r="M247" s="113"/>
      <c r="N247" s="113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72"/>
      <c r="C248" s="19"/>
      <c r="D248" s="19"/>
      <c r="E248" s="19"/>
      <c r="F248" s="19"/>
      <c r="G248" s="113"/>
      <c r="H248" s="113"/>
      <c r="I248" s="113"/>
      <c r="J248" s="113"/>
      <c r="K248" s="113"/>
      <c r="L248" s="113"/>
      <c r="M248" s="113"/>
      <c r="N248" s="113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72"/>
      <c r="C249" s="19"/>
      <c r="D249" s="19"/>
      <c r="E249" s="19"/>
      <c r="F249" s="19"/>
      <c r="G249" s="113"/>
      <c r="H249" s="113"/>
      <c r="I249" s="113"/>
      <c r="J249" s="113"/>
      <c r="K249" s="113"/>
      <c r="L249" s="113"/>
      <c r="M249" s="113"/>
      <c r="N249" s="113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72"/>
      <c r="C250" s="19"/>
      <c r="D250" s="19"/>
      <c r="E250" s="19"/>
      <c r="F250" s="19"/>
      <c r="G250" s="113"/>
      <c r="H250" s="113"/>
      <c r="I250" s="113"/>
      <c r="J250" s="113"/>
      <c r="K250" s="113"/>
      <c r="L250" s="113"/>
      <c r="M250" s="113"/>
      <c r="N250" s="113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72"/>
      <c r="C251" s="19"/>
      <c r="D251" s="19"/>
      <c r="E251" s="19"/>
      <c r="F251" s="19"/>
      <c r="G251" s="113"/>
      <c r="H251" s="113"/>
      <c r="I251" s="113"/>
      <c r="J251" s="113"/>
      <c r="K251" s="113"/>
      <c r="L251" s="113"/>
      <c r="M251" s="113"/>
      <c r="N251" s="113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72"/>
      <c r="C252" s="19"/>
      <c r="D252" s="19"/>
      <c r="E252" s="19"/>
      <c r="F252" s="19"/>
      <c r="G252" s="113"/>
      <c r="H252" s="113"/>
      <c r="I252" s="113"/>
      <c r="J252" s="113"/>
      <c r="K252" s="113"/>
      <c r="L252" s="113"/>
      <c r="M252" s="113"/>
      <c r="N252" s="113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72"/>
      <c r="C253" s="19"/>
      <c r="D253" s="19"/>
      <c r="E253" s="19"/>
      <c r="F253" s="19"/>
      <c r="G253" s="113"/>
      <c r="H253" s="113"/>
      <c r="I253" s="113"/>
      <c r="J253" s="113"/>
      <c r="K253" s="113"/>
      <c r="L253" s="113"/>
      <c r="M253" s="113"/>
      <c r="N253" s="113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72"/>
      <c r="C254" s="19"/>
      <c r="D254" s="19"/>
      <c r="E254" s="19"/>
      <c r="F254" s="19"/>
      <c r="G254" s="113"/>
      <c r="H254" s="113"/>
      <c r="I254" s="113"/>
      <c r="J254" s="113"/>
      <c r="K254" s="113"/>
      <c r="L254" s="113"/>
      <c r="M254" s="113"/>
      <c r="N254" s="113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72"/>
      <c r="C255" s="19"/>
      <c r="D255" s="19"/>
      <c r="E255" s="19"/>
      <c r="F255" s="19"/>
      <c r="G255" s="113"/>
      <c r="H255" s="113"/>
      <c r="I255" s="113"/>
      <c r="J255" s="113"/>
      <c r="K255" s="113"/>
      <c r="L255" s="113"/>
      <c r="M255" s="113"/>
      <c r="N255" s="113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72"/>
      <c r="C256" s="19"/>
      <c r="D256" s="19"/>
      <c r="E256" s="19"/>
      <c r="F256" s="19"/>
      <c r="G256" s="113"/>
      <c r="H256" s="113"/>
      <c r="I256" s="113"/>
      <c r="J256" s="113"/>
      <c r="K256" s="113"/>
      <c r="L256" s="113"/>
      <c r="M256" s="113"/>
      <c r="N256" s="113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72"/>
      <c r="C257" s="19"/>
      <c r="D257" s="19"/>
      <c r="E257" s="19"/>
      <c r="F257" s="19"/>
      <c r="G257" s="113"/>
      <c r="H257" s="113"/>
      <c r="I257" s="113"/>
      <c r="J257" s="113"/>
      <c r="K257" s="113"/>
      <c r="L257" s="113"/>
      <c r="M257" s="113"/>
      <c r="N257" s="113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72"/>
      <c r="C258" s="19"/>
      <c r="D258" s="19"/>
      <c r="E258" s="19"/>
      <c r="F258" s="19"/>
      <c r="G258" s="113"/>
      <c r="H258" s="113"/>
      <c r="I258" s="113"/>
      <c r="J258" s="113"/>
      <c r="K258" s="113"/>
      <c r="L258" s="113"/>
      <c r="M258" s="113"/>
      <c r="N258" s="113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72"/>
      <c r="C259" s="19"/>
      <c r="D259" s="19"/>
      <c r="E259" s="19"/>
      <c r="F259" s="19"/>
      <c r="G259" s="113"/>
      <c r="H259" s="113"/>
      <c r="I259" s="113"/>
      <c r="J259" s="113"/>
      <c r="K259" s="113"/>
      <c r="L259" s="113"/>
      <c r="M259" s="113"/>
      <c r="N259" s="113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72"/>
      <c r="C260" s="19"/>
      <c r="D260" s="19"/>
      <c r="E260" s="19"/>
      <c r="F260" s="19"/>
      <c r="G260" s="113"/>
      <c r="H260" s="113"/>
      <c r="I260" s="113"/>
      <c r="J260" s="113"/>
      <c r="K260" s="113"/>
      <c r="L260" s="113"/>
      <c r="M260" s="113"/>
      <c r="N260" s="113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72"/>
      <c r="C261" s="19"/>
      <c r="D261" s="19"/>
      <c r="E261" s="19"/>
      <c r="F261" s="19"/>
      <c r="G261" s="113"/>
      <c r="H261" s="113"/>
      <c r="I261" s="113"/>
      <c r="J261" s="113"/>
      <c r="K261" s="113"/>
      <c r="L261" s="113"/>
      <c r="M261" s="113"/>
      <c r="N261" s="113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72"/>
      <c r="C262" s="19"/>
      <c r="D262" s="19"/>
      <c r="E262" s="19"/>
      <c r="F262" s="19"/>
      <c r="G262" s="113"/>
      <c r="H262" s="113"/>
      <c r="I262" s="113"/>
      <c r="J262" s="113"/>
      <c r="K262" s="113"/>
      <c r="L262" s="113"/>
      <c r="M262" s="113"/>
      <c r="N262" s="113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72"/>
      <c r="C263" s="19"/>
      <c r="D263" s="19"/>
      <c r="E263" s="19"/>
      <c r="F263" s="19"/>
      <c r="G263" s="113"/>
      <c r="H263" s="113"/>
      <c r="I263" s="113"/>
      <c r="J263" s="113"/>
      <c r="K263" s="113"/>
      <c r="L263" s="113"/>
      <c r="M263" s="113"/>
      <c r="N263" s="113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72"/>
      <c r="C264" s="19"/>
      <c r="D264" s="19"/>
      <c r="E264" s="19"/>
      <c r="F264" s="19"/>
      <c r="G264" s="113"/>
      <c r="H264" s="113"/>
      <c r="I264" s="113"/>
      <c r="J264" s="113"/>
      <c r="K264" s="113"/>
      <c r="L264" s="113"/>
      <c r="M264" s="113"/>
      <c r="N264" s="113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72"/>
      <c r="C265" s="19"/>
      <c r="D265" s="19"/>
      <c r="E265" s="19"/>
      <c r="F265" s="19"/>
      <c r="G265" s="113"/>
      <c r="H265" s="113"/>
      <c r="I265" s="113"/>
      <c r="J265" s="113"/>
      <c r="K265" s="113"/>
      <c r="L265" s="113"/>
      <c r="M265" s="113"/>
      <c r="N265" s="113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72"/>
      <c r="C266" s="19"/>
      <c r="D266" s="19"/>
      <c r="E266" s="19"/>
      <c r="F266" s="19"/>
      <c r="G266" s="113"/>
      <c r="H266" s="113"/>
      <c r="I266" s="113"/>
      <c r="J266" s="113"/>
      <c r="K266" s="113"/>
      <c r="L266" s="113"/>
      <c r="M266" s="113"/>
      <c r="N266" s="113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72"/>
      <c r="C267" s="19"/>
      <c r="D267" s="19"/>
      <c r="E267" s="19"/>
      <c r="F267" s="19"/>
      <c r="G267" s="113"/>
      <c r="H267" s="113"/>
      <c r="I267" s="113"/>
      <c r="J267" s="113"/>
      <c r="K267" s="113"/>
      <c r="L267" s="113"/>
      <c r="M267" s="113"/>
      <c r="N267" s="113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72"/>
      <c r="C268" s="19"/>
      <c r="D268" s="19"/>
      <c r="E268" s="19"/>
      <c r="F268" s="19"/>
      <c r="G268" s="113"/>
      <c r="H268" s="113"/>
      <c r="I268" s="113"/>
      <c r="J268" s="113"/>
      <c r="K268" s="113"/>
      <c r="L268" s="113"/>
      <c r="M268" s="113"/>
      <c r="N268" s="113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72"/>
      <c r="C269" s="19"/>
      <c r="D269" s="19"/>
      <c r="E269" s="19"/>
      <c r="F269" s="19"/>
      <c r="G269" s="113"/>
      <c r="H269" s="113"/>
      <c r="I269" s="113"/>
      <c r="J269" s="113"/>
      <c r="K269" s="113"/>
      <c r="L269" s="113"/>
      <c r="M269" s="113"/>
      <c r="N269" s="113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72"/>
      <c r="C270" s="19"/>
      <c r="D270" s="19"/>
      <c r="E270" s="19"/>
      <c r="F270" s="19"/>
      <c r="G270" s="113"/>
      <c r="H270" s="113"/>
      <c r="I270" s="113"/>
      <c r="J270" s="113"/>
      <c r="K270" s="113"/>
      <c r="L270" s="113"/>
      <c r="M270" s="113"/>
      <c r="N270" s="113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72"/>
      <c r="C271" s="19"/>
      <c r="D271" s="19"/>
      <c r="E271" s="19"/>
      <c r="F271" s="19"/>
      <c r="G271" s="113"/>
      <c r="H271" s="113"/>
      <c r="I271" s="113"/>
      <c r="J271" s="113"/>
      <c r="K271" s="113"/>
      <c r="L271" s="113"/>
      <c r="M271" s="113"/>
      <c r="N271" s="113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72"/>
      <c r="C272" s="19"/>
      <c r="D272" s="19"/>
      <c r="E272" s="19"/>
      <c r="F272" s="19"/>
      <c r="G272" s="113"/>
      <c r="H272" s="113"/>
      <c r="I272" s="113"/>
      <c r="J272" s="113"/>
      <c r="K272" s="113"/>
      <c r="L272" s="113"/>
      <c r="M272" s="113"/>
      <c r="N272" s="113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72"/>
      <c r="C273" s="19"/>
      <c r="D273" s="19"/>
      <c r="E273" s="19"/>
      <c r="F273" s="19"/>
      <c r="G273" s="113"/>
      <c r="H273" s="113"/>
      <c r="I273" s="113"/>
      <c r="J273" s="113"/>
      <c r="K273" s="113"/>
      <c r="L273" s="113"/>
      <c r="M273" s="113"/>
      <c r="N273" s="113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72"/>
      <c r="C274" s="19"/>
      <c r="D274" s="19"/>
      <c r="E274" s="19"/>
      <c r="F274" s="19"/>
      <c r="G274" s="113"/>
      <c r="H274" s="113"/>
      <c r="I274" s="113"/>
      <c r="J274" s="113"/>
      <c r="K274" s="113"/>
      <c r="L274" s="113"/>
      <c r="M274" s="113"/>
      <c r="N274" s="113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72"/>
      <c r="C275" s="19"/>
      <c r="D275" s="19"/>
      <c r="E275" s="19"/>
      <c r="F275" s="19"/>
      <c r="G275" s="113"/>
      <c r="H275" s="113"/>
      <c r="I275" s="113"/>
      <c r="J275" s="113"/>
      <c r="K275" s="113"/>
      <c r="L275" s="113"/>
      <c r="M275" s="113"/>
      <c r="N275" s="113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72"/>
      <c r="C276" s="19"/>
      <c r="D276" s="19"/>
      <c r="E276" s="19"/>
      <c r="F276" s="19"/>
      <c r="G276" s="113"/>
      <c r="H276" s="113"/>
      <c r="I276" s="113"/>
      <c r="J276" s="113"/>
      <c r="K276" s="113"/>
      <c r="L276" s="113"/>
      <c r="M276" s="113"/>
      <c r="N276" s="113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72"/>
      <c r="C277" s="19"/>
      <c r="D277" s="19"/>
      <c r="E277" s="19"/>
      <c r="F277" s="19"/>
      <c r="G277" s="113"/>
      <c r="H277" s="113"/>
      <c r="I277" s="113"/>
      <c r="J277" s="113"/>
      <c r="K277" s="113"/>
      <c r="L277" s="113"/>
      <c r="M277" s="113"/>
      <c r="N277" s="113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72"/>
      <c r="C278" s="19"/>
      <c r="D278" s="19"/>
      <c r="E278" s="19"/>
      <c r="F278" s="19"/>
      <c r="G278" s="113"/>
      <c r="H278" s="113"/>
      <c r="I278" s="113"/>
      <c r="J278" s="113"/>
      <c r="K278" s="113"/>
      <c r="L278" s="113"/>
      <c r="M278" s="113"/>
      <c r="N278" s="113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72"/>
      <c r="C279" s="19"/>
      <c r="D279" s="19"/>
      <c r="E279" s="19"/>
      <c r="F279" s="19"/>
      <c r="G279" s="113"/>
      <c r="H279" s="113"/>
      <c r="I279" s="113"/>
      <c r="J279" s="113"/>
      <c r="K279" s="113"/>
      <c r="L279" s="113"/>
      <c r="M279" s="113"/>
      <c r="N279" s="113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72"/>
      <c r="C280" s="19"/>
      <c r="D280" s="19"/>
      <c r="E280" s="19"/>
      <c r="F280" s="19"/>
      <c r="G280" s="113"/>
      <c r="H280" s="113"/>
      <c r="I280" s="113"/>
      <c r="J280" s="113"/>
      <c r="K280" s="113"/>
      <c r="L280" s="113"/>
      <c r="M280" s="113"/>
      <c r="N280" s="113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72"/>
      <c r="C281" s="19"/>
      <c r="D281" s="19"/>
      <c r="E281" s="19"/>
      <c r="F281" s="19"/>
      <c r="G281" s="113"/>
      <c r="H281" s="113"/>
      <c r="I281" s="113"/>
      <c r="J281" s="113"/>
      <c r="K281" s="113"/>
      <c r="L281" s="113"/>
      <c r="M281" s="113"/>
      <c r="N281" s="113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72"/>
      <c r="C282" s="19"/>
      <c r="D282" s="19"/>
      <c r="E282" s="19"/>
      <c r="F282" s="19"/>
      <c r="G282" s="113"/>
      <c r="H282" s="113"/>
      <c r="I282" s="113"/>
      <c r="J282" s="113"/>
      <c r="K282" s="113"/>
      <c r="L282" s="113"/>
      <c r="M282" s="113"/>
      <c r="N282" s="113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72"/>
      <c r="C283" s="19"/>
      <c r="D283" s="19"/>
      <c r="E283" s="19"/>
      <c r="F283" s="19"/>
      <c r="G283" s="113"/>
      <c r="H283" s="113"/>
      <c r="I283" s="113"/>
      <c r="J283" s="113"/>
      <c r="K283" s="113"/>
      <c r="L283" s="113"/>
      <c r="M283" s="113"/>
      <c r="N283" s="113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72"/>
      <c r="C284" s="19"/>
      <c r="D284" s="19"/>
      <c r="E284" s="19"/>
      <c r="F284" s="19"/>
      <c r="G284" s="113"/>
      <c r="H284" s="113"/>
      <c r="I284" s="113"/>
      <c r="J284" s="113"/>
      <c r="K284" s="113"/>
      <c r="L284" s="113"/>
      <c r="M284" s="113"/>
      <c r="N284" s="113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72"/>
      <c r="C285" s="19"/>
      <c r="D285" s="19"/>
      <c r="E285" s="19"/>
      <c r="F285" s="19"/>
      <c r="G285" s="113"/>
      <c r="H285" s="113"/>
      <c r="I285" s="113"/>
      <c r="J285" s="113"/>
      <c r="K285" s="113"/>
      <c r="L285" s="113"/>
      <c r="M285" s="113"/>
      <c r="N285" s="113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72"/>
      <c r="C286" s="19"/>
      <c r="D286" s="19"/>
      <c r="E286" s="19"/>
      <c r="F286" s="19"/>
      <c r="G286" s="113"/>
      <c r="H286" s="113"/>
      <c r="I286" s="113"/>
      <c r="J286" s="113"/>
      <c r="K286" s="113"/>
      <c r="L286" s="113"/>
      <c r="M286" s="113"/>
      <c r="N286" s="113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72"/>
      <c r="C287" s="19"/>
      <c r="D287" s="19"/>
      <c r="E287" s="19"/>
      <c r="F287" s="19"/>
      <c r="G287" s="113"/>
      <c r="H287" s="113"/>
      <c r="I287" s="113"/>
      <c r="J287" s="113"/>
      <c r="K287" s="113"/>
      <c r="L287" s="113"/>
      <c r="M287" s="113"/>
      <c r="N287" s="113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72"/>
      <c r="C288" s="19"/>
      <c r="D288" s="19"/>
      <c r="E288" s="19"/>
      <c r="F288" s="19"/>
      <c r="G288" s="113"/>
      <c r="H288" s="113"/>
      <c r="I288" s="113"/>
      <c r="J288" s="113"/>
      <c r="K288" s="113"/>
      <c r="L288" s="113"/>
      <c r="M288" s="113"/>
      <c r="N288" s="113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72"/>
      <c r="C289" s="19"/>
      <c r="D289" s="19"/>
      <c r="E289" s="19"/>
      <c r="F289" s="19"/>
      <c r="G289" s="113"/>
      <c r="H289" s="113"/>
      <c r="I289" s="113"/>
      <c r="J289" s="113"/>
      <c r="K289" s="113"/>
      <c r="L289" s="113"/>
      <c r="M289" s="113"/>
      <c r="N289" s="113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72"/>
      <c r="C290" s="19"/>
      <c r="D290" s="19"/>
      <c r="E290" s="19"/>
      <c r="F290" s="19"/>
      <c r="G290" s="113"/>
      <c r="H290" s="113"/>
      <c r="I290" s="113"/>
      <c r="J290" s="113"/>
      <c r="K290" s="113"/>
      <c r="L290" s="113"/>
      <c r="M290" s="113"/>
      <c r="N290" s="113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72"/>
      <c r="C291" s="19"/>
      <c r="D291" s="19"/>
      <c r="E291" s="19"/>
      <c r="F291" s="19"/>
      <c r="G291" s="113"/>
      <c r="H291" s="113"/>
      <c r="I291" s="113"/>
      <c r="J291" s="113"/>
      <c r="K291" s="113"/>
      <c r="L291" s="113"/>
      <c r="M291" s="113"/>
      <c r="N291" s="113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72"/>
      <c r="C292" s="19"/>
      <c r="D292" s="19"/>
      <c r="E292" s="19"/>
      <c r="F292" s="19"/>
      <c r="G292" s="113"/>
      <c r="H292" s="113"/>
      <c r="I292" s="113"/>
      <c r="J292" s="113"/>
      <c r="K292" s="113"/>
      <c r="L292" s="113"/>
      <c r="M292" s="113"/>
      <c r="N292" s="113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72"/>
      <c r="C293" s="19"/>
      <c r="D293" s="19"/>
      <c r="E293" s="19"/>
      <c r="F293" s="19"/>
      <c r="G293" s="113"/>
      <c r="H293" s="113"/>
      <c r="I293" s="113"/>
      <c r="J293" s="113"/>
      <c r="K293" s="113"/>
      <c r="L293" s="113"/>
      <c r="M293" s="113"/>
      <c r="N293" s="113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72"/>
      <c r="C294" s="19"/>
      <c r="D294" s="19"/>
      <c r="E294" s="19"/>
      <c r="F294" s="19"/>
      <c r="G294" s="113"/>
      <c r="H294" s="113"/>
      <c r="I294" s="113"/>
      <c r="J294" s="113"/>
      <c r="K294" s="113"/>
      <c r="L294" s="113"/>
      <c r="M294" s="113"/>
      <c r="N294" s="113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72"/>
      <c r="C295" s="19"/>
      <c r="D295" s="19"/>
      <c r="E295" s="19"/>
      <c r="F295" s="19"/>
      <c r="G295" s="113"/>
      <c r="H295" s="113"/>
      <c r="I295" s="113"/>
      <c r="J295" s="113"/>
      <c r="K295" s="113"/>
      <c r="L295" s="113"/>
      <c r="M295" s="113"/>
      <c r="N295" s="113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72"/>
      <c r="C296" s="19"/>
      <c r="D296" s="19"/>
      <c r="E296" s="19"/>
      <c r="F296" s="19"/>
      <c r="G296" s="113"/>
      <c r="H296" s="113"/>
      <c r="I296" s="113"/>
      <c r="J296" s="113"/>
      <c r="K296" s="113"/>
      <c r="L296" s="113"/>
      <c r="M296" s="113"/>
      <c r="N296" s="113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72"/>
      <c r="C297" s="19"/>
      <c r="D297" s="19"/>
      <c r="E297" s="19"/>
      <c r="F297" s="19"/>
      <c r="G297" s="113"/>
      <c r="H297" s="113"/>
      <c r="I297" s="113"/>
      <c r="J297" s="113"/>
      <c r="K297" s="113"/>
      <c r="L297" s="113"/>
      <c r="M297" s="113"/>
      <c r="N297" s="113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72"/>
      <c r="C298" s="19"/>
      <c r="D298" s="19"/>
      <c r="E298" s="19"/>
      <c r="F298" s="19"/>
      <c r="G298" s="113"/>
      <c r="H298" s="113"/>
      <c r="I298" s="113"/>
      <c r="J298" s="113"/>
      <c r="K298" s="113"/>
      <c r="L298" s="113"/>
      <c r="M298" s="113"/>
      <c r="N298" s="113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72"/>
      <c r="C299" s="19"/>
      <c r="D299" s="19"/>
      <c r="E299" s="19"/>
      <c r="F299" s="19"/>
      <c r="G299" s="113"/>
      <c r="H299" s="113"/>
      <c r="I299" s="113"/>
      <c r="J299" s="113"/>
      <c r="K299" s="113"/>
      <c r="L299" s="113"/>
      <c r="M299" s="113"/>
      <c r="N299" s="113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72"/>
      <c r="C300" s="19"/>
      <c r="D300" s="19"/>
      <c r="E300" s="19"/>
      <c r="F300" s="19"/>
      <c r="G300" s="113"/>
      <c r="H300" s="113"/>
      <c r="I300" s="113"/>
      <c r="J300" s="113"/>
      <c r="K300" s="113"/>
      <c r="L300" s="113"/>
      <c r="M300" s="113"/>
      <c r="N300" s="113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72"/>
      <c r="C301" s="19"/>
      <c r="D301" s="19"/>
      <c r="E301" s="19"/>
      <c r="F301" s="19"/>
      <c r="G301" s="113"/>
      <c r="H301" s="113"/>
      <c r="I301" s="113"/>
      <c r="J301" s="113"/>
      <c r="K301" s="113"/>
      <c r="L301" s="113"/>
      <c r="M301" s="113"/>
      <c r="N301" s="113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72"/>
      <c r="C302" s="19"/>
      <c r="D302" s="19"/>
      <c r="E302" s="19"/>
      <c r="F302" s="19"/>
      <c r="G302" s="113"/>
      <c r="H302" s="113"/>
      <c r="I302" s="113"/>
      <c r="J302" s="113"/>
      <c r="K302" s="113"/>
      <c r="L302" s="113"/>
      <c r="M302" s="113"/>
      <c r="N302" s="113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72"/>
      <c r="C303" s="19"/>
      <c r="D303" s="19"/>
      <c r="E303" s="19"/>
      <c r="F303" s="19"/>
      <c r="G303" s="113"/>
      <c r="H303" s="113"/>
      <c r="I303" s="113"/>
      <c r="J303" s="113"/>
      <c r="K303" s="113"/>
      <c r="L303" s="113"/>
      <c r="M303" s="113"/>
      <c r="N303" s="113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72"/>
      <c r="C304" s="19"/>
      <c r="D304" s="19"/>
      <c r="E304" s="19"/>
      <c r="F304" s="19"/>
      <c r="G304" s="113"/>
      <c r="H304" s="113"/>
      <c r="I304" s="113"/>
      <c r="J304" s="113"/>
      <c r="K304" s="113"/>
      <c r="L304" s="113"/>
      <c r="M304" s="113"/>
      <c r="N304" s="113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72"/>
      <c r="C305" s="19"/>
      <c r="D305" s="19"/>
      <c r="E305" s="19"/>
      <c r="F305" s="19"/>
      <c r="G305" s="113"/>
      <c r="H305" s="113"/>
      <c r="I305" s="113"/>
      <c r="J305" s="113"/>
      <c r="K305" s="113"/>
      <c r="L305" s="113"/>
      <c r="M305" s="113"/>
      <c r="N305" s="113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72"/>
      <c r="C306" s="19"/>
      <c r="D306" s="19"/>
      <c r="E306" s="19"/>
      <c r="F306" s="19"/>
      <c r="G306" s="113"/>
      <c r="H306" s="113"/>
      <c r="I306" s="113"/>
      <c r="J306" s="113"/>
      <c r="K306" s="113"/>
      <c r="L306" s="113"/>
      <c r="M306" s="113"/>
      <c r="N306" s="113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72"/>
      <c r="C307" s="19"/>
      <c r="D307" s="19"/>
      <c r="E307" s="19"/>
      <c r="F307" s="19"/>
      <c r="G307" s="113"/>
      <c r="H307" s="113"/>
      <c r="I307" s="113"/>
      <c r="J307" s="113"/>
      <c r="K307" s="113"/>
      <c r="L307" s="113"/>
      <c r="M307" s="113"/>
      <c r="N307" s="113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72"/>
      <c r="C308" s="19"/>
      <c r="D308" s="19"/>
      <c r="E308" s="19"/>
      <c r="F308" s="19"/>
      <c r="G308" s="113"/>
      <c r="H308" s="113"/>
      <c r="I308" s="113"/>
      <c r="J308" s="113"/>
      <c r="K308" s="113"/>
      <c r="L308" s="113"/>
      <c r="M308" s="113"/>
      <c r="N308" s="113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72"/>
      <c r="C309" s="19"/>
      <c r="D309" s="19"/>
      <c r="E309" s="19"/>
      <c r="F309" s="19"/>
      <c r="G309" s="113"/>
      <c r="H309" s="113"/>
      <c r="I309" s="113"/>
      <c r="J309" s="113"/>
      <c r="K309" s="113"/>
      <c r="L309" s="113"/>
      <c r="M309" s="113"/>
      <c r="N309" s="113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72"/>
      <c r="C310" s="19"/>
      <c r="D310" s="19"/>
      <c r="E310" s="19"/>
      <c r="F310" s="19"/>
      <c r="G310" s="113"/>
      <c r="H310" s="113"/>
      <c r="I310" s="113"/>
      <c r="J310" s="113"/>
      <c r="K310" s="113"/>
      <c r="L310" s="113"/>
      <c r="M310" s="113"/>
      <c r="N310" s="113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72"/>
      <c r="C311" s="19"/>
      <c r="D311" s="19"/>
      <c r="E311" s="19"/>
      <c r="F311" s="19"/>
      <c r="G311" s="113"/>
      <c r="H311" s="113"/>
      <c r="I311" s="113"/>
      <c r="J311" s="113"/>
      <c r="K311" s="113"/>
      <c r="L311" s="113"/>
      <c r="M311" s="113"/>
      <c r="N311" s="113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72"/>
      <c r="C312" s="19"/>
      <c r="D312" s="19"/>
      <c r="E312" s="19"/>
      <c r="F312" s="19"/>
      <c r="G312" s="113"/>
      <c r="H312" s="113"/>
      <c r="I312" s="113"/>
      <c r="J312" s="113"/>
      <c r="K312" s="113"/>
      <c r="L312" s="113"/>
      <c r="M312" s="113"/>
      <c r="N312" s="113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72"/>
      <c r="C313" s="19"/>
      <c r="D313" s="19"/>
      <c r="E313" s="19"/>
      <c r="F313" s="19"/>
      <c r="G313" s="113"/>
      <c r="H313" s="113"/>
      <c r="I313" s="113"/>
      <c r="J313" s="113"/>
      <c r="K313" s="113"/>
      <c r="L313" s="113"/>
      <c r="M313" s="113"/>
      <c r="N313" s="113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72"/>
      <c r="C314" s="19"/>
      <c r="D314" s="19"/>
      <c r="E314" s="19"/>
      <c r="F314" s="19"/>
      <c r="G314" s="113"/>
      <c r="H314" s="113"/>
      <c r="I314" s="113"/>
      <c r="J314" s="113"/>
      <c r="K314" s="113"/>
      <c r="L314" s="113"/>
      <c r="M314" s="113"/>
      <c r="N314" s="113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72"/>
      <c r="C315" s="19"/>
      <c r="D315" s="19"/>
      <c r="E315" s="19"/>
      <c r="F315" s="19"/>
      <c r="G315" s="113"/>
      <c r="H315" s="113"/>
      <c r="I315" s="113"/>
      <c r="J315" s="113"/>
      <c r="K315" s="113"/>
      <c r="L315" s="113"/>
      <c r="M315" s="113"/>
      <c r="N315" s="113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72"/>
      <c r="C316" s="19"/>
      <c r="D316" s="19"/>
      <c r="E316" s="19"/>
      <c r="F316" s="19"/>
      <c r="G316" s="113"/>
      <c r="H316" s="113"/>
      <c r="I316" s="113"/>
      <c r="J316" s="113"/>
      <c r="K316" s="113"/>
      <c r="L316" s="113"/>
      <c r="M316" s="113"/>
      <c r="N316" s="113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72"/>
      <c r="C317" s="19"/>
      <c r="D317" s="19"/>
      <c r="E317" s="19"/>
      <c r="F317" s="19"/>
      <c r="G317" s="113"/>
      <c r="H317" s="113"/>
      <c r="I317" s="113"/>
      <c r="J317" s="113"/>
      <c r="K317" s="113"/>
      <c r="L317" s="113"/>
      <c r="M317" s="113"/>
      <c r="N317" s="113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72"/>
      <c r="C318" s="19"/>
      <c r="D318" s="19"/>
      <c r="E318" s="19"/>
      <c r="F318" s="19"/>
      <c r="G318" s="113"/>
      <c r="H318" s="113"/>
      <c r="I318" s="113"/>
      <c r="J318" s="113"/>
      <c r="K318" s="113"/>
      <c r="L318" s="113"/>
      <c r="M318" s="113"/>
      <c r="N318" s="113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72"/>
      <c r="C319" s="19"/>
      <c r="D319" s="19"/>
      <c r="E319" s="19"/>
      <c r="F319" s="19"/>
      <c r="G319" s="113"/>
      <c r="H319" s="113"/>
      <c r="I319" s="113"/>
      <c r="J319" s="113"/>
      <c r="K319" s="113"/>
      <c r="L319" s="113"/>
      <c r="M319" s="113"/>
      <c r="N319" s="113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72"/>
      <c r="C320" s="19"/>
      <c r="D320" s="19"/>
      <c r="E320" s="19"/>
      <c r="F320" s="19"/>
      <c r="G320" s="113"/>
      <c r="H320" s="113"/>
      <c r="I320" s="113"/>
      <c r="J320" s="113"/>
      <c r="K320" s="113"/>
      <c r="L320" s="113"/>
      <c r="M320" s="113"/>
      <c r="N320" s="113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72"/>
      <c r="C321" s="19"/>
      <c r="D321" s="19"/>
      <c r="E321" s="19"/>
      <c r="F321" s="19"/>
      <c r="G321" s="113"/>
      <c r="H321" s="113"/>
      <c r="I321" s="113"/>
      <c r="J321" s="113"/>
      <c r="K321" s="113"/>
      <c r="L321" s="113"/>
      <c r="M321" s="113"/>
      <c r="N321" s="113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72"/>
      <c r="C322" s="19"/>
      <c r="D322" s="19"/>
      <c r="E322" s="19"/>
      <c r="F322" s="19"/>
      <c r="G322" s="113"/>
      <c r="H322" s="113"/>
      <c r="I322" s="113"/>
      <c r="J322" s="113"/>
      <c r="K322" s="113"/>
      <c r="L322" s="113"/>
      <c r="M322" s="113"/>
      <c r="N322" s="113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72"/>
      <c r="C323" s="19"/>
      <c r="D323" s="19"/>
      <c r="E323" s="19"/>
      <c r="F323" s="19"/>
      <c r="G323" s="113"/>
      <c r="H323" s="113"/>
      <c r="I323" s="113"/>
      <c r="J323" s="113"/>
      <c r="K323" s="113"/>
      <c r="L323" s="113"/>
      <c r="M323" s="113"/>
      <c r="N323" s="113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72"/>
      <c r="C324" s="19"/>
      <c r="D324" s="19"/>
      <c r="E324" s="19"/>
      <c r="F324" s="19"/>
      <c r="G324" s="113"/>
      <c r="H324" s="113"/>
      <c r="I324" s="113"/>
      <c r="J324" s="113"/>
      <c r="K324" s="113"/>
      <c r="L324" s="113"/>
      <c r="M324" s="113"/>
      <c r="N324" s="113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72"/>
      <c r="C325" s="19"/>
      <c r="D325" s="19"/>
      <c r="E325" s="19"/>
      <c r="F325" s="19"/>
      <c r="G325" s="113"/>
      <c r="H325" s="113"/>
      <c r="I325" s="113"/>
      <c r="J325" s="113"/>
      <c r="K325" s="113"/>
      <c r="L325" s="113"/>
      <c r="M325" s="113"/>
      <c r="N325" s="113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72"/>
      <c r="C326" s="19"/>
      <c r="D326" s="19"/>
      <c r="E326" s="19"/>
      <c r="F326" s="19"/>
      <c r="G326" s="113"/>
      <c r="H326" s="113"/>
      <c r="I326" s="113"/>
      <c r="J326" s="113"/>
      <c r="K326" s="113"/>
      <c r="L326" s="113"/>
      <c r="M326" s="113"/>
      <c r="N326" s="113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72"/>
      <c r="C327" s="19"/>
      <c r="D327" s="19"/>
      <c r="E327" s="19"/>
      <c r="F327" s="19"/>
      <c r="G327" s="113"/>
      <c r="H327" s="113"/>
      <c r="I327" s="113"/>
      <c r="J327" s="113"/>
      <c r="K327" s="113"/>
      <c r="L327" s="113"/>
      <c r="M327" s="113"/>
      <c r="N327" s="113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72"/>
      <c r="C328" s="19"/>
      <c r="D328" s="19"/>
      <c r="E328" s="19"/>
      <c r="F328" s="19"/>
      <c r="G328" s="113"/>
      <c r="H328" s="113"/>
      <c r="I328" s="113"/>
      <c r="J328" s="113"/>
      <c r="K328" s="113"/>
      <c r="L328" s="113"/>
      <c r="M328" s="113"/>
      <c r="N328" s="113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72"/>
      <c r="C329" s="19"/>
      <c r="D329" s="19"/>
      <c r="E329" s="19"/>
      <c r="F329" s="19"/>
      <c r="G329" s="113"/>
      <c r="H329" s="113"/>
      <c r="I329" s="113"/>
      <c r="J329" s="113"/>
      <c r="K329" s="113"/>
      <c r="L329" s="113"/>
      <c r="M329" s="113"/>
      <c r="N329" s="113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72"/>
      <c r="C330" s="19"/>
      <c r="D330" s="19"/>
      <c r="E330" s="19"/>
      <c r="F330" s="19"/>
      <c r="G330" s="113"/>
      <c r="H330" s="113"/>
      <c r="I330" s="113"/>
      <c r="J330" s="113"/>
      <c r="K330" s="113"/>
      <c r="L330" s="113"/>
      <c r="M330" s="113"/>
      <c r="N330" s="113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72"/>
      <c r="C331" s="19"/>
      <c r="D331" s="19"/>
      <c r="E331" s="19"/>
      <c r="F331" s="19"/>
      <c r="G331" s="113"/>
      <c r="H331" s="113"/>
      <c r="I331" s="113"/>
      <c r="J331" s="113"/>
      <c r="K331" s="113"/>
      <c r="L331" s="113"/>
      <c r="M331" s="113"/>
      <c r="N331" s="113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72"/>
      <c r="C332" s="19"/>
      <c r="D332" s="19"/>
      <c r="E332" s="19"/>
      <c r="F332" s="19"/>
      <c r="G332" s="113"/>
      <c r="H332" s="113"/>
      <c r="I332" s="113"/>
      <c r="J332" s="113"/>
      <c r="K332" s="113"/>
      <c r="L332" s="113"/>
      <c r="M332" s="113"/>
      <c r="N332" s="113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72"/>
      <c r="C333" s="19"/>
      <c r="D333" s="19"/>
      <c r="E333" s="19"/>
      <c r="F333" s="19"/>
      <c r="G333" s="113"/>
      <c r="H333" s="113"/>
      <c r="I333" s="113"/>
      <c r="J333" s="113"/>
      <c r="K333" s="113"/>
      <c r="L333" s="113"/>
      <c r="M333" s="113"/>
      <c r="N333" s="113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72"/>
      <c r="C334" s="19"/>
      <c r="D334" s="19"/>
      <c r="E334" s="19"/>
      <c r="F334" s="19"/>
      <c r="G334" s="113"/>
      <c r="H334" s="113"/>
      <c r="I334" s="113"/>
      <c r="J334" s="113"/>
      <c r="K334" s="113"/>
      <c r="L334" s="113"/>
      <c r="M334" s="113"/>
      <c r="N334" s="113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72"/>
      <c r="C335" s="19"/>
      <c r="D335" s="19"/>
      <c r="E335" s="19"/>
      <c r="F335" s="19"/>
      <c r="G335" s="113"/>
      <c r="H335" s="113"/>
      <c r="I335" s="113"/>
      <c r="J335" s="113"/>
      <c r="K335" s="113"/>
      <c r="L335" s="113"/>
      <c r="M335" s="113"/>
      <c r="N335" s="113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72"/>
      <c r="C336" s="19"/>
      <c r="D336" s="19"/>
      <c r="E336" s="19"/>
      <c r="F336" s="19"/>
      <c r="G336" s="113"/>
      <c r="H336" s="113"/>
      <c r="I336" s="113"/>
      <c r="J336" s="113"/>
      <c r="K336" s="113"/>
      <c r="L336" s="113"/>
      <c r="M336" s="113"/>
      <c r="N336" s="113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72"/>
      <c r="C337" s="19"/>
      <c r="D337" s="19"/>
      <c r="E337" s="19"/>
      <c r="F337" s="19"/>
      <c r="G337" s="113"/>
      <c r="H337" s="113"/>
      <c r="I337" s="113"/>
      <c r="J337" s="113"/>
      <c r="K337" s="113"/>
      <c r="L337" s="113"/>
      <c r="M337" s="113"/>
      <c r="N337" s="113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72"/>
      <c r="C338" s="19"/>
      <c r="D338" s="19"/>
      <c r="E338" s="19"/>
      <c r="F338" s="19"/>
      <c r="G338" s="113"/>
      <c r="H338" s="113"/>
      <c r="I338" s="113"/>
      <c r="J338" s="113"/>
      <c r="K338" s="113"/>
      <c r="L338" s="113"/>
      <c r="M338" s="113"/>
      <c r="N338" s="113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72"/>
      <c r="C339" s="19"/>
      <c r="D339" s="19"/>
      <c r="E339" s="19"/>
      <c r="F339" s="19"/>
      <c r="G339" s="113"/>
      <c r="H339" s="113"/>
      <c r="I339" s="113"/>
      <c r="J339" s="113"/>
      <c r="K339" s="113"/>
      <c r="L339" s="113"/>
      <c r="M339" s="113"/>
      <c r="N339" s="113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72"/>
      <c r="C340" s="19"/>
      <c r="D340" s="19"/>
      <c r="E340" s="19"/>
      <c r="F340" s="19"/>
      <c r="G340" s="113"/>
      <c r="H340" s="113"/>
      <c r="I340" s="113"/>
      <c r="J340" s="113"/>
      <c r="K340" s="113"/>
      <c r="L340" s="113"/>
      <c r="M340" s="113"/>
      <c r="N340" s="113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72"/>
      <c r="C341" s="19"/>
      <c r="D341" s="19"/>
      <c r="E341" s="19"/>
      <c r="F341" s="19"/>
      <c r="G341" s="113"/>
      <c r="H341" s="113"/>
      <c r="I341" s="113"/>
      <c r="J341" s="113"/>
      <c r="K341" s="113"/>
      <c r="L341" s="113"/>
      <c r="M341" s="113"/>
      <c r="N341" s="113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72"/>
      <c r="C342" s="19"/>
      <c r="D342" s="19"/>
      <c r="E342" s="19"/>
      <c r="F342" s="19"/>
      <c r="G342" s="113"/>
      <c r="H342" s="113"/>
      <c r="I342" s="113"/>
      <c r="J342" s="113"/>
      <c r="K342" s="113"/>
      <c r="L342" s="113"/>
      <c r="M342" s="113"/>
      <c r="N342" s="113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72"/>
      <c r="C343" s="19"/>
      <c r="D343" s="19"/>
      <c r="E343" s="19"/>
      <c r="F343" s="19"/>
      <c r="G343" s="113"/>
      <c r="H343" s="113"/>
      <c r="I343" s="113"/>
      <c r="J343" s="113"/>
      <c r="K343" s="113"/>
      <c r="L343" s="113"/>
      <c r="M343" s="113"/>
      <c r="N343" s="113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72"/>
      <c r="C344" s="19"/>
      <c r="D344" s="19"/>
      <c r="E344" s="19"/>
      <c r="F344" s="19"/>
      <c r="G344" s="113"/>
      <c r="H344" s="113"/>
      <c r="I344" s="113"/>
      <c r="J344" s="113"/>
      <c r="K344" s="113"/>
      <c r="L344" s="113"/>
      <c r="M344" s="113"/>
      <c r="N344" s="113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72"/>
      <c r="C345" s="19"/>
      <c r="D345" s="19"/>
      <c r="E345" s="19"/>
      <c r="F345" s="19"/>
      <c r="G345" s="113"/>
      <c r="H345" s="113"/>
      <c r="I345" s="113"/>
      <c r="J345" s="113"/>
      <c r="K345" s="113"/>
      <c r="L345" s="113"/>
      <c r="M345" s="113"/>
      <c r="N345" s="113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72"/>
      <c r="C346" s="19"/>
      <c r="D346" s="19"/>
      <c r="E346" s="19"/>
      <c r="F346" s="19"/>
      <c r="G346" s="113"/>
      <c r="H346" s="113"/>
      <c r="I346" s="113"/>
      <c r="J346" s="113"/>
      <c r="K346" s="113"/>
      <c r="L346" s="113"/>
      <c r="M346" s="113"/>
      <c r="N346" s="113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72"/>
      <c r="C347" s="19"/>
      <c r="D347" s="19"/>
      <c r="E347" s="19"/>
      <c r="F347" s="19"/>
      <c r="G347" s="113"/>
      <c r="H347" s="113"/>
      <c r="I347" s="113"/>
      <c r="J347" s="113"/>
      <c r="K347" s="113"/>
      <c r="L347" s="113"/>
      <c r="M347" s="113"/>
      <c r="N347" s="113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72"/>
      <c r="C348" s="19"/>
      <c r="D348" s="19"/>
      <c r="E348" s="19"/>
      <c r="F348" s="19"/>
      <c r="G348" s="113"/>
      <c r="H348" s="113"/>
      <c r="I348" s="113"/>
      <c r="J348" s="113"/>
      <c r="K348" s="113"/>
      <c r="L348" s="113"/>
      <c r="M348" s="113"/>
      <c r="N348" s="113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72"/>
      <c r="C349" s="19"/>
      <c r="D349" s="19"/>
      <c r="E349" s="19"/>
      <c r="F349" s="19"/>
      <c r="G349" s="113"/>
      <c r="H349" s="113"/>
      <c r="I349" s="113"/>
      <c r="J349" s="113"/>
      <c r="K349" s="113"/>
      <c r="L349" s="113"/>
      <c r="M349" s="113"/>
      <c r="N349" s="113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72"/>
      <c r="C350" s="19"/>
      <c r="D350" s="19"/>
      <c r="E350" s="19"/>
      <c r="F350" s="19"/>
      <c r="G350" s="113"/>
      <c r="H350" s="113"/>
      <c r="I350" s="113"/>
      <c r="J350" s="113"/>
      <c r="K350" s="113"/>
      <c r="L350" s="113"/>
      <c r="M350" s="113"/>
      <c r="N350" s="113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72"/>
      <c r="C351" s="19"/>
      <c r="D351" s="19"/>
      <c r="E351" s="19"/>
      <c r="F351" s="19"/>
      <c r="G351" s="113"/>
      <c r="H351" s="113"/>
      <c r="I351" s="113"/>
      <c r="J351" s="113"/>
      <c r="K351" s="113"/>
      <c r="L351" s="113"/>
      <c r="M351" s="113"/>
      <c r="N351" s="113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72"/>
      <c r="C352" s="19"/>
      <c r="D352" s="19"/>
      <c r="E352" s="19"/>
      <c r="F352" s="19"/>
      <c r="G352" s="113"/>
      <c r="H352" s="113"/>
      <c r="I352" s="113"/>
      <c r="J352" s="113"/>
      <c r="K352" s="113"/>
      <c r="L352" s="113"/>
      <c r="M352" s="113"/>
      <c r="N352" s="113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72"/>
      <c r="C353" s="19"/>
      <c r="D353" s="19"/>
      <c r="E353" s="19"/>
      <c r="F353" s="19"/>
      <c r="G353" s="113"/>
      <c r="H353" s="113"/>
      <c r="I353" s="113"/>
      <c r="J353" s="113"/>
      <c r="K353" s="113"/>
      <c r="L353" s="113"/>
      <c r="M353" s="113"/>
      <c r="N353" s="113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72"/>
      <c r="C354" s="19"/>
      <c r="D354" s="19"/>
      <c r="E354" s="19"/>
      <c r="F354" s="19"/>
      <c r="G354" s="113"/>
      <c r="H354" s="113"/>
      <c r="I354" s="113"/>
      <c r="J354" s="113"/>
      <c r="K354" s="113"/>
      <c r="L354" s="113"/>
      <c r="M354" s="113"/>
      <c r="N354" s="113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72"/>
      <c r="C355" s="19"/>
      <c r="D355" s="19"/>
      <c r="E355" s="19"/>
      <c r="F355" s="19"/>
      <c r="G355" s="113"/>
      <c r="H355" s="113"/>
      <c r="I355" s="113"/>
      <c r="J355" s="113"/>
      <c r="K355" s="113"/>
      <c r="L355" s="113"/>
      <c r="M355" s="113"/>
      <c r="N355" s="113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72"/>
      <c r="C356" s="19"/>
      <c r="D356" s="19"/>
      <c r="E356" s="19"/>
      <c r="F356" s="19"/>
      <c r="G356" s="113"/>
      <c r="H356" s="113"/>
      <c r="I356" s="113"/>
      <c r="J356" s="113"/>
      <c r="K356" s="113"/>
      <c r="L356" s="113"/>
      <c r="M356" s="113"/>
      <c r="N356" s="113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72"/>
      <c r="C357" s="19"/>
      <c r="D357" s="19"/>
      <c r="E357" s="19"/>
      <c r="F357" s="19"/>
      <c r="G357" s="113"/>
      <c r="H357" s="113"/>
      <c r="I357" s="113"/>
      <c r="J357" s="113"/>
      <c r="K357" s="113"/>
      <c r="L357" s="113"/>
      <c r="M357" s="113"/>
      <c r="N357" s="113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72"/>
      <c r="C358" s="19"/>
      <c r="D358" s="19"/>
      <c r="E358" s="19"/>
      <c r="F358" s="19"/>
      <c r="G358" s="113"/>
      <c r="H358" s="113"/>
      <c r="I358" s="113"/>
      <c r="J358" s="113"/>
      <c r="K358" s="113"/>
      <c r="L358" s="113"/>
      <c r="M358" s="113"/>
      <c r="N358" s="113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72"/>
      <c r="C359" s="19"/>
      <c r="D359" s="19"/>
      <c r="E359" s="19"/>
      <c r="F359" s="19"/>
      <c r="G359" s="113"/>
      <c r="H359" s="113"/>
      <c r="I359" s="113"/>
      <c r="J359" s="113"/>
      <c r="K359" s="113"/>
      <c r="L359" s="113"/>
      <c r="M359" s="113"/>
      <c r="N359" s="113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72"/>
      <c r="C360" s="19"/>
      <c r="D360" s="19"/>
      <c r="E360" s="19"/>
      <c r="F360" s="19"/>
      <c r="G360" s="113"/>
      <c r="H360" s="113"/>
      <c r="I360" s="113"/>
      <c r="J360" s="113"/>
      <c r="K360" s="113"/>
      <c r="L360" s="113"/>
      <c r="M360" s="113"/>
      <c r="N360" s="113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72"/>
      <c r="C361" s="19"/>
      <c r="D361" s="19"/>
      <c r="E361" s="19"/>
      <c r="F361" s="19"/>
      <c r="G361" s="113"/>
      <c r="H361" s="113"/>
      <c r="I361" s="113"/>
      <c r="J361" s="113"/>
      <c r="K361" s="113"/>
      <c r="L361" s="113"/>
      <c r="M361" s="113"/>
      <c r="N361" s="113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72"/>
      <c r="C362" s="19"/>
      <c r="D362" s="19"/>
      <c r="E362" s="19"/>
      <c r="F362" s="19"/>
      <c r="G362" s="113"/>
      <c r="H362" s="113"/>
      <c r="I362" s="113"/>
      <c r="J362" s="113"/>
      <c r="K362" s="113"/>
      <c r="L362" s="113"/>
      <c r="M362" s="113"/>
      <c r="N362" s="113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72"/>
      <c r="C363" s="19"/>
      <c r="D363" s="19"/>
      <c r="E363" s="19"/>
      <c r="F363" s="19"/>
      <c r="G363" s="113"/>
      <c r="H363" s="113"/>
      <c r="I363" s="113"/>
      <c r="J363" s="113"/>
      <c r="K363" s="113"/>
      <c r="L363" s="113"/>
      <c r="M363" s="113"/>
      <c r="N363" s="113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72"/>
      <c r="C364" s="19"/>
      <c r="D364" s="19"/>
      <c r="E364" s="19"/>
      <c r="F364" s="19"/>
      <c r="G364" s="113"/>
      <c r="H364" s="113"/>
      <c r="I364" s="113"/>
      <c r="J364" s="113"/>
      <c r="K364" s="113"/>
      <c r="L364" s="113"/>
      <c r="M364" s="113"/>
      <c r="N364" s="113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72"/>
      <c r="C365" s="19"/>
      <c r="D365" s="19"/>
      <c r="E365" s="19"/>
      <c r="F365" s="19"/>
      <c r="G365" s="113"/>
      <c r="H365" s="113"/>
      <c r="I365" s="113"/>
      <c r="J365" s="113"/>
      <c r="K365" s="113"/>
      <c r="L365" s="113"/>
      <c r="M365" s="113"/>
      <c r="N365" s="113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72"/>
      <c r="C366" s="19"/>
      <c r="D366" s="19"/>
      <c r="E366" s="19"/>
      <c r="F366" s="19"/>
      <c r="G366" s="113"/>
      <c r="H366" s="113"/>
      <c r="I366" s="113"/>
      <c r="J366" s="113"/>
      <c r="K366" s="113"/>
      <c r="L366" s="113"/>
      <c r="M366" s="113"/>
      <c r="N366" s="113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72"/>
      <c r="C367" s="19"/>
      <c r="D367" s="19"/>
      <c r="E367" s="19"/>
      <c r="F367" s="19"/>
      <c r="G367" s="113"/>
      <c r="H367" s="113"/>
      <c r="I367" s="113"/>
      <c r="J367" s="113"/>
      <c r="K367" s="113"/>
      <c r="L367" s="113"/>
      <c r="M367" s="113"/>
      <c r="N367" s="113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72"/>
      <c r="C368" s="19"/>
      <c r="D368" s="19"/>
      <c r="E368" s="19"/>
      <c r="F368" s="19"/>
      <c r="G368" s="113"/>
      <c r="H368" s="113"/>
      <c r="I368" s="113"/>
      <c r="J368" s="113"/>
      <c r="K368" s="113"/>
      <c r="L368" s="113"/>
      <c r="M368" s="113"/>
      <c r="N368" s="113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72"/>
      <c r="C369" s="19"/>
      <c r="D369" s="19"/>
      <c r="E369" s="19"/>
      <c r="F369" s="19"/>
      <c r="G369" s="113"/>
      <c r="H369" s="113"/>
      <c r="I369" s="113"/>
      <c r="J369" s="113"/>
      <c r="K369" s="113"/>
      <c r="L369" s="113"/>
      <c r="M369" s="113"/>
      <c r="N369" s="113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72"/>
      <c r="C370" s="19"/>
      <c r="D370" s="19"/>
      <c r="E370" s="19"/>
      <c r="F370" s="19"/>
      <c r="G370" s="113"/>
      <c r="H370" s="113"/>
      <c r="I370" s="113"/>
      <c r="J370" s="113"/>
      <c r="K370" s="113"/>
      <c r="L370" s="113"/>
      <c r="M370" s="113"/>
      <c r="N370" s="113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72"/>
      <c r="C371" s="19"/>
      <c r="D371" s="19"/>
      <c r="E371" s="19"/>
      <c r="F371" s="19"/>
      <c r="G371" s="113"/>
      <c r="H371" s="113"/>
      <c r="I371" s="113"/>
      <c r="J371" s="113"/>
      <c r="K371" s="113"/>
      <c r="L371" s="113"/>
      <c r="M371" s="113"/>
      <c r="N371" s="113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72"/>
      <c r="C372" s="19"/>
      <c r="D372" s="19"/>
      <c r="E372" s="19"/>
      <c r="F372" s="19"/>
      <c r="G372" s="113"/>
      <c r="H372" s="113"/>
      <c r="I372" s="113"/>
      <c r="J372" s="113"/>
      <c r="K372" s="113"/>
      <c r="L372" s="113"/>
      <c r="M372" s="113"/>
      <c r="N372" s="113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72"/>
      <c r="C373" s="19"/>
      <c r="D373" s="19"/>
      <c r="E373" s="19"/>
      <c r="F373" s="19"/>
      <c r="G373" s="113"/>
      <c r="H373" s="113"/>
      <c r="I373" s="113"/>
      <c r="J373" s="113"/>
      <c r="K373" s="113"/>
      <c r="L373" s="113"/>
      <c r="M373" s="113"/>
      <c r="N373" s="113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72"/>
      <c r="C374" s="19"/>
      <c r="D374" s="19"/>
      <c r="E374" s="19"/>
      <c r="F374" s="19"/>
      <c r="G374" s="113"/>
      <c r="H374" s="113"/>
      <c r="I374" s="113"/>
      <c r="J374" s="113"/>
      <c r="K374" s="113"/>
      <c r="L374" s="113"/>
      <c r="M374" s="113"/>
      <c r="N374" s="113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72"/>
      <c r="C375" s="19"/>
      <c r="D375" s="19"/>
      <c r="E375" s="19"/>
      <c r="F375" s="19"/>
      <c r="G375" s="113"/>
      <c r="H375" s="113"/>
      <c r="I375" s="113"/>
      <c r="J375" s="113"/>
      <c r="K375" s="113"/>
      <c r="L375" s="113"/>
      <c r="M375" s="113"/>
      <c r="N375" s="113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72"/>
      <c r="C376" s="19"/>
      <c r="D376" s="19"/>
      <c r="E376" s="19"/>
      <c r="F376" s="19"/>
      <c r="G376" s="113"/>
      <c r="H376" s="113"/>
      <c r="I376" s="113"/>
      <c r="J376" s="113"/>
      <c r="K376" s="113"/>
      <c r="L376" s="113"/>
      <c r="M376" s="113"/>
      <c r="N376" s="113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72"/>
      <c r="C377" s="19"/>
      <c r="D377" s="19"/>
      <c r="E377" s="19"/>
      <c r="F377" s="19"/>
      <c r="G377" s="113"/>
      <c r="H377" s="113"/>
      <c r="I377" s="113"/>
      <c r="J377" s="113"/>
      <c r="K377" s="113"/>
      <c r="L377" s="113"/>
      <c r="M377" s="113"/>
      <c r="N377" s="113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72"/>
      <c r="C378" s="19"/>
      <c r="D378" s="19"/>
      <c r="E378" s="19"/>
      <c r="F378" s="19"/>
      <c r="G378" s="113"/>
      <c r="H378" s="113"/>
      <c r="I378" s="113"/>
      <c r="J378" s="113"/>
      <c r="K378" s="113"/>
      <c r="L378" s="113"/>
      <c r="M378" s="113"/>
      <c r="N378" s="113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72"/>
      <c r="C379" s="19"/>
      <c r="D379" s="19"/>
      <c r="E379" s="19"/>
      <c r="F379" s="19"/>
      <c r="G379" s="113"/>
      <c r="H379" s="113"/>
      <c r="I379" s="113"/>
      <c r="J379" s="113"/>
      <c r="K379" s="113"/>
      <c r="L379" s="113"/>
      <c r="M379" s="113"/>
      <c r="N379" s="113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72"/>
      <c r="C380" s="19"/>
      <c r="D380" s="19"/>
      <c r="E380" s="19"/>
      <c r="F380" s="19"/>
      <c r="G380" s="113"/>
      <c r="H380" s="113"/>
      <c r="I380" s="113"/>
      <c r="J380" s="113"/>
      <c r="K380" s="113"/>
      <c r="L380" s="113"/>
      <c r="M380" s="113"/>
      <c r="N380" s="113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72"/>
      <c r="C381" s="19"/>
      <c r="D381" s="19"/>
      <c r="E381" s="19"/>
      <c r="F381" s="19"/>
      <c r="G381" s="113"/>
      <c r="H381" s="113"/>
      <c r="I381" s="113"/>
      <c r="J381" s="113"/>
      <c r="K381" s="113"/>
      <c r="L381" s="113"/>
      <c r="M381" s="113"/>
      <c r="N381" s="113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72"/>
      <c r="C382" s="19"/>
      <c r="D382" s="19"/>
      <c r="E382" s="19"/>
      <c r="F382" s="19"/>
      <c r="G382" s="113"/>
      <c r="H382" s="113"/>
      <c r="I382" s="113"/>
      <c r="J382" s="113"/>
      <c r="K382" s="113"/>
      <c r="L382" s="113"/>
      <c r="M382" s="113"/>
      <c r="N382" s="113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72"/>
      <c r="C383" s="19"/>
      <c r="D383" s="19"/>
      <c r="E383" s="19"/>
      <c r="F383" s="19"/>
      <c r="G383" s="113"/>
      <c r="H383" s="113"/>
      <c r="I383" s="113"/>
      <c r="J383" s="113"/>
      <c r="K383" s="113"/>
      <c r="L383" s="113"/>
      <c r="M383" s="113"/>
      <c r="N383" s="113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72"/>
      <c r="C384" s="19"/>
      <c r="D384" s="19"/>
      <c r="E384" s="19"/>
      <c r="F384" s="19"/>
      <c r="G384" s="113"/>
      <c r="H384" s="113"/>
      <c r="I384" s="113"/>
      <c r="J384" s="113"/>
      <c r="K384" s="113"/>
      <c r="L384" s="113"/>
      <c r="M384" s="113"/>
      <c r="N384" s="113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72"/>
      <c r="C385" s="19"/>
      <c r="D385" s="19"/>
      <c r="E385" s="19"/>
      <c r="F385" s="19"/>
      <c r="G385" s="113"/>
      <c r="H385" s="113"/>
      <c r="I385" s="113"/>
      <c r="J385" s="113"/>
      <c r="K385" s="113"/>
      <c r="L385" s="113"/>
      <c r="M385" s="113"/>
      <c r="N385" s="113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72"/>
      <c r="C386" s="19"/>
      <c r="D386" s="19"/>
      <c r="E386" s="19"/>
      <c r="F386" s="19"/>
      <c r="G386" s="113"/>
      <c r="H386" s="113"/>
      <c r="I386" s="113"/>
      <c r="J386" s="113"/>
      <c r="K386" s="113"/>
      <c r="L386" s="113"/>
      <c r="M386" s="113"/>
      <c r="N386" s="113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72"/>
      <c r="C387" s="19"/>
      <c r="D387" s="19"/>
      <c r="E387" s="19"/>
      <c r="F387" s="19"/>
      <c r="G387" s="113"/>
      <c r="H387" s="113"/>
      <c r="I387" s="113"/>
      <c r="J387" s="113"/>
      <c r="K387" s="113"/>
      <c r="L387" s="113"/>
      <c r="M387" s="113"/>
      <c r="N387" s="113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72"/>
      <c r="C388" s="19"/>
      <c r="D388" s="19"/>
      <c r="E388" s="19"/>
      <c r="F388" s="19"/>
      <c r="G388" s="113"/>
      <c r="H388" s="113"/>
      <c r="I388" s="113"/>
      <c r="J388" s="113"/>
      <c r="K388" s="113"/>
      <c r="L388" s="113"/>
      <c r="M388" s="113"/>
      <c r="N388" s="113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72"/>
      <c r="C389" s="19"/>
      <c r="D389" s="19"/>
      <c r="E389" s="19"/>
      <c r="F389" s="19"/>
      <c r="G389" s="113"/>
      <c r="H389" s="113"/>
      <c r="I389" s="113"/>
      <c r="J389" s="113"/>
      <c r="K389" s="113"/>
      <c r="L389" s="113"/>
      <c r="M389" s="113"/>
      <c r="N389" s="113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72"/>
      <c r="C390" s="19"/>
      <c r="D390" s="19"/>
      <c r="E390" s="19"/>
      <c r="F390" s="19"/>
      <c r="G390" s="113"/>
      <c r="H390" s="113"/>
      <c r="I390" s="113"/>
      <c r="J390" s="113"/>
      <c r="K390" s="113"/>
      <c r="L390" s="113"/>
      <c r="M390" s="113"/>
      <c r="N390" s="113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72"/>
      <c r="C391" s="19"/>
      <c r="D391" s="19"/>
      <c r="E391" s="19"/>
      <c r="F391" s="19"/>
      <c r="G391" s="113"/>
      <c r="H391" s="113"/>
      <c r="I391" s="113"/>
      <c r="J391" s="113"/>
      <c r="K391" s="113"/>
      <c r="L391" s="113"/>
      <c r="M391" s="113"/>
      <c r="N391" s="113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72"/>
      <c r="C392" s="19"/>
      <c r="D392" s="19"/>
      <c r="E392" s="19"/>
      <c r="F392" s="19"/>
      <c r="G392" s="113"/>
      <c r="H392" s="113"/>
      <c r="I392" s="113"/>
      <c r="J392" s="113"/>
      <c r="K392" s="113"/>
      <c r="L392" s="113"/>
      <c r="M392" s="113"/>
      <c r="N392" s="113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72"/>
      <c r="C393" s="19"/>
      <c r="D393" s="19"/>
      <c r="E393" s="19"/>
      <c r="F393" s="19"/>
      <c r="G393" s="113"/>
      <c r="H393" s="113"/>
      <c r="I393" s="113"/>
      <c r="J393" s="113"/>
      <c r="K393" s="113"/>
      <c r="L393" s="113"/>
      <c r="M393" s="113"/>
      <c r="N393" s="113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72"/>
      <c r="C394" s="19"/>
      <c r="D394" s="19"/>
      <c r="E394" s="19"/>
      <c r="F394" s="19"/>
      <c r="G394" s="113"/>
      <c r="H394" s="113"/>
      <c r="I394" s="113"/>
      <c r="J394" s="113"/>
      <c r="K394" s="113"/>
      <c r="L394" s="113"/>
      <c r="M394" s="113"/>
      <c r="N394" s="113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72"/>
      <c r="C395" s="19"/>
      <c r="D395" s="19"/>
      <c r="E395" s="19"/>
      <c r="F395" s="19"/>
      <c r="G395" s="113"/>
      <c r="H395" s="113"/>
      <c r="I395" s="113"/>
      <c r="J395" s="113"/>
      <c r="K395" s="113"/>
      <c r="L395" s="113"/>
      <c r="M395" s="113"/>
      <c r="N395" s="113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72"/>
      <c r="C396" s="19"/>
      <c r="D396" s="19"/>
      <c r="E396" s="19"/>
      <c r="F396" s="19"/>
      <c r="G396" s="113"/>
      <c r="H396" s="113"/>
      <c r="I396" s="113"/>
      <c r="J396" s="113"/>
      <c r="K396" s="113"/>
      <c r="L396" s="113"/>
      <c r="M396" s="113"/>
      <c r="N396" s="113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72"/>
      <c r="C397" s="19"/>
      <c r="D397" s="19"/>
      <c r="E397" s="19"/>
      <c r="F397" s="19"/>
      <c r="G397" s="113"/>
      <c r="H397" s="113"/>
      <c r="I397" s="113"/>
      <c r="J397" s="113"/>
      <c r="K397" s="113"/>
      <c r="L397" s="113"/>
      <c r="M397" s="113"/>
      <c r="N397" s="113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72"/>
      <c r="C398" s="19"/>
      <c r="D398" s="19"/>
      <c r="E398" s="19"/>
      <c r="F398" s="19"/>
      <c r="G398" s="113"/>
      <c r="H398" s="113"/>
      <c r="I398" s="113"/>
      <c r="J398" s="113"/>
      <c r="K398" s="113"/>
      <c r="L398" s="113"/>
      <c r="M398" s="113"/>
      <c r="N398" s="113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72"/>
      <c r="C399" s="19"/>
      <c r="D399" s="19"/>
      <c r="E399" s="19"/>
      <c r="F399" s="19"/>
      <c r="G399" s="113"/>
      <c r="H399" s="113"/>
      <c r="I399" s="113"/>
      <c r="J399" s="113"/>
      <c r="K399" s="113"/>
      <c r="L399" s="113"/>
      <c r="M399" s="113"/>
      <c r="N399" s="113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72"/>
      <c r="C400" s="19"/>
      <c r="D400" s="19"/>
      <c r="E400" s="19"/>
      <c r="F400" s="19"/>
      <c r="G400" s="113"/>
      <c r="H400" s="113"/>
      <c r="I400" s="113"/>
      <c r="J400" s="113"/>
      <c r="K400" s="113"/>
      <c r="L400" s="113"/>
      <c r="M400" s="113"/>
      <c r="N400" s="113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72"/>
      <c r="C401" s="19"/>
      <c r="D401" s="19"/>
      <c r="E401" s="19"/>
      <c r="F401" s="19"/>
      <c r="G401" s="113"/>
      <c r="H401" s="113"/>
      <c r="I401" s="113"/>
      <c r="J401" s="113"/>
      <c r="K401" s="113"/>
      <c r="L401" s="113"/>
      <c r="M401" s="113"/>
      <c r="N401" s="113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72"/>
      <c r="C402" s="19"/>
      <c r="D402" s="19"/>
      <c r="E402" s="19"/>
      <c r="F402" s="19"/>
      <c r="G402" s="113"/>
      <c r="H402" s="113"/>
      <c r="I402" s="113"/>
      <c r="J402" s="113"/>
      <c r="K402" s="113"/>
      <c r="L402" s="113"/>
      <c r="M402" s="113"/>
      <c r="N402" s="113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72"/>
      <c r="C403" s="19"/>
      <c r="D403" s="19"/>
      <c r="E403" s="19"/>
      <c r="F403" s="19"/>
      <c r="G403" s="113"/>
      <c r="H403" s="113"/>
      <c r="I403" s="113"/>
      <c r="J403" s="113"/>
      <c r="K403" s="113"/>
      <c r="L403" s="113"/>
      <c r="M403" s="113"/>
      <c r="N403" s="113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72"/>
      <c r="C404" s="19"/>
      <c r="D404" s="19"/>
      <c r="E404" s="19"/>
      <c r="F404" s="19"/>
      <c r="G404" s="113"/>
      <c r="H404" s="113"/>
      <c r="I404" s="113"/>
      <c r="J404" s="113"/>
      <c r="K404" s="113"/>
      <c r="L404" s="113"/>
      <c r="M404" s="113"/>
      <c r="N404" s="113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72"/>
      <c r="C405" s="19"/>
      <c r="D405" s="19"/>
      <c r="E405" s="19"/>
      <c r="F405" s="19"/>
      <c r="G405" s="113"/>
      <c r="H405" s="113"/>
      <c r="I405" s="113"/>
      <c r="J405" s="113"/>
      <c r="K405" s="113"/>
      <c r="L405" s="113"/>
      <c r="M405" s="113"/>
      <c r="N405" s="113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72"/>
      <c r="C406" s="19"/>
      <c r="D406" s="19"/>
      <c r="E406" s="19"/>
      <c r="F406" s="19"/>
      <c r="G406" s="113"/>
      <c r="H406" s="113"/>
      <c r="I406" s="113"/>
      <c r="J406" s="113"/>
      <c r="K406" s="113"/>
      <c r="L406" s="113"/>
      <c r="M406" s="113"/>
      <c r="N406" s="113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72"/>
      <c r="C407" s="19"/>
      <c r="D407" s="19"/>
      <c r="E407" s="19"/>
      <c r="F407" s="19"/>
      <c r="G407" s="113"/>
      <c r="H407" s="113"/>
      <c r="I407" s="113"/>
      <c r="J407" s="113"/>
      <c r="K407" s="113"/>
      <c r="L407" s="113"/>
      <c r="M407" s="113"/>
      <c r="N407" s="113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72"/>
      <c r="C408" s="19"/>
      <c r="D408" s="19"/>
      <c r="E408" s="19"/>
      <c r="F408" s="19"/>
      <c r="G408" s="113"/>
      <c r="H408" s="113"/>
      <c r="I408" s="113"/>
      <c r="J408" s="113"/>
      <c r="K408" s="113"/>
      <c r="L408" s="113"/>
      <c r="M408" s="113"/>
      <c r="N408" s="113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72"/>
      <c r="C409" s="19"/>
      <c r="D409" s="19"/>
      <c r="E409" s="19"/>
      <c r="F409" s="19"/>
      <c r="G409" s="113"/>
      <c r="H409" s="113"/>
      <c r="I409" s="113"/>
      <c r="J409" s="113"/>
      <c r="K409" s="113"/>
      <c r="L409" s="113"/>
      <c r="M409" s="113"/>
      <c r="N409" s="113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72"/>
      <c r="C410" s="19"/>
      <c r="D410" s="19"/>
      <c r="E410" s="19"/>
      <c r="F410" s="19"/>
      <c r="G410" s="113"/>
      <c r="H410" s="113"/>
      <c r="I410" s="113"/>
      <c r="J410" s="113"/>
      <c r="K410" s="113"/>
      <c r="L410" s="113"/>
      <c r="M410" s="113"/>
      <c r="N410" s="113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72"/>
      <c r="C411" s="19"/>
      <c r="D411" s="19"/>
      <c r="E411" s="19"/>
      <c r="F411" s="19"/>
      <c r="G411" s="113"/>
      <c r="H411" s="113"/>
      <c r="I411" s="113"/>
      <c r="J411" s="113"/>
      <c r="K411" s="113"/>
      <c r="L411" s="113"/>
      <c r="M411" s="113"/>
      <c r="N411" s="113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72"/>
      <c r="C412" s="19"/>
      <c r="D412" s="19"/>
      <c r="E412" s="19"/>
      <c r="F412" s="19"/>
      <c r="G412" s="113"/>
      <c r="H412" s="113"/>
      <c r="I412" s="113"/>
      <c r="J412" s="113"/>
      <c r="K412" s="113"/>
      <c r="L412" s="113"/>
      <c r="M412" s="113"/>
      <c r="N412" s="113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72"/>
      <c r="C413" s="19"/>
      <c r="D413" s="19"/>
      <c r="E413" s="19"/>
      <c r="F413" s="19"/>
      <c r="G413" s="113"/>
      <c r="H413" s="113"/>
      <c r="I413" s="113"/>
      <c r="J413" s="113"/>
      <c r="K413" s="113"/>
      <c r="L413" s="113"/>
      <c r="M413" s="113"/>
      <c r="N413" s="113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72"/>
      <c r="C414" s="19"/>
      <c r="D414" s="19"/>
      <c r="E414" s="19"/>
      <c r="F414" s="19"/>
      <c r="G414" s="113"/>
      <c r="H414" s="113"/>
      <c r="I414" s="113"/>
      <c r="J414" s="113"/>
      <c r="K414" s="113"/>
      <c r="L414" s="113"/>
      <c r="M414" s="113"/>
      <c r="N414" s="113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72"/>
      <c r="C415" s="19"/>
      <c r="D415" s="19"/>
      <c r="E415" s="19"/>
      <c r="F415" s="19"/>
      <c r="G415" s="113"/>
      <c r="H415" s="113"/>
      <c r="I415" s="113"/>
      <c r="J415" s="113"/>
      <c r="K415" s="113"/>
      <c r="L415" s="113"/>
      <c r="M415" s="113"/>
      <c r="N415" s="113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72"/>
      <c r="C416" s="19"/>
      <c r="D416" s="19"/>
      <c r="E416" s="19"/>
      <c r="F416" s="19"/>
      <c r="G416" s="113"/>
      <c r="H416" s="113"/>
      <c r="I416" s="113"/>
      <c r="J416" s="113"/>
      <c r="K416" s="113"/>
      <c r="L416" s="113"/>
      <c r="M416" s="113"/>
      <c r="N416" s="113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72"/>
      <c r="C417" s="19"/>
      <c r="D417" s="19"/>
      <c r="E417" s="19"/>
      <c r="F417" s="19"/>
      <c r="G417" s="113"/>
      <c r="H417" s="113"/>
      <c r="I417" s="113"/>
      <c r="J417" s="113"/>
      <c r="K417" s="113"/>
      <c r="L417" s="113"/>
      <c r="M417" s="113"/>
      <c r="N417" s="113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72"/>
      <c r="C418" s="19"/>
      <c r="D418" s="19"/>
      <c r="E418" s="19"/>
      <c r="F418" s="19"/>
      <c r="G418" s="113"/>
      <c r="H418" s="113"/>
      <c r="I418" s="113"/>
      <c r="J418" s="113"/>
      <c r="K418" s="113"/>
      <c r="L418" s="113"/>
      <c r="M418" s="113"/>
      <c r="N418" s="113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72"/>
      <c r="C419" s="19"/>
      <c r="D419" s="19"/>
      <c r="E419" s="19"/>
      <c r="F419" s="19"/>
      <c r="G419" s="113"/>
      <c r="H419" s="113"/>
      <c r="I419" s="113"/>
      <c r="J419" s="113"/>
      <c r="K419" s="113"/>
      <c r="L419" s="113"/>
      <c r="M419" s="113"/>
      <c r="N419" s="113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72"/>
      <c r="C420" s="19"/>
      <c r="D420" s="19"/>
      <c r="E420" s="19"/>
      <c r="F420" s="19"/>
      <c r="G420" s="113"/>
      <c r="H420" s="113"/>
      <c r="I420" s="113"/>
      <c r="J420" s="113"/>
      <c r="K420" s="113"/>
      <c r="L420" s="113"/>
      <c r="M420" s="113"/>
      <c r="N420" s="113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72"/>
      <c r="C421" s="19"/>
      <c r="D421" s="19"/>
      <c r="E421" s="19"/>
      <c r="F421" s="19"/>
      <c r="G421" s="113"/>
      <c r="H421" s="113"/>
      <c r="I421" s="113"/>
      <c r="J421" s="113"/>
      <c r="K421" s="113"/>
      <c r="L421" s="113"/>
      <c r="M421" s="113"/>
      <c r="N421" s="113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72"/>
      <c r="C422" s="19"/>
      <c r="D422" s="19"/>
      <c r="E422" s="19"/>
      <c r="F422" s="19"/>
      <c r="G422" s="113"/>
      <c r="H422" s="113"/>
      <c r="I422" s="113"/>
      <c r="J422" s="113"/>
      <c r="K422" s="113"/>
      <c r="L422" s="113"/>
      <c r="M422" s="113"/>
      <c r="N422" s="113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72"/>
      <c r="C423" s="19"/>
      <c r="D423" s="19"/>
      <c r="E423" s="19"/>
      <c r="F423" s="19"/>
      <c r="G423" s="113"/>
      <c r="H423" s="113"/>
      <c r="I423" s="113"/>
      <c r="J423" s="113"/>
      <c r="K423" s="113"/>
      <c r="L423" s="113"/>
      <c r="M423" s="113"/>
      <c r="N423" s="113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72"/>
      <c r="C424" s="19"/>
      <c r="D424" s="19"/>
      <c r="E424" s="19"/>
      <c r="F424" s="19"/>
      <c r="G424" s="113"/>
      <c r="H424" s="113"/>
      <c r="I424" s="113"/>
      <c r="J424" s="113"/>
      <c r="K424" s="113"/>
      <c r="L424" s="113"/>
      <c r="M424" s="113"/>
      <c r="N424" s="113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72"/>
      <c r="C425" s="19"/>
      <c r="D425" s="19"/>
      <c r="E425" s="19"/>
      <c r="F425" s="19"/>
      <c r="G425" s="113"/>
      <c r="H425" s="113"/>
      <c r="I425" s="113"/>
      <c r="J425" s="113"/>
      <c r="K425" s="113"/>
      <c r="L425" s="113"/>
      <c r="M425" s="113"/>
      <c r="N425" s="113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72"/>
      <c r="C426" s="19"/>
      <c r="D426" s="19"/>
      <c r="E426" s="19"/>
      <c r="F426" s="19"/>
      <c r="G426" s="113"/>
      <c r="H426" s="113"/>
      <c r="I426" s="113"/>
      <c r="J426" s="113"/>
      <c r="K426" s="113"/>
      <c r="L426" s="113"/>
      <c r="M426" s="113"/>
      <c r="N426" s="113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72"/>
      <c r="C427" s="19"/>
      <c r="D427" s="19"/>
      <c r="E427" s="19"/>
      <c r="F427" s="19"/>
      <c r="G427" s="113"/>
      <c r="H427" s="113"/>
      <c r="I427" s="113"/>
      <c r="J427" s="113"/>
      <c r="K427" s="113"/>
      <c r="L427" s="113"/>
      <c r="M427" s="113"/>
      <c r="N427" s="113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72"/>
      <c r="C428" s="19"/>
      <c r="D428" s="19"/>
      <c r="E428" s="19"/>
      <c r="F428" s="19"/>
      <c r="G428" s="113"/>
      <c r="H428" s="113"/>
      <c r="I428" s="113"/>
      <c r="J428" s="113"/>
      <c r="K428" s="113"/>
      <c r="L428" s="113"/>
      <c r="M428" s="113"/>
      <c r="N428" s="113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72"/>
      <c r="C429" s="19"/>
      <c r="D429" s="19"/>
      <c r="E429" s="19"/>
      <c r="F429" s="19"/>
      <c r="G429" s="113"/>
      <c r="H429" s="113"/>
      <c r="I429" s="113"/>
      <c r="J429" s="113"/>
      <c r="K429" s="113"/>
      <c r="L429" s="113"/>
      <c r="M429" s="113"/>
      <c r="N429" s="113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72"/>
      <c r="C430" s="19"/>
      <c r="D430" s="19"/>
      <c r="E430" s="19"/>
      <c r="F430" s="19"/>
      <c r="G430" s="113"/>
      <c r="H430" s="113"/>
      <c r="I430" s="113"/>
      <c r="J430" s="113"/>
      <c r="K430" s="113"/>
      <c r="L430" s="113"/>
      <c r="M430" s="113"/>
      <c r="N430" s="113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72"/>
      <c r="C431" s="19"/>
      <c r="D431" s="19"/>
      <c r="E431" s="19"/>
      <c r="F431" s="19"/>
      <c r="G431" s="113"/>
      <c r="H431" s="113"/>
      <c r="I431" s="113"/>
      <c r="J431" s="113"/>
      <c r="K431" s="113"/>
      <c r="L431" s="113"/>
      <c r="M431" s="113"/>
      <c r="N431" s="113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72"/>
      <c r="C432" s="19"/>
      <c r="D432" s="19"/>
      <c r="E432" s="19"/>
      <c r="F432" s="19"/>
      <c r="G432" s="113"/>
      <c r="H432" s="113"/>
      <c r="I432" s="113"/>
      <c r="J432" s="113"/>
      <c r="K432" s="113"/>
      <c r="L432" s="113"/>
      <c r="M432" s="113"/>
      <c r="N432" s="113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72"/>
      <c r="C433" s="19"/>
      <c r="D433" s="19"/>
      <c r="E433" s="19"/>
      <c r="F433" s="19"/>
      <c r="G433" s="113"/>
      <c r="H433" s="113"/>
      <c r="I433" s="113"/>
      <c r="J433" s="113"/>
      <c r="K433" s="113"/>
      <c r="L433" s="113"/>
      <c r="M433" s="113"/>
      <c r="N433" s="113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72"/>
      <c r="C434" s="19"/>
      <c r="D434" s="19"/>
      <c r="E434" s="19"/>
      <c r="F434" s="19"/>
      <c r="G434" s="113"/>
      <c r="H434" s="113"/>
      <c r="I434" s="113"/>
      <c r="J434" s="113"/>
      <c r="K434" s="113"/>
      <c r="L434" s="113"/>
      <c r="M434" s="113"/>
      <c r="N434" s="113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72"/>
      <c r="C435" s="19"/>
      <c r="D435" s="19"/>
      <c r="E435" s="19"/>
      <c r="F435" s="19"/>
      <c r="G435" s="113"/>
      <c r="H435" s="113"/>
      <c r="I435" s="113"/>
      <c r="J435" s="113"/>
      <c r="K435" s="113"/>
      <c r="L435" s="113"/>
      <c r="M435" s="113"/>
      <c r="N435" s="113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72"/>
      <c r="C436" s="19"/>
      <c r="D436" s="19"/>
      <c r="E436" s="19"/>
      <c r="F436" s="19"/>
      <c r="G436" s="113"/>
      <c r="H436" s="113"/>
      <c r="I436" s="113"/>
      <c r="J436" s="113"/>
      <c r="K436" s="113"/>
      <c r="L436" s="113"/>
      <c r="M436" s="113"/>
      <c r="N436" s="113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72"/>
      <c r="C437" s="19"/>
      <c r="D437" s="19"/>
      <c r="E437" s="19"/>
      <c r="F437" s="19"/>
      <c r="G437" s="113"/>
      <c r="H437" s="113"/>
      <c r="I437" s="113"/>
      <c r="J437" s="113"/>
      <c r="K437" s="113"/>
      <c r="L437" s="113"/>
      <c r="M437" s="113"/>
      <c r="N437" s="113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72"/>
      <c r="C438" s="19"/>
      <c r="D438" s="19"/>
      <c r="E438" s="19"/>
      <c r="F438" s="19"/>
      <c r="G438" s="113"/>
      <c r="H438" s="113"/>
      <c r="I438" s="113"/>
      <c r="J438" s="113"/>
      <c r="K438" s="113"/>
      <c r="L438" s="113"/>
      <c r="M438" s="113"/>
      <c r="N438" s="113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72"/>
      <c r="C439" s="19"/>
      <c r="D439" s="19"/>
      <c r="E439" s="19"/>
      <c r="F439" s="19"/>
      <c r="G439" s="113"/>
      <c r="H439" s="113"/>
      <c r="I439" s="113"/>
      <c r="J439" s="113"/>
      <c r="K439" s="113"/>
      <c r="L439" s="113"/>
      <c r="M439" s="113"/>
      <c r="N439" s="113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72"/>
      <c r="C440" s="19"/>
      <c r="D440" s="19"/>
      <c r="E440" s="19"/>
      <c r="F440" s="19"/>
      <c r="G440" s="113"/>
      <c r="H440" s="113"/>
      <c r="I440" s="113"/>
      <c r="J440" s="113"/>
      <c r="K440" s="113"/>
      <c r="L440" s="113"/>
      <c r="M440" s="113"/>
      <c r="N440" s="113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72"/>
      <c r="C441" s="19"/>
      <c r="D441" s="19"/>
      <c r="E441" s="19"/>
      <c r="F441" s="19"/>
      <c r="G441" s="113"/>
      <c r="H441" s="113"/>
      <c r="I441" s="113"/>
      <c r="J441" s="113"/>
      <c r="K441" s="113"/>
      <c r="L441" s="113"/>
      <c r="M441" s="113"/>
      <c r="N441" s="113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72"/>
      <c r="C442" s="19"/>
      <c r="D442" s="19"/>
      <c r="E442" s="19"/>
      <c r="F442" s="19"/>
      <c r="G442" s="113"/>
      <c r="H442" s="113"/>
      <c r="I442" s="113"/>
      <c r="J442" s="113"/>
      <c r="K442" s="113"/>
      <c r="L442" s="113"/>
      <c r="M442" s="113"/>
      <c r="N442" s="113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72"/>
      <c r="C443" s="19"/>
      <c r="D443" s="19"/>
      <c r="E443" s="19"/>
      <c r="F443" s="19"/>
      <c r="G443" s="113"/>
      <c r="H443" s="113"/>
      <c r="I443" s="113"/>
      <c r="J443" s="113"/>
      <c r="K443" s="113"/>
      <c r="L443" s="113"/>
      <c r="M443" s="113"/>
      <c r="N443" s="113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72"/>
      <c r="C444" s="19"/>
      <c r="D444" s="19"/>
      <c r="E444" s="19"/>
      <c r="F444" s="19"/>
      <c r="G444" s="113"/>
      <c r="H444" s="113"/>
      <c r="I444" s="113"/>
      <c r="J444" s="113"/>
      <c r="K444" s="113"/>
      <c r="L444" s="113"/>
      <c r="M444" s="113"/>
      <c r="N444" s="113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72"/>
      <c r="C445" s="19"/>
      <c r="D445" s="19"/>
      <c r="E445" s="19"/>
      <c r="F445" s="19"/>
      <c r="G445" s="113"/>
      <c r="H445" s="113"/>
      <c r="I445" s="113"/>
      <c r="J445" s="113"/>
      <c r="K445" s="113"/>
      <c r="L445" s="113"/>
      <c r="M445" s="113"/>
      <c r="N445" s="113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72"/>
      <c r="C446" s="19"/>
      <c r="D446" s="19"/>
      <c r="E446" s="19"/>
      <c r="F446" s="19"/>
      <c r="G446" s="113"/>
      <c r="H446" s="113"/>
      <c r="I446" s="113"/>
      <c r="J446" s="113"/>
      <c r="K446" s="113"/>
      <c r="L446" s="113"/>
      <c r="M446" s="113"/>
      <c r="N446" s="113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72"/>
      <c r="C447" s="19"/>
      <c r="D447" s="19"/>
      <c r="E447" s="19"/>
      <c r="F447" s="19"/>
      <c r="G447" s="113"/>
      <c r="H447" s="113"/>
      <c r="I447" s="113"/>
      <c r="J447" s="113"/>
      <c r="K447" s="113"/>
      <c r="L447" s="113"/>
      <c r="M447" s="113"/>
      <c r="N447" s="113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72"/>
      <c r="C448" s="19"/>
      <c r="D448" s="19"/>
      <c r="E448" s="19"/>
      <c r="F448" s="19"/>
      <c r="G448" s="113"/>
      <c r="H448" s="113"/>
      <c r="I448" s="113"/>
      <c r="J448" s="113"/>
      <c r="K448" s="113"/>
      <c r="L448" s="113"/>
      <c r="M448" s="113"/>
      <c r="N448" s="113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72"/>
      <c r="C449" s="19"/>
      <c r="D449" s="19"/>
      <c r="E449" s="19"/>
      <c r="F449" s="19"/>
      <c r="G449" s="113"/>
      <c r="H449" s="113"/>
      <c r="I449" s="113"/>
      <c r="J449" s="113"/>
      <c r="K449" s="113"/>
      <c r="L449" s="113"/>
      <c r="M449" s="113"/>
      <c r="N449" s="113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72"/>
      <c r="C450" s="19"/>
      <c r="D450" s="19"/>
      <c r="E450" s="19"/>
      <c r="F450" s="19"/>
      <c r="G450" s="113"/>
      <c r="H450" s="113"/>
      <c r="I450" s="113"/>
      <c r="J450" s="113"/>
      <c r="K450" s="113"/>
      <c r="L450" s="113"/>
      <c r="M450" s="113"/>
      <c r="N450" s="113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72"/>
      <c r="C451" s="19"/>
      <c r="D451" s="19"/>
      <c r="E451" s="19"/>
      <c r="F451" s="19"/>
      <c r="G451" s="113"/>
      <c r="H451" s="113"/>
      <c r="I451" s="113"/>
      <c r="J451" s="113"/>
      <c r="K451" s="113"/>
      <c r="L451" s="113"/>
      <c r="M451" s="113"/>
      <c r="N451" s="113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72"/>
      <c r="C452" s="19"/>
      <c r="D452" s="19"/>
      <c r="E452" s="19"/>
      <c r="F452" s="19"/>
      <c r="G452" s="113"/>
      <c r="H452" s="113"/>
      <c r="I452" s="113"/>
      <c r="J452" s="113"/>
      <c r="K452" s="113"/>
      <c r="L452" s="113"/>
      <c r="M452" s="113"/>
      <c r="N452" s="113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72"/>
      <c r="C453" s="19"/>
      <c r="D453" s="19"/>
      <c r="E453" s="19"/>
      <c r="F453" s="19"/>
      <c r="G453" s="113"/>
      <c r="H453" s="113"/>
      <c r="I453" s="113"/>
      <c r="J453" s="113"/>
      <c r="K453" s="113"/>
      <c r="L453" s="113"/>
      <c r="M453" s="113"/>
      <c r="N453" s="113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72"/>
      <c r="C454" s="19"/>
      <c r="D454" s="19"/>
      <c r="E454" s="19"/>
      <c r="F454" s="19"/>
      <c r="G454" s="113"/>
      <c r="H454" s="113"/>
      <c r="I454" s="113"/>
      <c r="J454" s="113"/>
      <c r="K454" s="113"/>
      <c r="L454" s="113"/>
      <c r="M454" s="113"/>
      <c r="N454" s="113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72"/>
      <c r="C455" s="19"/>
      <c r="D455" s="19"/>
      <c r="E455" s="19"/>
      <c r="F455" s="19"/>
      <c r="G455" s="113"/>
      <c r="H455" s="113"/>
      <c r="I455" s="113"/>
      <c r="J455" s="113"/>
      <c r="K455" s="113"/>
      <c r="L455" s="113"/>
      <c r="M455" s="113"/>
      <c r="N455" s="113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72"/>
      <c r="C456" s="19"/>
      <c r="D456" s="19"/>
      <c r="E456" s="19"/>
      <c r="F456" s="19"/>
      <c r="G456" s="113"/>
      <c r="H456" s="113"/>
      <c r="I456" s="113"/>
      <c r="J456" s="113"/>
      <c r="K456" s="113"/>
      <c r="L456" s="113"/>
      <c r="M456" s="113"/>
      <c r="N456" s="113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72"/>
      <c r="C457" s="19"/>
      <c r="D457" s="19"/>
      <c r="E457" s="19"/>
      <c r="F457" s="19"/>
      <c r="G457" s="113"/>
      <c r="H457" s="113"/>
      <c r="I457" s="113"/>
      <c r="J457" s="113"/>
      <c r="K457" s="113"/>
      <c r="L457" s="113"/>
      <c r="M457" s="113"/>
      <c r="N457" s="113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72"/>
      <c r="C458" s="19"/>
      <c r="D458" s="19"/>
      <c r="E458" s="19"/>
      <c r="F458" s="19"/>
      <c r="G458" s="113"/>
      <c r="H458" s="113"/>
      <c r="I458" s="113"/>
      <c r="J458" s="113"/>
      <c r="K458" s="113"/>
      <c r="L458" s="113"/>
      <c r="M458" s="113"/>
      <c r="N458" s="113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72"/>
      <c r="C459" s="19"/>
      <c r="D459" s="19"/>
      <c r="E459" s="19"/>
      <c r="F459" s="19"/>
      <c r="G459" s="113"/>
      <c r="H459" s="113"/>
      <c r="I459" s="113"/>
      <c r="J459" s="113"/>
      <c r="K459" s="113"/>
      <c r="L459" s="113"/>
      <c r="M459" s="113"/>
      <c r="N459" s="113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72"/>
      <c r="C460" s="19"/>
      <c r="D460" s="19"/>
      <c r="E460" s="19"/>
      <c r="F460" s="19"/>
      <c r="G460" s="113"/>
      <c r="H460" s="113"/>
      <c r="I460" s="113"/>
      <c r="J460" s="113"/>
      <c r="K460" s="113"/>
      <c r="L460" s="113"/>
      <c r="M460" s="113"/>
      <c r="N460" s="113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72"/>
      <c r="C461" s="19"/>
      <c r="D461" s="19"/>
      <c r="E461" s="19"/>
      <c r="F461" s="19"/>
      <c r="G461" s="113"/>
      <c r="H461" s="113"/>
      <c r="I461" s="113"/>
      <c r="J461" s="113"/>
      <c r="K461" s="113"/>
      <c r="L461" s="113"/>
      <c r="M461" s="113"/>
      <c r="N461" s="113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</sheetData>
  <dataValidations>
    <dataValidation type="list" allowBlank="1" sqref="D21 D95">
      <formula1>Menu!$B$20:$B$23</formula1>
    </dataValidation>
    <dataValidation type="list" allowBlank="1" sqref="F20:F21 F41:F42 F50:F51 F54:F55 F57:F58 F76 F106">
      <formula1>Menu!$B$74:$B$81</formula1>
    </dataValidation>
    <dataValidation type="list" allowBlank="1" sqref="F120:F123">
      <formula1>#REF!</formula1>
    </dataValidation>
    <dataValidation type="list" allowBlank="1" sqref="E5 E8 E12 E17 E20:E21 E39 E41:E43 E50:E51 E54:E55 E57:E58 E65 E72 E76 E78:E79 E82 K95 E106:E107">
      <formula1>Menu!$B$36:$B$60</formula1>
    </dataValidation>
    <dataValidation type="list" allowBlank="1" sqref="D44 D120:D123">
      <formula1>#REF!</formula1>
    </dataValidation>
    <dataValidation type="list" allowBlank="1" sqref="F6 F8 F33 F39 F79 F81:F82">
      <formula1>Menu!$B$74:$B$84</formula1>
    </dataValidation>
    <dataValidation type="list" allowBlank="1" sqref="C5:C7 C9:C11 C13:C19 C22:C24 C26:C31 C34:C35 C37:C38 C40 C42:C43 C45:C58 C60:C63 C65:C76 C78 C80:C81 C83:C90 I95 C95:C99 C106:C109 C133">
      <formula1>Menu!$B$2:$B$16</formula1>
    </dataValidation>
    <dataValidation type="list" allowBlank="1" sqref="F5 F7 F9:F19 F22:F32 F34:F38 F40 F43 F45:F49 F52:F53 F56 F60:F75 F77:F78 F80 F83:F93 F95 L95 F98 F107:F108 F133">
      <formula1>Menu!$B$74:$B$86</formula1>
    </dataValidation>
    <dataValidation type="list" allowBlank="1" sqref="E6:E7 E9:E10 E13:E16 E18:E19 E22:E24 E28:E29 E31 E34:E35 E37:E38 E40 E45:E49 E52:E53 E56 E60:E64 E66:E67 E69:E71 E73:E75 E80:E81 E83:E90 E95:E99 E108:E109 E133">
      <formula1>Menu!$B$36:$B$60</formula1>
    </dataValidation>
    <dataValidation type="list" allowBlank="1" sqref="C8 C12 C20:C21 C25 C32:C33 C36 C39 C41 C64 C77 C79 C82">
      <formula1>Menu!$B$2:$B$15</formula1>
    </dataValidation>
    <dataValidation type="list" allowBlank="1" sqref="D41:D42 D50:D51 D54:D55 D57:D58 D106">
      <formula1>Menu!$B$20:$B$28</formula1>
    </dataValidation>
    <dataValidation type="list" allowBlank="1" sqref="C44 C120:C123">
      <formula1>#REF!</formula1>
    </dataValidation>
    <dataValidation type="list" allowBlank="1" sqref="D8 D11 D25:D27 D29:D30 D32:D33 D36 D39 D64:D65 D68 D77 D79 D107">
      <formula1>Menu!$B$20:$B$27</formula1>
    </dataValidation>
    <dataValidation type="list" allowBlank="1" sqref="D5:D7 D9:D10 D12:D20 D22:D24 D28 D31 D34:D35 D37:D38 D40 D43 D45:D49 D52:D53 D56 D60:D63 D66:D67 D69:D76 D78 D80:D90 J95 D96:D99 D108:D109 D133">
      <formula1>Menu!$B$17:$B$27</formula1>
    </dataValidation>
    <dataValidation type="list" allowBlank="1" sqref="H5:H89">
      <formula1>Menu!$A$1</formula1>
    </dataValidation>
    <dataValidation type="list" allowBlank="1" sqref="E44 E120:E123">
      <formula1>#REF!</formula1>
    </dataValidation>
    <dataValidation type="list" allowBlank="1" sqref="F44">
      <formula1>#REF!</formula1>
    </dataValidation>
    <dataValidation type="list" allowBlank="1" sqref="E11 E25:E27 E30 E32:E33 E36 E68 E77">
      <formula1>Menu!$B$36:$B$61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6.13"/>
    <col customWidth="1" min="3" max="3" width="14.63"/>
    <col customWidth="1" min="4" max="4" width="16.5"/>
    <col customWidth="1" min="5" max="5" width="17.88"/>
    <col customWidth="1" min="6" max="6" width="16.75"/>
    <col customWidth="1" min="7" max="7" width="20.5"/>
    <col customWidth="1" min="9" max="9" width="13.38"/>
    <col customWidth="1" min="10" max="10" width="5.25"/>
    <col customWidth="1" min="13" max="13" width="10.5"/>
  </cols>
  <sheetData>
    <row r="1" ht="30.0" customHeight="1">
      <c r="A1" s="9" t="s">
        <v>2</v>
      </c>
      <c r="B1" s="9"/>
      <c r="C1" s="9"/>
      <c r="D1" s="9"/>
      <c r="E1" s="9"/>
      <c r="F1" s="9"/>
      <c r="G1" s="111"/>
      <c r="H1" s="111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4"/>
      <c r="T1" s="114"/>
      <c r="U1" s="114"/>
      <c r="V1" s="114"/>
      <c r="W1" s="114"/>
      <c r="X1" s="114"/>
      <c r="Y1" s="114"/>
    </row>
    <row r="2" ht="30.0" customHeight="1">
      <c r="A2" s="115" t="s">
        <v>40</v>
      </c>
      <c r="B2" s="116"/>
      <c r="C2" s="116"/>
      <c r="D2" s="9"/>
      <c r="E2" s="9"/>
      <c r="F2" s="9"/>
      <c r="G2" s="111"/>
      <c r="H2" s="111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4"/>
      <c r="T2" s="114"/>
      <c r="U2" s="114"/>
      <c r="V2" s="114"/>
      <c r="W2" s="114"/>
      <c r="X2" s="114"/>
      <c r="Y2" s="114"/>
    </row>
    <row r="3" ht="30.0" customHeight="1">
      <c r="A3" s="24" t="s">
        <v>28</v>
      </c>
      <c r="B3" s="6"/>
      <c r="C3" s="6"/>
      <c r="D3" s="6"/>
      <c r="E3" s="6"/>
      <c r="F3" s="6"/>
      <c r="G3" s="111"/>
      <c r="H3" s="111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4"/>
      <c r="T3" s="114"/>
      <c r="U3" s="114"/>
      <c r="V3" s="114"/>
      <c r="W3" s="114"/>
      <c r="X3" s="114"/>
      <c r="Y3" s="114"/>
    </row>
    <row r="4" ht="30.0" customHeight="1">
      <c r="A4" s="29" t="s">
        <v>38</v>
      </c>
      <c r="B4" s="29"/>
      <c r="C4" s="29" t="s">
        <v>50</v>
      </c>
      <c r="D4" s="120" t="s">
        <v>42</v>
      </c>
      <c r="E4" s="30" t="s">
        <v>45</v>
      </c>
      <c r="F4" s="30" t="s">
        <v>53</v>
      </c>
      <c r="G4" s="121"/>
      <c r="H4" s="122"/>
      <c r="I4" s="123" t="str">
        <f>IFERROR(__xludf.DUMMYFUNCTION("QUERY(A5:H81, ""Select C, count(A), H group by C, H order by H"")"),"")</f>
        <v/>
      </c>
      <c r="J4" s="112" t="str">
        <f>IFERROR(__xludf.DUMMYFUNCTION("""COMPUTED_VALUE"""),"count ")</f>
        <v>count </v>
      </c>
      <c r="K4" s="112" t="str">
        <f>IFERROR(__xludf.DUMMYFUNCTION("""COMPUTED_VALUE"""),"")</f>
        <v/>
      </c>
      <c r="L4" s="123" t="str">
        <f>IFERROR(__xludf.DUMMYFUNCTION("QUERY(A5:H81, ""Select D, count(A), H group by D, H order by H"")"),"")</f>
        <v/>
      </c>
      <c r="M4" s="112" t="str">
        <f>IFERROR(__xludf.DUMMYFUNCTION("""COMPUTED_VALUE"""),"count ")</f>
        <v>count </v>
      </c>
      <c r="N4" s="112" t="str">
        <f>IFERROR(__xludf.DUMMYFUNCTION("""COMPUTED_VALUE"""),"")</f>
        <v/>
      </c>
      <c r="O4" s="123"/>
      <c r="P4" s="112"/>
      <c r="Q4" s="112"/>
      <c r="R4" s="112"/>
      <c r="S4" s="114"/>
      <c r="T4" s="114"/>
      <c r="U4" s="114"/>
      <c r="V4" s="114"/>
      <c r="W4" s="114"/>
      <c r="X4" s="114"/>
      <c r="Y4" s="114"/>
    </row>
    <row r="5" ht="30.0" customHeight="1">
      <c r="A5" s="43" t="s">
        <v>351</v>
      </c>
      <c r="B5" s="43">
        <v>1.0</v>
      </c>
      <c r="C5" s="47" t="s">
        <v>32</v>
      </c>
      <c r="D5" s="47" t="s">
        <v>65</v>
      </c>
      <c r="E5" s="47" t="s">
        <v>191</v>
      </c>
      <c r="G5" s="121" t="str">
        <f t="shared" ref="G5:G37" si="1"> CONCATENATE(E5," ", F5)</f>
        <v>крылья </v>
      </c>
      <c r="H5" s="128" t="s">
        <v>1</v>
      </c>
      <c r="I5" s="112"/>
      <c r="J5" s="112">
        <f>IFERROR(__xludf.DUMMYFUNCTION("""COMPUTED_VALUE"""),0.0)</f>
        <v>0</v>
      </c>
      <c r="K5" s="112"/>
      <c r="L5" s="112"/>
      <c r="M5" s="112">
        <f>IFERROR(__xludf.DUMMYFUNCTION("""COMPUTED_VALUE"""),0.0)</f>
        <v>0</v>
      </c>
      <c r="N5" s="112"/>
      <c r="O5" s="112"/>
      <c r="P5" s="112"/>
      <c r="Q5" s="112"/>
      <c r="R5" s="112"/>
      <c r="S5" s="114"/>
      <c r="T5" s="114"/>
      <c r="U5" s="114"/>
      <c r="V5" s="114"/>
      <c r="W5" s="114"/>
      <c r="X5" s="114"/>
      <c r="Y5" s="114"/>
    </row>
    <row r="6" ht="30.0" customHeight="1">
      <c r="A6" s="43" t="s">
        <v>58</v>
      </c>
      <c r="B6" s="43">
        <v>2.0</v>
      </c>
      <c r="C6" s="47" t="s">
        <v>12</v>
      </c>
      <c r="D6" s="47" t="s">
        <v>65</v>
      </c>
      <c r="E6" s="47" t="s">
        <v>126</v>
      </c>
      <c r="F6" s="129" t="s">
        <v>80</v>
      </c>
      <c r="G6" s="121" t="str">
        <f t="shared" si="1"/>
        <v>S   Гр  </v>
      </c>
      <c r="H6" s="128" t="s">
        <v>1</v>
      </c>
      <c r="I6" s="112" t="str">
        <f>IFERROR(__xludf.DUMMYFUNCTION("""COMPUTED_VALUE"""),"Весна")</f>
        <v>Весна</v>
      </c>
      <c r="J6" s="112">
        <f>IFERROR(__xludf.DUMMYFUNCTION("""COMPUTED_VALUE"""),2.0)</f>
        <v>2</v>
      </c>
      <c r="K6" s="112" t="str">
        <f>IFERROR(__xludf.DUMMYFUNCTION("""COMPUTED_VALUE"""),"Олимп")</f>
        <v>Олимп</v>
      </c>
      <c r="L6" s="112"/>
      <c r="M6" s="112">
        <f>IFERROR(__xludf.DUMMYFUNCTION("""COMPUTED_VALUE"""),2.0)</f>
        <v>2</v>
      </c>
      <c r="N6" s="112" t="str">
        <f>IFERROR(__xludf.DUMMYFUNCTION("""COMPUTED_VALUE"""),"Олимп")</f>
        <v>Олимп</v>
      </c>
      <c r="O6" s="112"/>
      <c r="P6" s="112"/>
      <c r="Q6" s="112"/>
      <c r="R6" s="112"/>
      <c r="S6" s="114"/>
      <c r="T6" s="114"/>
      <c r="U6" s="114"/>
      <c r="V6" s="114"/>
      <c r="W6" s="114"/>
      <c r="X6" s="114"/>
      <c r="Y6" s="114"/>
    </row>
    <row r="7" ht="30.0" customHeight="1">
      <c r="A7" s="43" t="s">
        <v>74</v>
      </c>
      <c r="B7" s="43">
        <v>3.0</v>
      </c>
      <c r="C7" s="47" t="s">
        <v>57</v>
      </c>
      <c r="D7" s="47" t="s">
        <v>105</v>
      </c>
      <c r="E7" s="47" t="s">
        <v>173</v>
      </c>
      <c r="F7" s="129" t="s">
        <v>276</v>
      </c>
      <c r="G7" s="121" t="str">
        <f t="shared" si="1"/>
        <v>Дорадо Фасоль</v>
      </c>
      <c r="H7" s="128" t="s">
        <v>1</v>
      </c>
      <c r="I7" s="112" t="str">
        <f>IFERROR(__xludf.DUMMYFUNCTION("""COMPUTED_VALUE"""),"Вин")</f>
        <v>Вин</v>
      </c>
      <c r="J7" s="112">
        <f>IFERROR(__xludf.DUMMYFUNCTION("""COMPUTED_VALUE"""),16.0)</f>
        <v>16</v>
      </c>
      <c r="K7" s="112" t="str">
        <f>IFERROR(__xludf.DUMMYFUNCTION("""COMPUTED_VALUE"""),"Олимп")</f>
        <v>Олимп</v>
      </c>
      <c r="L7" s="112" t="str">
        <f>IFERROR(__xludf.DUMMYFUNCTION("""COMPUTED_VALUE"""),"3.Б")</f>
        <v>3.Б</v>
      </c>
      <c r="M7" s="112">
        <f>IFERROR(__xludf.DUMMYFUNCTION("""COMPUTED_VALUE"""),9.0)</f>
        <v>9</v>
      </c>
      <c r="N7" s="112" t="str">
        <f>IFERROR(__xludf.DUMMYFUNCTION("""COMPUTED_VALUE"""),"Олимп")</f>
        <v>Олимп</v>
      </c>
      <c r="O7" s="112"/>
      <c r="P7" s="112"/>
      <c r="Q7" s="112"/>
      <c r="R7" s="112"/>
      <c r="S7" s="114"/>
      <c r="T7" s="114"/>
      <c r="U7" s="114"/>
      <c r="V7" s="114"/>
      <c r="W7" s="114"/>
      <c r="X7" s="114"/>
      <c r="Y7" s="114"/>
    </row>
    <row r="8" ht="30.0" customHeight="1">
      <c r="A8" s="43" t="s">
        <v>91</v>
      </c>
      <c r="B8" s="43">
        <v>4.0</v>
      </c>
      <c r="C8" s="47" t="s">
        <v>5</v>
      </c>
      <c r="D8" s="129" t="s">
        <v>87</v>
      </c>
      <c r="E8" s="129" t="s">
        <v>67</v>
      </c>
      <c r="F8" s="47" t="s">
        <v>127</v>
      </c>
      <c r="G8" s="121" t="str">
        <f t="shared" si="1"/>
        <v>Баса MP </v>
      </c>
      <c r="H8" s="128" t="s">
        <v>1</v>
      </c>
      <c r="I8" s="112" t="str">
        <f>IFERROR(__xludf.DUMMYFUNCTION("""COMPUTED_VALUE"""),"Днестр")</f>
        <v>Днестр</v>
      </c>
      <c r="J8" s="112">
        <f>IFERROR(__xludf.DUMMYFUNCTION("""COMPUTED_VALUE"""),7.0)</f>
        <v>7</v>
      </c>
      <c r="K8" s="112" t="str">
        <f>IFERROR(__xludf.DUMMYFUNCTION("""COMPUTED_VALUE"""),"Олимп")</f>
        <v>Олимп</v>
      </c>
      <c r="L8" s="112" t="str">
        <f>IFERROR(__xludf.DUMMYFUNCTION("""COMPUTED_VALUE"""),"Б ")</f>
        <v>Б </v>
      </c>
      <c r="M8" s="112">
        <f>IFERROR(__xludf.DUMMYFUNCTION("""COMPUTED_VALUE"""),16.0)</f>
        <v>16</v>
      </c>
      <c r="N8" s="112" t="str">
        <f>IFERROR(__xludf.DUMMYFUNCTION("""COMPUTED_VALUE"""),"Олимп")</f>
        <v>Олимп</v>
      </c>
      <c r="O8" s="112"/>
      <c r="P8" s="112"/>
      <c r="Q8" s="112"/>
      <c r="R8" s="112"/>
      <c r="S8" s="114"/>
      <c r="T8" s="114"/>
      <c r="U8" s="114"/>
      <c r="V8" s="114"/>
      <c r="W8" s="114"/>
      <c r="X8" s="114"/>
      <c r="Y8" s="114"/>
    </row>
    <row r="9" ht="30.0" customHeight="1">
      <c r="A9" s="43" t="s">
        <v>119</v>
      </c>
      <c r="B9" s="43">
        <v>5.0</v>
      </c>
      <c r="C9" s="47" t="s">
        <v>57</v>
      </c>
      <c r="D9" s="47" t="s">
        <v>117</v>
      </c>
      <c r="E9" s="47" t="s">
        <v>67</v>
      </c>
      <c r="F9" s="47" t="s">
        <v>122</v>
      </c>
      <c r="G9" s="121" t="str">
        <f t="shared" si="1"/>
        <v>Баса Туш. кап.</v>
      </c>
      <c r="H9" s="128" t="s">
        <v>1</v>
      </c>
      <c r="I9" s="112" t="str">
        <f>IFERROR(__xludf.DUMMYFUNCTION("""COMPUTED_VALUE"""),"Ол ")</f>
        <v>Ол </v>
      </c>
      <c r="J9" s="112">
        <f>IFERROR(__xludf.DUMMYFUNCTION("""COMPUTED_VALUE"""),5.0)</f>
        <v>5</v>
      </c>
      <c r="K9" s="112" t="str">
        <f>IFERROR(__xludf.DUMMYFUNCTION("""COMPUTED_VALUE"""),"Олимп")</f>
        <v>Олимп</v>
      </c>
      <c r="L9" s="112" t="str">
        <f>IFERROR(__xludf.DUMMYFUNCTION("""COMPUTED_VALUE"""),"Горох")</f>
        <v>Горох</v>
      </c>
      <c r="M9" s="112">
        <f>IFERROR(__xludf.DUMMYFUNCTION("""COMPUTED_VALUE"""),12.0)</f>
        <v>12</v>
      </c>
      <c r="N9" s="112" t="str">
        <f>IFERROR(__xludf.DUMMYFUNCTION("""COMPUTED_VALUE"""),"Олимп")</f>
        <v>Олимп</v>
      </c>
      <c r="O9" s="112"/>
      <c r="P9" s="112"/>
      <c r="Q9" s="112"/>
      <c r="R9" s="112"/>
      <c r="S9" s="114"/>
      <c r="T9" s="114"/>
      <c r="U9" s="114"/>
      <c r="V9" s="114"/>
      <c r="W9" s="114"/>
      <c r="X9" s="114"/>
      <c r="Y9" s="114"/>
    </row>
    <row r="10" ht="30.0" customHeight="1">
      <c r="A10" s="43" t="s">
        <v>125</v>
      </c>
      <c r="B10" s="43">
        <v>6.0</v>
      </c>
      <c r="C10" s="47" t="s">
        <v>16</v>
      </c>
      <c r="D10" s="47" t="s">
        <v>78</v>
      </c>
      <c r="E10" s="47" t="s">
        <v>173</v>
      </c>
      <c r="F10" s="47" t="s">
        <v>98</v>
      </c>
      <c r="G10" s="121" t="str">
        <f t="shared" si="1"/>
        <v>Дорадо Картошка</v>
      </c>
      <c r="H10" s="128" t="s">
        <v>1</v>
      </c>
      <c r="I10" s="112" t="str">
        <f>IFERROR(__xludf.DUMMYFUNCTION("""COMPUTED_VALUE"""),"Сало")</f>
        <v>Сало</v>
      </c>
      <c r="J10" s="112">
        <f>IFERROR(__xludf.DUMMYFUNCTION("""COMPUTED_VALUE"""),8.0)</f>
        <v>8</v>
      </c>
      <c r="K10" s="112" t="str">
        <f>IFERROR(__xludf.DUMMYFUNCTION("""COMPUTED_VALUE"""),"Олимп")</f>
        <v>Олимп</v>
      </c>
      <c r="L10" s="112" t="str">
        <f>IFERROR(__xludf.DUMMYFUNCTION("""COMPUTED_VALUE"""),"Гриб")</f>
        <v>Гриб</v>
      </c>
      <c r="M10" s="112">
        <f>IFERROR(__xludf.DUMMYFUNCTION("""COMPUTED_VALUE"""),5.0)</f>
        <v>5</v>
      </c>
      <c r="N10" s="112" t="str">
        <f>IFERROR(__xludf.DUMMYFUNCTION("""COMPUTED_VALUE"""),"Олимп")</f>
        <v>Олимп</v>
      </c>
      <c r="O10" s="112"/>
      <c r="P10" s="112"/>
      <c r="Q10" s="112"/>
      <c r="R10" s="112"/>
      <c r="S10" s="114"/>
      <c r="T10" s="114"/>
      <c r="U10" s="114"/>
      <c r="V10" s="114"/>
      <c r="W10" s="114"/>
      <c r="X10" s="114"/>
      <c r="Y10" s="114"/>
    </row>
    <row r="11" ht="30.0" customHeight="1">
      <c r="A11" s="43" t="s">
        <v>153</v>
      </c>
      <c r="B11" s="43">
        <v>7.0</v>
      </c>
      <c r="C11" s="47" t="s">
        <v>57</v>
      </c>
      <c r="D11" s="47" t="s">
        <v>65</v>
      </c>
      <c r="E11" s="47" t="s">
        <v>161</v>
      </c>
      <c r="F11" s="47" t="s">
        <v>127</v>
      </c>
      <c r="G11" s="121" t="str">
        <f t="shared" si="1"/>
        <v>Вар.Кар MP </v>
      </c>
      <c r="H11" s="128" t="s">
        <v>1</v>
      </c>
      <c r="I11" s="112" t="str">
        <f>IFERROR(__xludf.DUMMYFUNCTION("""COMPUTED_VALUE"""),"Свкл")</f>
        <v>Свкл</v>
      </c>
      <c r="J11" s="112">
        <f>IFERROR(__xludf.DUMMYFUNCTION("""COMPUTED_VALUE"""),15.0)</f>
        <v>15</v>
      </c>
      <c r="K11" s="112" t="str">
        <f>IFERROR(__xludf.DUMMYFUNCTION("""COMPUTED_VALUE"""),"Олимп")</f>
        <v>Олимп</v>
      </c>
      <c r="L11" s="112" t="str">
        <f>IFERROR(__xludf.DUMMYFUNCTION("""COMPUTED_VALUE"""),"Кур ")</f>
        <v>Кур </v>
      </c>
      <c r="M11" s="112">
        <f>IFERROR(__xludf.DUMMYFUNCTION("""COMPUTED_VALUE"""),17.0)</f>
        <v>17</v>
      </c>
      <c r="N11" s="112" t="str">
        <f>IFERROR(__xludf.DUMMYFUNCTION("""COMPUTED_VALUE"""),"Олимп")</f>
        <v>Олимп</v>
      </c>
      <c r="O11" s="112"/>
      <c r="P11" s="112"/>
      <c r="Q11" s="112"/>
      <c r="R11" s="112"/>
      <c r="S11" s="114"/>
      <c r="T11" s="114"/>
      <c r="U11" s="114"/>
      <c r="V11" s="114"/>
      <c r="W11" s="114"/>
      <c r="X11" s="114"/>
      <c r="Y11" s="114"/>
    </row>
    <row r="12" ht="30.0" customHeight="1">
      <c r="A12" s="43" t="s">
        <v>160</v>
      </c>
      <c r="B12" s="43">
        <v>8.0</v>
      </c>
      <c r="C12" s="47" t="s">
        <v>5</v>
      </c>
      <c r="D12" s="47" t="s">
        <v>65</v>
      </c>
      <c r="E12" s="47" t="s">
        <v>126</v>
      </c>
      <c r="F12" s="47" t="s">
        <v>113</v>
      </c>
      <c r="G12" s="121" t="str">
        <f t="shared" si="1"/>
        <v>S    FF</v>
      </c>
      <c r="H12" s="128" t="s">
        <v>1</v>
      </c>
      <c r="I12" s="112" t="str">
        <f>IFERROR(__xludf.DUMMYFUNCTION("""COMPUTED_VALUE"""),"Селедка")</f>
        <v>Селедка</v>
      </c>
      <c r="J12" s="112">
        <f>IFERROR(__xludf.DUMMYFUNCTION("""COMPUTED_VALUE"""),4.0)</f>
        <v>4</v>
      </c>
      <c r="K12" s="112" t="str">
        <f>IFERROR(__xludf.DUMMYFUNCTION("""COMPUTED_VALUE"""),"Олимп")</f>
        <v>Олимп</v>
      </c>
      <c r="L12" s="112" t="str">
        <f>IFERROR(__xludf.DUMMYFUNCTION("""COMPUTED_VALUE"""),"Овощ")</f>
        <v>Овощ</v>
      </c>
      <c r="M12" s="112">
        <f>IFERROR(__xludf.DUMMYFUNCTION("""COMPUTED_VALUE"""),4.0)</f>
        <v>4</v>
      </c>
      <c r="N12" s="112" t="str">
        <f>IFERROR(__xludf.DUMMYFUNCTION("""COMPUTED_VALUE"""),"Олимп")</f>
        <v>Олимп</v>
      </c>
      <c r="O12" s="112"/>
      <c r="P12" s="112"/>
      <c r="Q12" s="112"/>
      <c r="R12" s="112"/>
      <c r="S12" s="114"/>
      <c r="T12" s="114"/>
      <c r="U12" s="114"/>
      <c r="V12" s="114"/>
      <c r="W12" s="114"/>
      <c r="X12" s="114"/>
      <c r="Y12" s="114"/>
    </row>
    <row r="13" ht="30.0" customHeight="1">
      <c r="A13" s="43" t="s">
        <v>168</v>
      </c>
      <c r="B13" s="43">
        <v>9.0</v>
      </c>
      <c r="C13" s="47" t="s">
        <v>23</v>
      </c>
      <c r="D13" s="47" t="s">
        <v>87</v>
      </c>
      <c r="E13" s="47" t="s">
        <v>165</v>
      </c>
      <c r="F13" s="47" t="s">
        <v>122</v>
      </c>
      <c r="G13" s="121" t="str">
        <f t="shared" si="1"/>
        <v>Пельмени Туш. кап.</v>
      </c>
      <c r="H13" s="128" t="s">
        <v>1</v>
      </c>
      <c r="I13" s="112" t="str">
        <f>IFERROR(__xludf.DUMMYFUNCTION("""COMPUTED_VALUE"""),"баклаж")</f>
        <v>баклаж</v>
      </c>
      <c r="J13" s="112">
        <f>IFERROR(__xludf.DUMMYFUNCTION("""COMPUTED_VALUE"""),6.0)</f>
        <v>6</v>
      </c>
      <c r="K13" s="112" t="str">
        <f>IFERROR(__xludf.DUMMYFUNCTION("""COMPUTED_VALUE"""),"Олимп")</f>
        <v>Олимп</v>
      </c>
      <c r="L13" s="112" t="str">
        <f>IFERROR(__xludf.DUMMYFUNCTION("""COMPUTED_VALUE"""),"Харчо ")</f>
        <v>Харчо </v>
      </c>
      <c r="M13" s="112">
        <f>IFERROR(__xludf.DUMMYFUNCTION("""COMPUTED_VALUE"""),7.0)</f>
        <v>7</v>
      </c>
      <c r="N13" s="112" t="str">
        <f>IFERROR(__xludf.DUMMYFUNCTION("""COMPUTED_VALUE"""),"Олимп")</f>
        <v>Олимп</v>
      </c>
      <c r="O13" s="112"/>
      <c r="P13" s="112"/>
      <c r="Q13" s="112"/>
      <c r="R13" s="112"/>
      <c r="S13" s="114"/>
      <c r="T13" s="114"/>
      <c r="U13" s="114"/>
      <c r="V13" s="114"/>
      <c r="W13" s="114"/>
      <c r="X13" s="114"/>
      <c r="Y13" s="114"/>
    </row>
    <row r="14" ht="30.0" customHeight="1">
      <c r="A14" s="55" t="s">
        <v>175</v>
      </c>
      <c r="B14" s="43">
        <v>10.0</v>
      </c>
      <c r="C14" s="47" t="s">
        <v>32</v>
      </c>
      <c r="D14" s="47" t="s">
        <v>87</v>
      </c>
      <c r="E14" s="47" t="s">
        <v>173</v>
      </c>
      <c r="F14" s="47" t="s">
        <v>80</v>
      </c>
      <c r="G14" s="121" t="str">
        <f t="shared" si="1"/>
        <v>Дорадо Гр  </v>
      </c>
      <c r="H14" s="128" t="s">
        <v>1</v>
      </c>
      <c r="I14" s="112" t="str">
        <f>IFERROR(__xludf.DUMMYFUNCTION("""COMPUTED_VALUE"""),"капуста")</f>
        <v>капуста</v>
      </c>
      <c r="J14" s="112">
        <f>IFERROR(__xludf.DUMMYFUNCTION("""COMPUTED_VALUE"""),9.0)</f>
        <v>9</v>
      </c>
      <c r="K14" s="112" t="str">
        <f>IFERROR(__xludf.DUMMYFUNCTION("""COMPUTED_VALUE"""),"Олимп")</f>
        <v>Олимп</v>
      </c>
      <c r="L14" s="112"/>
      <c r="M14" s="112"/>
      <c r="N14" s="112"/>
      <c r="O14" s="112"/>
      <c r="P14" s="112"/>
      <c r="Q14" s="112"/>
      <c r="R14" s="112"/>
      <c r="S14" s="114"/>
      <c r="T14" s="114"/>
      <c r="U14" s="114"/>
      <c r="V14" s="114"/>
      <c r="W14" s="114"/>
      <c r="X14" s="114"/>
      <c r="Y14" s="114"/>
    </row>
    <row r="15" ht="30.0" customHeight="1">
      <c r="A15" s="43" t="s">
        <v>158</v>
      </c>
      <c r="B15" s="43">
        <v>11.0</v>
      </c>
      <c r="C15" s="47" t="s">
        <v>32</v>
      </c>
      <c r="D15" s="47" t="s">
        <v>105</v>
      </c>
      <c r="E15" s="47" t="s">
        <v>126</v>
      </c>
      <c r="F15" s="47" t="s">
        <v>98</v>
      </c>
      <c r="G15" s="121" t="str">
        <f t="shared" si="1"/>
        <v>S   Картошка</v>
      </c>
      <c r="H15" s="128" t="s">
        <v>1</v>
      </c>
      <c r="I15" s="112"/>
      <c r="J15" s="112"/>
      <c r="K15" s="112"/>
      <c r="L15" s="112"/>
      <c r="M15" s="112"/>
      <c r="N15" s="112"/>
      <c r="O15" s="112"/>
      <c r="P15" s="112"/>
      <c r="V15" s="114"/>
      <c r="W15" s="114"/>
      <c r="X15" s="114"/>
      <c r="Y15" s="114"/>
    </row>
    <row r="16" ht="30.0" customHeight="1">
      <c r="A16" s="80" t="s">
        <v>195</v>
      </c>
      <c r="B16" s="43">
        <v>12.0</v>
      </c>
      <c r="C16" s="47" t="s">
        <v>47</v>
      </c>
      <c r="D16" s="47" t="s">
        <v>78</v>
      </c>
      <c r="E16" s="47" t="s">
        <v>191</v>
      </c>
      <c r="F16" s="47" t="s">
        <v>122</v>
      </c>
      <c r="G16" s="121" t="str">
        <f t="shared" si="1"/>
        <v>крылья Туш. кап.</v>
      </c>
      <c r="H16" s="128" t="s">
        <v>1</v>
      </c>
      <c r="I16" s="112"/>
      <c r="J16" s="112"/>
      <c r="K16" s="112"/>
      <c r="L16" s="112"/>
      <c r="M16" s="112"/>
      <c r="N16" s="112"/>
      <c r="O16" s="112"/>
      <c r="P16" s="112"/>
      <c r="V16" s="114"/>
      <c r="W16" s="114"/>
      <c r="X16" s="114"/>
      <c r="Y16" s="114"/>
    </row>
    <row r="17" ht="30.0" customHeight="1">
      <c r="A17" s="55" t="s">
        <v>218</v>
      </c>
      <c r="B17" s="43">
        <v>13.0</v>
      </c>
      <c r="C17" s="47" t="s">
        <v>16</v>
      </c>
      <c r="D17" s="47" t="s">
        <v>78</v>
      </c>
      <c r="E17" s="47" t="s">
        <v>157</v>
      </c>
      <c r="F17" s="131"/>
      <c r="G17" s="121" t="str">
        <f t="shared" si="1"/>
        <v>Бл. твор </v>
      </c>
      <c r="H17" s="128" t="s">
        <v>1</v>
      </c>
      <c r="I17" s="123"/>
      <c r="J17" s="112"/>
      <c r="K17" s="112"/>
      <c r="L17" s="112"/>
      <c r="M17" s="112"/>
      <c r="N17" s="112"/>
      <c r="O17" s="112"/>
      <c r="P17" s="112"/>
      <c r="Q17" s="112"/>
      <c r="R17" s="112"/>
      <c r="S17" s="114"/>
      <c r="T17" s="114"/>
      <c r="U17" s="114"/>
      <c r="V17" s="114"/>
      <c r="W17" s="114"/>
      <c r="X17" s="114"/>
      <c r="Y17" s="114"/>
    </row>
    <row r="18" ht="30.0" customHeight="1">
      <c r="A18" s="55" t="s">
        <v>383</v>
      </c>
      <c r="B18" s="43">
        <v>14.0</v>
      </c>
      <c r="C18" s="47" t="s">
        <v>16</v>
      </c>
      <c r="D18" s="47" t="s">
        <v>78</v>
      </c>
      <c r="E18" s="47" t="s">
        <v>112</v>
      </c>
      <c r="F18" s="47" t="s">
        <v>98</v>
      </c>
      <c r="G18" s="130" t="str">
        <f t="shared" si="1"/>
        <v>Поперечка Картошка</v>
      </c>
      <c r="H18" s="128" t="s">
        <v>1</v>
      </c>
      <c r="I18" s="123"/>
      <c r="J18" s="112"/>
      <c r="K18" s="112"/>
      <c r="L18" s="112"/>
      <c r="M18" s="112"/>
      <c r="N18" s="112"/>
      <c r="O18" s="112"/>
      <c r="P18" s="112"/>
      <c r="Q18" s="112"/>
      <c r="R18" s="112"/>
      <c r="S18" s="114"/>
      <c r="T18" s="114"/>
      <c r="U18" s="114"/>
      <c r="V18" s="114"/>
      <c r="W18" s="114"/>
      <c r="X18" s="114"/>
      <c r="Y18" s="114"/>
    </row>
    <row r="19" ht="30.0" customHeight="1">
      <c r="A19" s="43" t="s">
        <v>386</v>
      </c>
      <c r="B19" s="43">
        <v>15.0</v>
      </c>
      <c r="C19" s="47" t="s">
        <v>47</v>
      </c>
      <c r="D19" s="47" t="s">
        <v>78</v>
      </c>
      <c r="E19" s="47" t="s">
        <v>79</v>
      </c>
      <c r="F19" s="47" t="s">
        <v>122</v>
      </c>
      <c r="G19" s="130" t="str">
        <f t="shared" si="1"/>
        <v>Чалахач Туш. кап.</v>
      </c>
      <c r="H19" s="128" t="s">
        <v>1</v>
      </c>
      <c r="I19" s="123"/>
      <c r="J19" s="112"/>
      <c r="K19" s="112"/>
      <c r="L19" s="112"/>
      <c r="M19" s="112"/>
      <c r="N19" s="112"/>
      <c r="O19" s="112"/>
      <c r="P19" s="112"/>
      <c r="Q19" s="112"/>
      <c r="R19" s="112"/>
      <c r="S19" s="114"/>
      <c r="T19" s="114"/>
      <c r="U19" s="114"/>
      <c r="V19" s="114"/>
      <c r="W19" s="114"/>
      <c r="X19" s="114"/>
      <c r="Y19" s="114"/>
    </row>
    <row r="20" ht="30.0" customHeight="1">
      <c r="A20" s="80" t="s">
        <v>390</v>
      </c>
      <c r="B20" s="43">
        <v>16.0</v>
      </c>
      <c r="C20" s="47" t="s">
        <v>32</v>
      </c>
      <c r="D20" s="47" t="s">
        <v>117</v>
      </c>
      <c r="E20" s="47" t="s">
        <v>126</v>
      </c>
      <c r="F20" s="47" t="s">
        <v>80</v>
      </c>
      <c r="G20" s="121" t="str">
        <f t="shared" si="1"/>
        <v>S   Гр  </v>
      </c>
      <c r="H20" s="128" t="s">
        <v>1</v>
      </c>
      <c r="I20" s="123"/>
      <c r="J20" s="112"/>
      <c r="K20" s="112"/>
      <c r="L20" s="112"/>
      <c r="M20" s="112"/>
      <c r="N20" s="112"/>
      <c r="O20" s="112"/>
      <c r="P20" s="112"/>
      <c r="Q20" s="112"/>
      <c r="R20" s="112"/>
      <c r="S20" s="114"/>
      <c r="T20" s="114"/>
      <c r="U20" s="114"/>
      <c r="V20" s="114"/>
      <c r="W20" s="114"/>
      <c r="X20" s="114"/>
      <c r="Y20" s="114"/>
    </row>
    <row r="21" ht="30.0" customHeight="1">
      <c r="A21" s="43" t="s">
        <v>224</v>
      </c>
      <c r="B21" s="43">
        <v>17.0</v>
      </c>
      <c r="C21" s="47" t="s">
        <v>32</v>
      </c>
      <c r="D21" s="47" t="s">
        <v>78</v>
      </c>
      <c r="E21" s="47" t="s">
        <v>181</v>
      </c>
      <c r="F21" s="47" t="s">
        <v>98</v>
      </c>
      <c r="G21" s="121" t="str">
        <f t="shared" si="1"/>
        <v>Жульен Картошка</v>
      </c>
      <c r="H21" s="128" t="s">
        <v>1</v>
      </c>
      <c r="I21" s="123"/>
      <c r="J21" s="112"/>
      <c r="K21" s="112"/>
      <c r="L21" s="112"/>
      <c r="M21" s="112"/>
      <c r="N21" s="112"/>
      <c r="O21" s="112"/>
      <c r="P21" s="112"/>
      <c r="Q21" s="112"/>
      <c r="R21" s="112"/>
      <c r="S21" s="114"/>
      <c r="T21" s="114"/>
      <c r="U21" s="114"/>
      <c r="V21" s="114"/>
      <c r="W21" s="114"/>
      <c r="X21" s="114"/>
      <c r="Y21" s="114"/>
    </row>
    <row r="22" ht="30.0" customHeight="1">
      <c r="A22" s="43" t="s">
        <v>233</v>
      </c>
      <c r="B22" s="43">
        <v>18.0</v>
      </c>
      <c r="C22" s="47" t="s">
        <v>57</v>
      </c>
      <c r="D22" s="47" t="s">
        <v>87</v>
      </c>
      <c r="E22" s="47" t="s">
        <v>187</v>
      </c>
      <c r="F22" s="47" t="s">
        <v>80</v>
      </c>
      <c r="G22" s="121" t="str">
        <f t="shared" si="1"/>
        <v>Котл. кур Гр  </v>
      </c>
      <c r="H22" s="128" t="s">
        <v>1</v>
      </c>
      <c r="I22" s="19"/>
      <c r="J22" s="112"/>
      <c r="K22" s="112"/>
      <c r="L22" s="112"/>
      <c r="M22" s="19"/>
      <c r="N22" s="112"/>
      <c r="O22" s="111"/>
      <c r="P22" s="112"/>
      <c r="Q22" s="112"/>
      <c r="R22" s="112"/>
      <c r="S22" s="112"/>
      <c r="T22" s="114"/>
      <c r="U22" s="114"/>
      <c r="V22" s="114"/>
      <c r="W22" s="114"/>
      <c r="X22" s="114"/>
      <c r="Y22" s="114"/>
    </row>
    <row r="23" ht="30.0" customHeight="1">
      <c r="A23" s="43" t="s">
        <v>239</v>
      </c>
      <c r="B23" s="43">
        <v>19.0</v>
      </c>
      <c r="C23" s="47" t="s">
        <v>62</v>
      </c>
      <c r="D23" s="47" t="s">
        <v>105</v>
      </c>
      <c r="E23" s="47" t="s">
        <v>187</v>
      </c>
      <c r="F23" s="47" t="s">
        <v>122</v>
      </c>
      <c r="G23" s="121" t="str">
        <f t="shared" si="1"/>
        <v>Котл. кур Туш. кап.</v>
      </c>
      <c r="H23" s="128" t="s">
        <v>1</v>
      </c>
      <c r="I23" s="19"/>
      <c r="J23" s="112"/>
      <c r="K23" s="112"/>
      <c r="L23" s="112"/>
      <c r="M23" s="19"/>
      <c r="N23" s="112"/>
      <c r="O23" s="111"/>
      <c r="P23" s="112"/>
      <c r="Q23" s="112"/>
      <c r="R23" s="112"/>
      <c r="S23" s="112"/>
      <c r="T23" s="114"/>
      <c r="U23" s="114"/>
      <c r="V23" s="114"/>
      <c r="W23" s="114"/>
      <c r="X23" s="114"/>
      <c r="Y23" s="114"/>
    </row>
    <row r="24" ht="30.0" customHeight="1">
      <c r="A24" s="136" t="s">
        <v>268</v>
      </c>
      <c r="B24" s="43">
        <v>20.0</v>
      </c>
      <c r="C24" s="47" t="s">
        <v>47</v>
      </c>
      <c r="D24" s="47" t="s">
        <v>95</v>
      </c>
      <c r="E24" s="47" t="s">
        <v>173</v>
      </c>
      <c r="F24" s="47" t="s">
        <v>80</v>
      </c>
      <c r="G24" s="121" t="str">
        <f t="shared" si="1"/>
        <v>Дорадо Гр  </v>
      </c>
      <c r="H24" s="128" t="s">
        <v>1</v>
      </c>
      <c r="I24" s="19"/>
      <c r="J24" s="112"/>
      <c r="K24" s="112"/>
      <c r="L24" s="112"/>
      <c r="M24" s="19"/>
      <c r="N24" s="112"/>
      <c r="O24" s="111"/>
      <c r="P24" s="112"/>
      <c r="Q24" s="112"/>
      <c r="R24" s="112"/>
      <c r="S24" s="112"/>
      <c r="T24" s="114"/>
      <c r="U24" s="114"/>
      <c r="V24" s="114"/>
      <c r="W24" s="114"/>
      <c r="X24" s="114"/>
      <c r="Y24" s="114"/>
    </row>
    <row r="25" ht="30.0" customHeight="1">
      <c r="A25" s="132" t="s">
        <v>404</v>
      </c>
      <c r="B25" s="43">
        <v>21.0</v>
      </c>
      <c r="C25" s="47" t="s">
        <v>55</v>
      </c>
      <c r="D25" s="47"/>
      <c r="E25" s="47" t="s">
        <v>67</v>
      </c>
      <c r="F25" s="47"/>
      <c r="G25" s="133" t="str">
        <f t="shared" si="1"/>
        <v>Баса </v>
      </c>
      <c r="H25" s="133" t="s">
        <v>1</v>
      </c>
      <c r="I25" s="123" t="str">
        <f>IFERROR(__xludf.DUMMYFUNCTION("QUERY(A5:H82, ""Select G, count(A), H group by G, H order by H"")"),"")</f>
        <v/>
      </c>
      <c r="J25" s="112" t="str">
        <f>IFERROR(__xludf.DUMMYFUNCTION("""COMPUTED_VALUE"""),"count ")</f>
        <v>count </v>
      </c>
      <c r="K25" s="112" t="str">
        <f>IFERROR(__xludf.DUMMYFUNCTION("""COMPUTED_VALUE"""),"")</f>
        <v/>
      </c>
      <c r="L25" s="112"/>
      <c r="M25" s="19"/>
      <c r="N25" s="112"/>
      <c r="O25" s="112"/>
      <c r="P25" s="112"/>
      <c r="Q25" s="112"/>
      <c r="R25" s="112"/>
      <c r="S25" s="114"/>
      <c r="T25" s="114"/>
      <c r="U25" s="114"/>
      <c r="V25" s="114"/>
      <c r="W25" s="114"/>
      <c r="X25" s="114"/>
      <c r="Y25" s="114"/>
    </row>
    <row r="26" ht="30.0" customHeight="1">
      <c r="A26" s="80" t="s">
        <v>278</v>
      </c>
      <c r="B26" s="43">
        <v>22.0</v>
      </c>
      <c r="C26" s="47" t="s">
        <v>32</v>
      </c>
      <c r="D26" s="47" t="s">
        <v>105</v>
      </c>
      <c r="E26" s="47" t="s">
        <v>126</v>
      </c>
      <c r="F26" s="139" t="s">
        <v>127</v>
      </c>
      <c r="G26" s="121" t="str">
        <f t="shared" si="1"/>
        <v>S   MP </v>
      </c>
      <c r="H26" s="128" t="s">
        <v>1</v>
      </c>
      <c r="I26" s="19"/>
      <c r="J26" s="112">
        <f>IFERROR(__xludf.DUMMYFUNCTION("""COMPUTED_VALUE"""),0.0)</f>
        <v>0</v>
      </c>
      <c r="K26" s="112"/>
      <c r="L26" s="112"/>
      <c r="M26" s="19"/>
      <c r="N26" s="112"/>
      <c r="O26" s="112"/>
      <c r="P26" s="112"/>
      <c r="Q26" s="112"/>
      <c r="R26" s="112"/>
      <c r="S26" s="114"/>
      <c r="T26" s="114"/>
      <c r="U26" s="114"/>
      <c r="V26" s="114"/>
      <c r="W26" s="114"/>
      <c r="X26" s="114"/>
      <c r="Y26" s="114"/>
    </row>
    <row r="27" ht="30.0" customHeight="1">
      <c r="A27" s="132" t="s">
        <v>283</v>
      </c>
      <c r="B27" s="43">
        <v>23.0</v>
      </c>
      <c r="C27" s="47" t="s">
        <v>32</v>
      </c>
      <c r="D27" s="47" t="s">
        <v>87</v>
      </c>
      <c r="E27" s="47" t="s">
        <v>67</v>
      </c>
      <c r="F27" s="47" t="s">
        <v>80</v>
      </c>
      <c r="G27" s="121" t="str">
        <f t="shared" si="1"/>
        <v>Баса Гр  </v>
      </c>
      <c r="H27" s="128" t="s">
        <v>1</v>
      </c>
      <c r="I27" s="112" t="str">
        <f>IFERROR(__xludf.DUMMYFUNCTION("""COMPUTED_VALUE"""),"S    FF")</f>
        <v>S    FF</v>
      </c>
      <c r="J27" s="112">
        <f>IFERROR(__xludf.DUMMYFUNCTION("""COMPUTED_VALUE"""),3.0)</f>
        <v>3</v>
      </c>
      <c r="K27" s="112" t="str">
        <f>IFERROR(__xludf.DUMMYFUNCTION("""COMPUTED_VALUE"""),"Олимп")</f>
        <v>Олимп</v>
      </c>
      <c r="L27" s="112"/>
      <c r="M27" s="19"/>
      <c r="N27" s="112"/>
      <c r="O27" s="112"/>
      <c r="P27" s="112"/>
      <c r="Q27" s="112"/>
      <c r="R27" s="112"/>
      <c r="S27" s="114"/>
      <c r="T27" s="114"/>
      <c r="U27" s="114"/>
      <c r="V27" s="114"/>
      <c r="W27" s="114"/>
      <c r="X27" s="114"/>
      <c r="Y27" s="114"/>
    </row>
    <row r="28" ht="30.0" customHeight="1">
      <c r="A28" s="55" t="s">
        <v>295</v>
      </c>
      <c r="B28" s="43">
        <v>24.0</v>
      </c>
      <c r="C28" s="47" t="s">
        <v>16</v>
      </c>
      <c r="D28" s="47" t="s">
        <v>105</v>
      </c>
      <c r="E28" s="47" t="s">
        <v>126</v>
      </c>
      <c r="F28" s="47" t="s">
        <v>127</v>
      </c>
      <c r="G28" s="121" t="str">
        <f t="shared" si="1"/>
        <v>S   MP </v>
      </c>
      <c r="H28" s="128" t="s">
        <v>1</v>
      </c>
      <c r="I28" s="112" t="str">
        <f>IFERROR(__xludf.DUMMYFUNCTION("""COMPUTED_VALUE"""),"S   MP ")</f>
        <v>S   MP </v>
      </c>
      <c r="J28" s="112">
        <f>IFERROR(__xludf.DUMMYFUNCTION("""COMPUTED_VALUE"""),6.0)</f>
        <v>6</v>
      </c>
      <c r="K28" s="112" t="str">
        <f>IFERROR(__xludf.DUMMYFUNCTION("""COMPUTED_VALUE"""),"Олимп")</f>
        <v>Олимп</v>
      </c>
      <c r="L28" s="112"/>
      <c r="M28" s="19"/>
      <c r="N28" s="112"/>
      <c r="O28" s="112"/>
      <c r="P28" s="112"/>
      <c r="Q28" s="112"/>
      <c r="R28" s="112"/>
      <c r="S28" s="114"/>
      <c r="T28" s="114"/>
      <c r="U28" s="114"/>
      <c r="V28" s="114"/>
      <c r="W28" s="114"/>
      <c r="X28" s="114"/>
      <c r="Y28" s="114"/>
    </row>
    <row r="29" ht="30.0" customHeight="1">
      <c r="A29" s="90" t="s">
        <v>242</v>
      </c>
      <c r="B29" s="43">
        <v>25.0</v>
      </c>
      <c r="C29" s="47" t="s">
        <v>23</v>
      </c>
      <c r="D29" s="47" t="s">
        <v>87</v>
      </c>
      <c r="E29" s="47" t="s">
        <v>112</v>
      </c>
      <c r="F29" s="47" t="s">
        <v>122</v>
      </c>
      <c r="G29" s="121" t="str">
        <f t="shared" si="1"/>
        <v>Поперечка Туш. кап.</v>
      </c>
      <c r="H29" s="128" t="s">
        <v>1</v>
      </c>
      <c r="I29" s="19" t="str">
        <f>IFERROR(__xludf.DUMMYFUNCTION("""COMPUTED_VALUE"""),"S   Гр  ")</f>
        <v>S   Гр  </v>
      </c>
      <c r="J29" s="112">
        <f>IFERROR(__xludf.DUMMYFUNCTION("""COMPUTED_VALUE"""),3.0)</f>
        <v>3</v>
      </c>
      <c r="K29" s="112" t="str">
        <f>IFERROR(__xludf.DUMMYFUNCTION("""COMPUTED_VALUE"""),"Олимп")</f>
        <v>Олимп</v>
      </c>
      <c r="L29" s="112"/>
      <c r="M29" s="19"/>
      <c r="N29" s="112"/>
      <c r="O29" s="140"/>
      <c r="P29" s="112"/>
      <c r="Q29" s="114"/>
      <c r="R29" s="114"/>
      <c r="S29" s="114"/>
      <c r="T29" s="114"/>
      <c r="U29" s="114"/>
      <c r="V29" s="114"/>
      <c r="W29" s="114"/>
      <c r="X29" s="114"/>
      <c r="Y29" s="114"/>
    </row>
    <row r="30" ht="30.0" customHeight="1">
      <c r="A30" s="43" t="s">
        <v>311</v>
      </c>
      <c r="B30" s="43">
        <v>26.0</v>
      </c>
      <c r="C30" s="47" t="s">
        <v>16</v>
      </c>
      <c r="D30" s="47" t="s">
        <v>87</v>
      </c>
      <c r="E30" s="47" t="s">
        <v>126</v>
      </c>
      <c r="F30" s="47" t="s">
        <v>113</v>
      </c>
      <c r="G30" s="121" t="str">
        <f t="shared" si="1"/>
        <v>S    FF</v>
      </c>
      <c r="H30" s="128" t="s">
        <v>1</v>
      </c>
      <c r="I30" s="19" t="str">
        <f>IFERROR(__xludf.DUMMYFUNCTION("""COMPUTED_VALUE"""),"S   Картошка")</f>
        <v>S   Картошка</v>
      </c>
      <c r="J30" s="112">
        <f>IFERROR(__xludf.DUMMYFUNCTION("""COMPUTED_VALUE"""),2.0)</f>
        <v>2</v>
      </c>
      <c r="K30" s="112" t="str">
        <f>IFERROR(__xludf.DUMMYFUNCTION("""COMPUTED_VALUE"""),"Олимп")</f>
        <v>Олимп</v>
      </c>
      <c r="L30" s="112"/>
      <c r="M30" s="19"/>
      <c r="N30" s="112"/>
      <c r="O30" s="140"/>
      <c r="P30" s="112"/>
      <c r="Q30" s="114"/>
      <c r="R30" s="114"/>
      <c r="S30" s="114"/>
      <c r="T30" s="114"/>
      <c r="U30" s="114"/>
      <c r="V30" s="114"/>
      <c r="W30" s="114"/>
      <c r="X30" s="114"/>
      <c r="Y30" s="114"/>
    </row>
    <row r="31" ht="30.0" customHeight="1">
      <c r="A31" s="43" t="s">
        <v>314</v>
      </c>
      <c r="B31" s="43">
        <v>27.0</v>
      </c>
      <c r="C31" s="47" t="s">
        <v>57</v>
      </c>
      <c r="D31" s="129" t="s">
        <v>105</v>
      </c>
      <c r="E31" s="47" t="s">
        <v>126</v>
      </c>
      <c r="F31" s="47" t="s">
        <v>98</v>
      </c>
      <c r="G31" s="121" t="str">
        <f t="shared" si="1"/>
        <v>S   Картошка</v>
      </c>
      <c r="H31" s="128" t="s">
        <v>1</v>
      </c>
      <c r="I31" s="19" t="str">
        <f>IFERROR(__xludf.DUMMYFUNCTION("""COMPUTED_VALUE"""),"S   Паста  ")</f>
        <v>S   Паста  </v>
      </c>
      <c r="J31" s="112">
        <f>IFERROR(__xludf.DUMMYFUNCTION("""COMPUTED_VALUE"""),1.0)</f>
        <v>1</v>
      </c>
      <c r="K31" s="112" t="str">
        <f>IFERROR(__xludf.DUMMYFUNCTION("""COMPUTED_VALUE"""),"Олимп")</f>
        <v>Олимп</v>
      </c>
      <c r="L31" s="112"/>
      <c r="M31" s="19"/>
      <c r="N31" s="112"/>
      <c r="O31" s="140"/>
      <c r="P31" s="112"/>
      <c r="Q31" s="114"/>
      <c r="R31" s="114"/>
      <c r="S31" s="114"/>
      <c r="T31" s="114"/>
      <c r="U31" s="114"/>
      <c r="V31" s="114"/>
      <c r="W31" s="114"/>
      <c r="X31" s="114"/>
      <c r="Y31" s="114"/>
    </row>
    <row r="32" ht="30.0" customHeight="1">
      <c r="A32" s="55" t="s">
        <v>429</v>
      </c>
      <c r="B32" s="43">
        <v>28.0</v>
      </c>
      <c r="C32" s="47" t="s">
        <v>57</v>
      </c>
      <c r="D32" s="129" t="s">
        <v>105</v>
      </c>
      <c r="E32" s="47" t="s">
        <v>187</v>
      </c>
      <c r="F32" s="47" t="s">
        <v>122</v>
      </c>
      <c r="G32" s="121" t="str">
        <f t="shared" si="1"/>
        <v>Котл. кур Туш. кап.</v>
      </c>
      <c r="H32" s="128" t="s">
        <v>1</v>
      </c>
      <c r="I32" s="19" t="str">
        <f>IFERROR(__xludf.DUMMYFUNCTION("""COMPUTED_VALUE"""),"S   Туш. кап.")</f>
        <v>S   Туш. кап.</v>
      </c>
      <c r="J32" s="112">
        <f>IFERROR(__xludf.DUMMYFUNCTION("""COMPUTED_VALUE"""),3.0)</f>
        <v>3</v>
      </c>
      <c r="K32" s="112" t="str">
        <f>IFERROR(__xludf.DUMMYFUNCTION("""COMPUTED_VALUE"""),"Олимп")</f>
        <v>Олимп</v>
      </c>
      <c r="L32" s="112"/>
      <c r="M32" s="19"/>
      <c r="N32" s="112"/>
      <c r="O32" s="140"/>
      <c r="P32" s="112"/>
      <c r="Q32" s="114"/>
      <c r="R32" s="114"/>
      <c r="S32" s="114"/>
      <c r="T32" s="114"/>
      <c r="U32" s="114"/>
      <c r="V32" s="114"/>
      <c r="W32" s="114"/>
      <c r="X32" s="114"/>
      <c r="Y32" s="114"/>
    </row>
    <row r="33" ht="30.0" customHeight="1">
      <c r="A33" s="80" t="s">
        <v>433</v>
      </c>
      <c r="B33" s="43">
        <v>29.0</v>
      </c>
      <c r="C33" s="129" t="s">
        <v>57</v>
      </c>
      <c r="D33" s="47" t="s">
        <v>105</v>
      </c>
      <c r="E33" s="47" t="s">
        <v>67</v>
      </c>
      <c r="F33" s="47" t="s">
        <v>122</v>
      </c>
      <c r="G33" s="121" t="str">
        <f t="shared" si="1"/>
        <v>Баса Туш. кап.</v>
      </c>
      <c r="H33" s="128" t="s">
        <v>1</v>
      </c>
      <c r="I33" s="19" t="str">
        <f>IFERROR(__xludf.DUMMYFUNCTION("""COMPUTED_VALUE"""),"S   Фасоль")</f>
        <v>S   Фасоль</v>
      </c>
      <c r="J33" s="112">
        <f>IFERROR(__xludf.DUMMYFUNCTION("""COMPUTED_VALUE"""),1.0)</f>
        <v>1</v>
      </c>
      <c r="K33" s="112" t="str">
        <f>IFERROR(__xludf.DUMMYFUNCTION("""COMPUTED_VALUE"""),"Олимп")</f>
        <v>Олимп</v>
      </c>
      <c r="L33" s="112"/>
      <c r="M33" s="19"/>
      <c r="N33" s="112"/>
      <c r="O33" s="140"/>
      <c r="P33" s="112"/>
      <c r="Q33" s="114"/>
      <c r="R33" s="114"/>
      <c r="S33" s="114"/>
      <c r="T33" s="114"/>
      <c r="U33" s="114"/>
      <c r="V33" s="114"/>
      <c r="W33" s="114"/>
      <c r="X33" s="114"/>
      <c r="Y33" s="114"/>
    </row>
    <row r="34" ht="30.0" customHeight="1">
      <c r="A34" s="80" t="s">
        <v>316</v>
      </c>
      <c r="B34" s="43">
        <v>30.0</v>
      </c>
      <c r="C34" s="47" t="s">
        <v>55</v>
      </c>
      <c r="D34" s="47" t="s">
        <v>105</v>
      </c>
      <c r="E34" s="47" t="s">
        <v>79</v>
      </c>
      <c r="F34" s="47"/>
      <c r="G34" s="121" t="str">
        <f t="shared" si="1"/>
        <v>Чалахач </v>
      </c>
      <c r="H34" s="128" t="s">
        <v>1</v>
      </c>
      <c r="I34" s="19" t="str">
        <f>IFERROR(__xludf.DUMMYFUNCTION("""COMPUTED_VALUE"""),"Баса ")</f>
        <v>Баса </v>
      </c>
      <c r="J34" s="112">
        <f>IFERROR(__xludf.DUMMYFUNCTION("""COMPUTED_VALUE"""),1.0)</f>
        <v>1</v>
      </c>
      <c r="K34" s="112" t="str">
        <f>IFERROR(__xludf.DUMMYFUNCTION("""COMPUTED_VALUE"""),"Олимп")</f>
        <v>Олимп</v>
      </c>
      <c r="L34" s="112"/>
      <c r="M34" s="19"/>
      <c r="N34" s="112"/>
      <c r="O34" s="140"/>
      <c r="P34" s="112"/>
      <c r="Q34" s="114"/>
      <c r="R34" s="114"/>
      <c r="S34" s="114"/>
      <c r="T34" s="114"/>
      <c r="U34" s="114"/>
      <c r="V34" s="114"/>
      <c r="W34" s="114"/>
      <c r="X34" s="114"/>
      <c r="Y34" s="114"/>
    </row>
    <row r="35" ht="30.0" customHeight="1">
      <c r="A35" s="80" t="s">
        <v>319</v>
      </c>
      <c r="B35" s="43">
        <v>31.0</v>
      </c>
      <c r="C35" s="47" t="s">
        <v>12</v>
      </c>
      <c r="D35" s="129" t="s">
        <v>105</v>
      </c>
      <c r="E35" s="47" t="s">
        <v>97</v>
      </c>
      <c r="F35" s="47" t="s">
        <v>127</v>
      </c>
      <c r="G35" s="121" t="str">
        <f t="shared" si="1"/>
        <v>Терияки MP </v>
      </c>
      <c r="H35" s="128" t="s">
        <v>1</v>
      </c>
      <c r="I35" s="19" t="str">
        <f>IFERROR(__xludf.DUMMYFUNCTION("""COMPUTED_VALUE"""),"Баса  FF")</f>
        <v>Баса  FF</v>
      </c>
      <c r="J35" s="112">
        <f>IFERROR(__xludf.DUMMYFUNCTION("""COMPUTED_VALUE"""),1.0)</f>
        <v>1</v>
      </c>
      <c r="K35" s="112" t="str">
        <f>IFERROR(__xludf.DUMMYFUNCTION("""COMPUTED_VALUE"""),"Олимп")</f>
        <v>Олимп</v>
      </c>
      <c r="L35" s="112"/>
      <c r="M35" s="19"/>
      <c r="N35" s="112"/>
      <c r="O35" s="140"/>
      <c r="P35" s="112"/>
      <c r="Q35" s="114"/>
      <c r="R35" s="114"/>
      <c r="S35" s="114"/>
      <c r="T35" s="114"/>
      <c r="U35" s="114"/>
      <c r="V35" s="114"/>
      <c r="W35" s="114"/>
      <c r="X35" s="114"/>
      <c r="Y35" s="114"/>
    </row>
    <row r="36" ht="30.0" customHeight="1">
      <c r="A36" s="80" t="s">
        <v>444</v>
      </c>
      <c r="B36" s="43">
        <v>32.0</v>
      </c>
      <c r="C36" s="47" t="s">
        <v>57</v>
      </c>
      <c r="D36" s="47" t="s">
        <v>85</v>
      </c>
      <c r="E36" s="47" t="s">
        <v>67</v>
      </c>
      <c r="F36" s="47" t="s">
        <v>98</v>
      </c>
      <c r="G36" s="121" t="str">
        <f t="shared" si="1"/>
        <v>Баса Картошка</v>
      </c>
      <c r="H36" s="128" t="s">
        <v>1</v>
      </c>
      <c r="I36" s="19" t="str">
        <f>IFERROR(__xludf.DUMMYFUNCTION("""COMPUTED_VALUE"""),"Баса MP ")</f>
        <v>Баса MP </v>
      </c>
      <c r="J36" s="112">
        <f>IFERROR(__xludf.DUMMYFUNCTION("""COMPUTED_VALUE"""),1.0)</f>
        <v>1</v>
      </c>
      <c r="K36" s="112" t="str">
        <f>IFERROR(__xludf.DUMMYFUNCTION("""COMPUTED_VALUE"""),"Олимп")</f>
        <v>Олимп</v>
      </c>
      <c r="L36" s="112"/>
      <c r="M36" s="19"/>
      <c r="N36" s="112"/>
      <c r="O36" s="140"/>
      <c r="P36" s="112"/>
      <c r="Q36" s="114"/>
      <c r="R36" s="114"/>
      <c r="S36" s="114"/>
      <c r="T36" s="114"/>
      <c r="U36" s="114"/>
      <c r="V36" s="114"/>
      <c r="W36" s="114"/>
      <c r="X36" s="114"/>
      <c r="Y36" s="114"/>
    </row>
    <row r="37" ht="30.0" customHeight="1">
      <c r="A37" s="80" t="s">
        <v>323</v>
      </c>
      <c r="B37" s="43">
        <v>33.0</v>
      </c>
      <c r="C37" s="47" t="s">
        <v>5</v>
      </c>
      <c r="D37" s="47" t="s">
        <v>65</v>
      </c>
      <c r="E37" s="47" t="s">
        <v>126</v>
      </c>
      <c r="F37" s="47" t="s">
        <v>122</v>
      </c>
      <c r="G37" s="121" t="str">
        <f t="shared" si="1"/>
        <v>S   Туш. кап.</v>
      </c>
      <c r="H37" s="128" t="s">
        <v>1</v>
      </c>
      <c r="I37" s="19" t="str">
        <f>IFERROR(__xludf.DUMMYFUNCTION("""COMPUTED_VALUE"""),"Баса Гр  ")</f>
        <v>Баса Гр  </v>
      </c>
      <c r="J37" s="112">
        <f>IFERROR(__xludf.DUMMYFUNCTION("""COMPUTED_VALUE"""),1.0)</f>
        <v>1</v>
      </c>
      <c r="K37" s="112" t="str">
        <f>IFERROR(__xludf.DUMMYFUNCTION("""COMPUTED_VALUE"""),"Олимп")</f>
        <v>Олимп</v>
      </c>
      <c r="L37" s="112"/>
      <c r="M37" s="19"/>
      <c r="N37" s="112"/>
      <c r="O37" s="140"/>
      <c r="P37" s="112"/>
      <c r="Q37" s="114"/>
      <c r="R37" s="114"/>
      <c r="S37" s="114"/>
      <c r="T37" s="114"/>
      <c r="U37" s="114"/>
      <c r="V37" s="114"/>
      <c r="W37" s="114"/>
      <c r="X37" s="114"/>
      <c r="Y37" s="114"/>
    </row>
    <row r="38" ht="30.0" customHeight="1">
      <c r="A38" s="80" t="s">
        <v>327</v>
      </c>
      <c r="B38" s="43">
        <v>34.0</v>
      </c>
      <c r="C38" s="47" t="s">
        <v>16</v>
      </c>
      <c r="D38" s="47" t="s">
        <v>78</v>
      </c>
      <c r="E38" s="47" t="s">
        <v>211</v>
      </c>
      <c r="F38" s="47" t="s">
        <v>98</v>
      </c>
      <c r="G38" s="121" t="str">
        <f> CONCATENATE(E19," ", F19)</f>
        <v>Чалахач Туш. кап.</v>
      </c>
      <c r="H38" s="128" t="s">
        <v>1</v>
      </c>
      <c r="I38" s="19" t="str">
        <f>IFERROR(__xludf.DUMMYFUNCTION("""COMPUTED_VALUE"""),"Баса Картошка")</f>
        <v>Баса Картошка</v>
      </c>
      <c r="J38" s="112">
        <f>IFERROR(__xludf.DUMMYFUNCTION("""COMPUTED_VALUE"""),1.0)</f>
        <v>1</v>
      </c>
      <c r="K38" s="112" t="str">
        <f>IFERROR(__xludf.DUMMYFUNCTION("""COMPUTED_VALUE"""),"Олимп")</f>
        <v>Олимп</v>
      </c>
      <c r="L38" s="112"/>
      <c r="M38" s="19"/>
      <c r="N38" s="112"/>
      <c r="O38" s="140"/>
      <c r="P38" s="112"/>
      <c r="Q38" s="114"/>
      <c r="R38" s="114"/>
      <c r="S38" s="114"/>
      <c r="T38" s="114"/>
      <c r="U38" s="114"/>
      <c r="V38" s="114"/>
      <c r="W38" s="114"/>
      <c r="X38" s="114"/>
      <c r="Y38" s="114"/>
    </row>
    <row r="39" ht="30.0" customHeight="1">
      <c r="A39" s="80" t="s">
        <v>450</v>
      </c>
      <c r="B39" s="43">
        <v>35.0</v>
      </c>
      <c r="C39" s="47" t="s">
        <v>62</v>
      </c>
      <c r="D39" s="47" t="s">
        <v>117</v>
      </c>
      <c r="E39" s="47" t="s">
        <v>79</v>
      </c>
      <c r="F39" s="47" t="s">
        <v>276</v>
      </c>
      <c r="G39" s="121" t="str">
        <f t="shared" ref="G39:G40" si="2"> CONCATENATE(E19," ", F19)</f>
        <v>Чалахач Туш. кап.</v>
      </c>
      <c r="H39" s="128" t="s">
        <v>1</v>
      </c>
      <c r="I39" s="112" t="str">
        <f>IFERROR(__xludf.DUMMYFUNCTION("""COMPUTED_VALUE"""),"Баса Туш. кап.")</f>
        <v>Баса Туш. кап.</v>
      </c>
      <c r="J39" s="112">
        <f>IFERROR(__xludf.DUMMYFUNCTION("""COMPUTED_VALUE"""),3.0)</f>
        <v>3</v>
      </c>
      <c r="K39" s="112" t="str">
        <f>IFERROR(__xludf.DUMMYFUNCTION("""COMPUTED_VALUE"""),"Олимп")</f>
        <v>Олимп</v>
      </c>
      <c r="L39" s="112"/>
      <c r="M39" s="19"/>
      <c r="N39" s="112"/>
      <c r="O39" s="112"/>
      <c r="P39" s="112"/>
      <c r="Q39" s="112"/>
      <c r="R39" s="112"/>
      <c r="S39" s="114"/>
      <c r="T39" s="114"/>
      <c r="U39" s="114"/>
      <c r="V39" s="114"/>
      <c r="W39" s="114"/>
      <c r="X39" s="114"/>
      <c r="Y39" s="114"/>
    </row>
    <row r="40" ht="30.0" customHeight="1">
      <c r="A40" s="6" t="s">
        <v>255</v>
      </c>
      <c r="B40" s="43">
        <v>36.0</v>
      </c>
      <c r="C40" s="47" t="s">
        <v>55</v>
      </c>
      <c r="D40" s="47" t="s">
        <v>65</v>
      </c>
      <c r="E40" s="47" t="s">
        <v>211</v>
      </c>
      <c r="F40" s="47" t="s">
        <v>276</v>
      </c>
      <c r="G40" s="121" t="str">
        <f t="shared" si="2"/>
        <v>S   Гр  </v>
      </c>
      <c r="H40" s="128" t="s">
        <v>1</v>
      </c>
      <c r="I40" s="112" t="str">
        <f>IFERROR(__xludf.DUMMYFUNCTION("""COMPUTED_VALUE"""),"Бл. мясо ")</f>
        <v>Бл. мясо </v>
      </c>
      <c r="J40" s="112">
        <f>IFERROR(__xludf.DUMMYFUNCTION("""COMPUTED_VALUE"""),2.0)</f>
        <v>2</v>
      </c>
      <c r="K40" s="112" t="str">
        <f>IFERROR(__xludf.DUMMYFUNCTION("""COMPUTED_VALUE"""),"Олимп")</f>
        <v>Олимп</v>
      </c>
      <c r="L40" s="112"/>
      <c r="M40" s="19"/>
      <c r="N40" s="112"/>
      <c r="O40" s="112"/>
      <c r="P40" s="112"/>
      <c r="Q40" s="112"/>
      <c r="R40" s="112"/>
      <c r="S40" s="114"/>
      <c r="T40" s="114"/>
      <c r="U40" s="114"/>
      <c r="V40" s="114"/>
      <c r="W40" s="114"/>
      <c r="X40" s="114"/>
      <c r="Y40" s="114"/>
    </row>
    <row r="41" ht="30.0" customHeight="1">
      <c r="A41" s="80" t="s">
        <v>455</v>
      </c>
      <c r="B41" s="43">
        <v>37.0</v>
      </c>
      <c r="C41" s="47" t="s">
        <v>16</v>
      </c>
      <c r="D41" s="47" t="s">
        <v>105</v>
      </c>
      <c r="E41" s="129" t="s">
        <v>191</v>
      </c>
      <c r="F41" s="47" t="s">
        <v>127</v>
      </c>
      <c r="G41" s="121" t="str">
        <f t="shared" ref="G41:G76" si="3"> CONCATENATE(E41," ", F41)</f>
        <v>крылья MP </v>
      </c>
      <c r="H41" s="128" t="s">
        <v>1</v>
      </c>
      <c r="I41" s="112" t="str">
        <f>IFERROR(__xludf.DUMMYFUNCTION("""COMPUTED_VALUE"""),"Бл. твор ")</f>
        <v>Бл. твор </v>
      </c>
      <c r="J41" s="112">
        <f>IFERROR(__xludf.DUMMYFUNCTION("""COMPUTED_VALUE"""),1.0)</f>
        <v>1</v>
      </c>
      <c r="K41" s="112" t="str">
        <f>IFERROR(__xludf.DUMMYFUNCTION("""COMPUTED_VALUE"""),"Олимп")</f>
        <v>Олимп</v>
      </c>
      <c r="L41" s="112"/>
      <c r="M41" s="19"/>
      <c r="N41" s="112"/>
      <c r="O41" s="112"/>
      <c r="P41" s="112"/>
      <c r="Q41" s="112"/>
      <c r="R41" s="112"/>
      <c r="S41" s="114"/>
      <c r="T41" s="114"/>
      <c r="U41" s="114"/>
      <c r="V41" s="114"/>
      <c r="W41" s="114"/>
      <c r="X41" s="114"/>
      <c r="Y41" s="114"/>
    </row>
    <row r="42" ht="30.75" customHeight="1">
      <c r="A42" s="43" t="s">
        <v>334</v>
      </c>
      <c r="B42" s="43">
        <v>38.0</v>
      </c>
      <c r="C42" s="47" t="s">
        <v>55</v>
      </c>
      <c r="D42" s="47" t="s">
        <v>65</v>
      </c>
      <c r="E42" s="47" t="s">
        <v>126</v>
      </c>
      <c r="F42" s="47" t="s">
        <v>127</v>
      </c>
      <c r="G42" s="121" t="str">
        <f t="shared" si="3"/>
        <v>S   MP </v>
      </c>
      <c r="H42" s="128" t="s">
        <v>1</v>
      </c>
      <c r="I42" s="112" t="str">
        <f>IFERROR(__xludf.DUMMYFUNCTION("""COMPUTED_VALUE"""),"Вар.Кар ")</f>
        <v>Вар.Кар </v>
      </c>
      <c r="J42" s="112">
        <f>IFERROR(__xludf.DUMMYFUNCTION("""COMPUTED_VALUE"""),2.0)</f>
        <v>2</v>
      </c>
      <c r="K42" s="112" t="str">
        <f>IFERROR(__xludf.DUMMYFUNCTION("""COMPUTED_VALUE"""),"Олимп")</f>
        <v>Олимп</v>
      </c>
      <c r="L42" s="112"/>
      <c r="M42" s="19"/>
      <c r="N42" s="112"/>
      <c r="O42" s="112"/>
      <c r="P42" s="112"/>
      <c r="Q42" s="112"/>
      <c r="R42" s="112"/>
      <c r="S42" s="114"/>
      <c r="T42" s="114"/>
      <c r="U42" s="114"/>
      <c r="V42" s="114"/>
      <c r="W42" s="114"/>
      <c r="X42" s="114"/>
      <c r="Y42" s="114"/>
    </row>
    <row r="43" ht="30.0" customHeight="1">
      <c r="A43" s="80" t="s">
        <v>458</v>
      </c>
      <c r="B43" s="43">
        <v>39.0</v>
      </c>
      <c r="C43" s="47" t="s">
        <v>16</v>
      </c>
      <c r="D43" s="47"/>
      <c r="E43" s="47" t="s">
        <v>161</v>
      </c>
      <c r="F43" s="47"/>
      <c r="G43" s="121" t="str">
        <f t="shared" si="3"/>
        <v>Вар.Кар </v>
      </c>
      <c r="H43" s="128" t="s">
        <v>1</v>
      </c>
      <c r="I43" s="112" t="str">
        <f>IFERROR(__xludf.DUMMYFUNCTION("""COMPUTED_VALUE"""),"Вар.Кар MP ")</f>
        <v>Вар.Кар MP </v>
      </c>
      <c r="J43" s="112">
        <f>IFERROR(__xludf.DUMMYFUNCTION("""COMPUTED_VALUE"""),1.0)</f>
        <v>1</v>
      </c>
      <c r="K43" s="112" t="str">
        <f>IFERROR(__xludf.DUMMYFUNCTION("""COMPUTED_VALUE"""),"Олимп")</f>
        <v>Олимп</v>
      </c>
      <c r="L43" s="112"/>
      <c r="M43" s="112"/>
      <c r="N43" s="112"/>
      <c r="O43" s="112"/>
      <c r="P43" s="112"/>
      <c r="Q43" s="112"/>
      <c r="R43" s="112"/>
      <c r="S43" s="114"/>
      <c r="T43" s="114"/>
      <c r="U43" s="114"/>
      <c r="V43" s="114"/>
      <c r="W43" s="114"/>
      <c r="X43" s="114"/>
      <c r="Y43" s="114"/>
    </row>
    <row r="44" ht="30.0" customHeight="1">
      <c r="A44" s="43" t="s">
        <v>269</v>
      </c>
      <c r="B44" s="43">
        <v>40.0</v>
      </c>
      <c r="C44" s="47" t="s">
        <v>62</v>
      </c>
      <c r="D44" s="47" t="s">
        <v>95</v>
      </c>
      <c r="E44" s="47" t="s">
        <v>191</v>
      </c>
      <c r="F44" s="47" t="s">
        <v>272</v>
      </c>
      <c r="G44" s="121" t="str">
        <f t="shared" si="3"/>
        <v>крылья Паста  </v>
      </c>
      <c r="H44" s="128" t="s">
        <v>1</v>
      </c>
      <c r="I44" s="112" t="str">
        <f>IFERROR(__xludf.DUMMYFUNCTION("""COMPUTED_VALUE"""),"Вар.Кар Гр  ")</f>
        <v>Вар.Кар Гр  </v>
      </c>
      <c r="J44" s="112">
        <f>IFERROR(__xludf.DUMMYFUNCTION("""COMPUTED_VALUE"""),1.0)</f>
        <v>1</v>
      </c>
      <c r="K44" s="112" t="str">
        <f>IFERROR(__xludf.DUMMYFUNCTION("""COMPUTED_VALUE"""),"Олимп")</f>
        <v>Олимп</v>
      </c>
      <c r="L44" s="112"/>
      <c r="M44" s="112"/>
      <c r="N44" s="112"/>
      <c r="O44" s="112"/>
      <c r="P44" s="112"/>
      <c r="Q44" s="112"/>
      <c r="R44" s="112"/>
      <c r="S44" s="114"/>
      <c r="T44" s="114"/>
      <c r="U44" s="114"/>
      <c r="V44" s="114"/>
      <c r="W44" s="114"/>
      <c r="X44" s="114"/>
      <c r="Y44" s="114"/>
    </row>
    <row r="45" ht="30.0" customHeight="1">
      <c r="A45" s="80" t="s">
        <v>339</v>
      </c>
      <c r="B45" s="43">
        <v>41.0</v>
      </c>
      <c r="C45" s="47" t="s">
        <v>47</v>
      </c>
      <c r="D45" s="47" t="s">
        <v>65</v>
      </c>
      <c r="E45" s="47" t="s">
        <v>209</v>
      </c>
      <c r="F45" s="47" t="s">
        <v>127</v>
      </c>
      <c r="G45" s="121" t="str">
        <f t="shared" si="3"/>
        <v>Шницель MP </v>
      </c>
      <c r="H45" s="128" t="s">
        <v>1</v>
      </c>
      <c r="I45" s="112" t="str">
        <f>IFERROR(__xludf.DUMMYFUNCTION("""COMPUTED_VALUE"""),"Голубцы ")</f>
        <v>Голубцы </v>
      </c>
      <c r="J45" s="112">
        <f>IFERROR(__xludf.DUMMYFUNCTION("""COMPUTED_VALUE"""),1.0)</f>
        <v>1</v>
      </c>
      <c r="K45" s="112" t="str">
        <f>IFERROR(__xludf.DUMMYFUNCTION("""COMPUTED_VALUE"""),"Олимп")</f>
        <v>Олимп</v>
      </c>
      <c r="L45" s="112"/>
      <c r="M45" s="112"/>
      <c r="N45" s="112"/>
      <c r="O45" s="112"/>
      <c r="P45" s="112"/>
      <c r="Q45" s="112"/>
      <c r="R45" s="112"/>
      <c r="S45" s="114"/>
      <c r="T45" s="114"/>
      <c r="U45" s="114"/>
      <c r="V45" s="114"/>
      <c r="W45" s="114"/>
      <c r="X45" s="114"/>
      <c r="Y45" s="114"/>
    </row>
    <row r="46" ht="30.0" customHeight="1">
      <c r="A46" s="80" t="s">
        <v>341</v>
      </c>
      <c r="B46" s="43">
        <v>42.0</v>
      </c>
      <c r="C46" s="47" t="s">
        <v>23</v>
      </c>
      <c r="D46" s="47" t="s">
        <v>105</v>
      </c>
      <c r="E46" s="47" t="s">
        <v>126</v>
      </c>
      <c r="F46" s="47" t="s">
        <v>272</v>
      </c>
      <c r="G46" s="121" t="str">
        <f t="shared" si="3"/>
        <v>S   Паста  </v>
      </c>
      <c r="H46" s="128" t="s">
        <v>1</v>
      </c>
      <c r="I46" s="112" t="str">
        <f>IFERROR(__xludf.DUMMYFUNCTION("""COMPUTED_VALUE"""),"Дорадо Гр  ")</f>
        <v>Дорадо Гр  </v>
      </c>
      <c r="J46" s="112">
        <f>IFERROR(__xludf.DUMMYFUNCTION("""COMPUTED_VALUE"""),2.0)</f>
        <v>2</v>
      </c>
      <c r="K46" s="112" t="str">
        <f>IFERROR(__xludf.DUMMYFUNCTION("""COMPUTED_VALUE"""),"Олимп")</f>
        <v>Олимп</v>
      </c>
      <c r="L46" s="112"/>
      <c r="M46" s="112"/>
      <c r="N46" s="112"/>
      <c r="O46" s="112"/>
      <c r="P46" s="112"/>
      <c r="Q46" s="112"/>
      <c r="R46" s="112"/>
      <c r="S46" s="114"/>
      <c r="T46" s="114"/>
      <c r="U46" s="114"/>
      <c r="V46" s="114"/>
      <c r="W46" s="114"/>
      <c r="X46" s="114"/>
      <c r="Y46" s="114"/>
    </row>
    <row r="47" ht="30.0" customHeight="1">
      <c r="A47" s="43" t="s">
        <v>342</v>
      </c>
      <c r="B47" s="43">
        <v>43.0</v>
      </c>
      <c r="C47" s="47" t="s">
        <v>16</v>
      </c>
      <c r="D47" s="47" t="s">
        <v>105</v>
      </c>
      <c r="E47" s="129" t="s">
        <v>126</v>
      </c>
      <c r="F47" s="47" t="s">
        <v>127</v>
      </c>
      <c r="G47" s="121" t="str">
        <f t="shared" si="3"/>
        <v>S   MP </v>
      </c>
      <c r="H47" s="128" t="s">
        <v>1</v>
      </c>
      <c r="I47" s="112" t="str">
        <f>IFERROR(__xludf.DUMMYFUNCTION("""COMPUTED_VALUE"""),"Дорадо Картошка")</f>
        <v>Дорадо Картошка</v>
      </c>
      <c r="J47" s="112">
        <f>IFERROR(__xludf.DUMMYFUNCTION("""COMPUTED_VALUE"""),1.0)</f>
        <v>1</v>
      </c>
      <c r="K47" s="112" t="str">
        <f>IFERROR(__xludf.DUMMYFUNCTION("""COMPUTED_VALUE"""),"Олимп")</f>
        <v>Олимп</v>
      </c>
      <c r="L47" s="112"/>
      <c r="M47" s="112"/>
      <c r="N47" s="112"/>
      <c r="O47" s="112"/>
      <c r="P47" s="112"/>
      <c r="Q47" s="112"/>
      <c r="R47" s="112"/>
      <c r="S47" s="114"/>
      <c r="T47" s="114"/>
      <c r="U47" s="114"/>
      <c r="V47" s="114"/>
      <c r="W47" s="114"/>
      <c r="X47" s="114"/>
      <c r="Y47" s="114"/>
    </row>
    <row r="48" ht="30.0" customHeight="1">
      <c r="A48" s="80" t="s">
        <v>344</v>
      </c>
      <c r="B48" s="43">
        <v>44.0</v>
      </c>
      <c r="C48" s="47" t="s">
        <v>16</v>
      </c>
      <c r="D48" s="47" t="s">
        <v>105</v>
      </c>
      <c r="E48" s="129" t="s">
        <v>126</v>
      </c>
      <c r="F48" s="47" t="s">
        <v>127</v>
      </c>
      <c r="G48" s="121" t="str">
        <f t="shared" si="3"/>
        <v>S   MP </v>
      </c>
      <c r="H48" s="128" t="s">
        <v>1</v>
      </c>
      <c r="I48" s="112" t="str">
        <f>IFERROR(__xludf.DUMMYFUNCTION("""COMPUTED_VALUE"""),"Дорадо Фасоль")</f>
        <v>Дорадо Фасоль</v>
      </c>
      <c r="J48" s="112">
        <f>IFERROR(__xludf.DUMMYFUNCTION("""COMPUTED_VALUE"""),2.0)</f>
        <v>2</v>
      </c>
      <c r="K48" s="112" t="str">
        <f>IFERROR(__xludf.DUMMYFUNCTION("""COMPUTED_VALUE"""),"Олимп")</f>
        <v>Олимп</v>
      </c>
      <c r="L48" s="112"/>
      <c r="M48" s="112"/>
      <c r="N48" s="112"/>
      <c r="O48" s="112"/>
      <c r="P48" s="112"/>
      <c r="Q48" s="112"/>
      <c r="R48" s="112"/>
      <c r="S48" s="114"/>
      <c r="T48" s="114"/>
      <c r="U48" s="114"/>
      <c r="V48" s="114"/>
      <c r="W48" s="114"/>
      <c r="X48" s="114"/>
      <c r="Y48" s="114"/>
    </row>
    <row r="49" ht="30.0" customHeight="1">
      <c r="A49" s="55" t="s">
        <v>345</v>
      </c>
      <c r="B49" s="43">
        <v>45.0</v>
      </c>
      <c r="C49" s="47" t="s">
        <v>57</v>
      </c>
      <c r="D49" s="47" t="s">
        <v>78</v>
      </c>
      <c r="E49" s="47" t="s">
        <v>187</v>
      </c>
      <c r="F49" s="47"/>
      <c r="G49" s="121" t="str">
        <f t="shared" si="3"/>
        <v>Котл. кур </v>
      </c>
      <c r="H49" s="128" t="s">
        <v>1</v>
      </c>
      <c r="I49" s="112" t="str">
        <f>IFERROR(__xludf.DUMMYFUNCTION("""COMPUTED_VALUE"""),"Жульен MP ")</f>
        <v>Жульен MP </v>
      </c>
      <c r="J49" s="112">
        <f>IFERROR(__xludf.DUMMYFUNCTION("""COMPUTED_VALUE"""),1.0)</f>
        <v>1</v>
      </c>
      <c r="K49" s="112" t="str">
        <f>IFERROR(__xludf.DUMMYFUNCTION("""COMPUTED_VALUE"""),"Олимп")</f>
        <v>Олимп</v>
      </c>
      <c r="L49" s="112"/>
      <c r="M49" s="112"/>
      <c r="N49" s="112"/>
      <c r="O49" s="112"/>
      <c r="P49" s="112"/>
      <c r="Q49" s="112"/>
      <c r="R49" s="112"/>
      <c r="S49" s="114"/>
      <c r="T49" s="114"/>
      <c r="U49" s="114"/>
      <c r="V49" s="114"/>
      <c r="W49" s="114"/>
      <c r="X49" s="114"/>
      <c r="Y49" s="114"/>
    </row>
    <row r="50" ht="30.0" customHeight="1">
      <c r="A50" s="80" t="s">
        <v>470</v>
      </c>
      <c r="B50" s="43">
        <v>46.0</v>
      </c>
      <c r="C50" s="47" t="s">
        <v>47</v>
      </c>
      <c r="D50" s="47" t="s">
        <v>95</v>
      </c>
      <c r="E50" s="47" t="s">
        <v>150</v>
      </c>
      <c r="F50" s="47"/>
      <c r="G50" s="121" t="str">
        <f t="shared" si="3"/>
        <v>Бл. мясо </v>
      </c>
      <c r="H50" s="128" t="s">
        <v>1</v>
      </c>
      <c r="I50" s="112" t="str">
        <f>IFERROR(__xludf.DUMMYFUNCTION("""COMPUTED_VALUE"""),"Жульен Картошка")</f>
        <v>Жульен Картошка</v>
      </c>
      <c r="J50" s="112">
        <f>IFERROR(__xludf.DUMMYFUNCTION("""COMPUTED_VALUE"""),1.0)</f>
        <v>1</v>
      </c>
      <c r="K50" s="112" t="str">
        <f>IFERROR(__xludf.DUMMYFUNCTION("""COMPUTED_VALUE"""),"Олимп")</f>
        <v>Олимп</v>
      </c>
      <c r="L50" s="112"/>
      <c r="M50" s="112"/>
      <c r="N50" s="112"/>
      <c r="O50" s="112"/>
      <c r="P50" s="112"/>
      <c r="Q50" s="112"/>
      <c r="R50" s="112"/>
      <c r="S50" s="114"/>
      <c r="T50" s="114"/>
      <c r="U50" s="114"/>
      <c r="V50" s="114"/>
      <c r="W50" s="114"/>
      <c r="X50" s="114"/>
      <c r="Y50" s="114"/>
    </row>
    <row r="51" ht="30.0" customHeight="1">
      <c r="A51" s="80" t="s">
        <v>349</v>
      </c>
      <c r="B51" s="43">
        <v>47.0</v>
      </c>
      <c r="C51" s="47" t="s">
        <v>23</v>
      </c>
      <c r="D51" s="47" t="s">
        <v>105</v>
      </c>
      <c r="E51" s="47" t="s">
        <v>181</v>
      </c>
      <c r="F51" s="47" t="s">
        <v>127</v>
      </c>
      <c r="G51" s="121" t="str">
        <f t="shared" si="3"/>
        <v>Жульен MP </v>
      </c>
      <c r="H51" s="128" t="s">
        <v>1</v>
      </c>
      <c r="I51" s="112" t="str">
        <f>IFERROR(__xludf.DUMMYFUNCTION("""COMPUTED_VALUE"""),"Котл. кур ")</f>
        <v>Котл. кур </v>
      </c>
      <c r="J51" s="112">
        <f>IFERROR(__xludf.DUMMYFUNCTION("""COMPUTED_VALUE"""),1.0)</f>
        <v>1</v>
      </c>
      <c r="K51" s="112" t="str">
        <f>IFERROR(__xludf.DUMMYFUNCTION("""COMPUTED_VALUE"""),"Олимп")</f>
        <v>Олимп</v>
      </c>
      <c r="L51" s="112"/>
      <c r="M51" s="112"/>
      <c r="N51" s="112"/>
      <c r="O51" s="112"/>
      <c r="P51" s="112"/>
      <c r="Q51" s="112"/>
      <c r="R51" s="112"/>
      <c r="S51" s="114"/>
      <c r="T51" s="114"/>
      <c r="U51" s="114"/>
      <c r="V51" s="114"/>
      <c r="W51" s="114"/>
      <c r="X51" s="114"/>
      <c r="Y51" s="114"/>
    </row>
    <row r="52" ht="30.0" customHeight="1">
      <c r="A52" s="142" t="s">
        <v>473</v>
      </c>
      <c r="B52" s="43">
        <v>48.0</v>
      </c>
      <c r="C52" s="47" t="s">
        <v>5</v>
      </c>
      <c r="D52" s="47" t="s">
        <v>105</v>
      </c>
      <c r="E52" s="47" t="s">
        <v>126</v>
      </c>
      <c r="F52" s="47" t="s">
        <v>122</v>
      </c>
      <c r="G52" s="121" t="str">
        <f t="shared" si="3"/>
        <v>S   Туш. кап.</v>
      </c>
      <c r="H52" s="128" t="s">
        <v>1</v>
      </c>
      <c r="I52" s="112" t="str">
        <f>IFERROR(__xludf.DUMMYFUNCTION("""COMPUTED_VALUE"""),"Котл. кур  FF")</f>
        <v>Котл. кур  FF</v>
      </c>
      <c r="J52" s="112">
        <f>IFERROR(__xludf.DUMMYFUNCTION("""COMPUTED_VALUE"""),1.0)</f>
        <v>1</v>
      </c>
      <c r="K52" s="112" t="str">
        <f>IFERROR(__xludf.DUMMYFUNCTION("""COMPUTED_VALUE"""),"Олимп")</f>
        <v>Олимп</v>
      </c>
      <c r="L52" s="112"/>
      <c r="M52" s="112"/>
      <c r="N52" s="112"/>
      <c r="O52" s="112"/>
      <c r="P52" s="112"/>
      <c r="Q52" s="112"/>
      <c r="R52" s="112"/>
      <c r="S52" s="114"/>
      <c r="T52" s="114"/>
      <c r="U52" s="114"/>
      <c r="V52" s="114"/>
      <c r="W52" s="114"/>
      <c r="X52" s="114"/>
      <c r="Y52" s="114"/>
    </row>
    <row r="53" ht="30.0" customHeight="1">
      <c r="A53" s="80" t="s">
        <v>350</v>
      </c>
      <c r="B53" s="43">
        <v>49.0</v>
      </c>
      <c r="C53" s="47" t="s">
        <v>32</v>
      </c>
      <c r="D53" s="47" t="s">
        <v>87</v>
      </c>
      <c r="E53" s="47" t="s">
        <v>126</v>
      </c>
      <c r="F53" s="47" t="s">
        <v>127</v>
      </c>
      <c r="G53" s="121" t="str">
        <f t="shared" si="3"/>
        <v>S   MP </v>
      </c>
      <c r="H53" s="128" t="s">
        <v>1</v>
      </c>
      <c r="I53" s="112" t="str">
        <f>IFERROR(__xludf.DUMMYFUNCTION("""COMPUTED_VALUE"""),"Котл. кур Гр  ")</f>
        <v>Котл. кур Гр  </v>
      </c>
      <c r="J53" s="112">
        <f>IFERROR(__xludf.DUMMYFUNCTION("""COMPUTED_VALUE"""),2.0)</f>
        <v>2</v>
      </c>
      <c r="K53" s="112" t="str">
        <f>IFERROR(__xludf.DUMMYFUNCTION("""COMPUTED_VALUE"""),"Олимп")</f>
        <v>Олимп</v>
      </c>
      <c r="L53" s="112"/>
      <c r="M53" s="112"/>
      <c r="N53" s="112"/>
      <c r="O53" s="112"/>
      <c r="P53" s="112"/>
      <c r="Q53" s="112"/>
      <c r="R53" s="112"/>
      <c r="S53" s="114"/>
      <c r="T53" s="114"/>
      <c r="U53" s="114"/>
      <c r="V53" s="114"/>
      <c r="W53" s="114"/>
      <c r="X53" s="114"/>
      <c r="Y53" s="114"/>
    </row>
    <row r="54" ht="30.0" customHeight="1">
      <c r="A54" s="80" t="s">
        <v>270</v>
      </c>
      <c r="B54" s="43">
        <v>50.0</v>
      </c>
      <c r="C54" s="47" t="s">
        <v>16</v>
      </c>
      <c r="D54" s="47" t="s">
        <v>87</v>
      </c>
      <c r="E54" s="47" t="s">
        <v>222</v>
      </c>
      <c r="F54" s="47"/>
      <c r="G54" s="121" t="str">
        <f t="shared" si="3"/>
        <v>Чебуреки  </v>
      </c>
      <c r="H54" s="128" t="s">
        <v>1</v>
      </c>
      <c r="I54" s="112" t="str">
        <f>IFERROR(__xludf.DUMMYFUNCTION("""COMPUTED_VALUE"""),"Котл. кур Паста  ")</f>
        <v>Котл. кур Паста  </v>
      </c>
      <c r="J54" s="112">
        <f>IFERROR(__xludf.DUMMYFUNCTION("""COMPUTED_VALUE"""),1.0)</f>
        <v>1</v>
      </c>
      <c r="K54" s="112" t="str">
        <f>IFERROR(__xludf.DUMMYFUNCTION("""COMPUTED_VALUE"""),"Олимп")</f>
        <v>Олимп</v>
      </c>
      <c r="L54" s="112"/>
      <c r="M54" s="112"/>
      <c r="N54" s="112"/>
      <c r="O54" s="112"/>
      <c r="P54" s="112"/>
      <c r="Q54" s="112"/>
      <c r="R54" s="112"/>
      <c r="S54" s="114"/>
      <c r="T54" s="114"/>
      <c r="U54" s="114"/>
      <c r="V54" s="114"/>
      <c r="W54" s="114"/>
      <c r="X54" s="114"/>
      <c r="Y54" s="114"/>
    </row>
    <row r="55" ht="29.25" customHeight="1">
      <c r="A55" s="80" t="s">
        <v>353</v>
      </c>
      <c r="B55" s="43">
        <v>51.0</v>
      </c>
      <c r="C55" s="47" t="s">
        <v>55</v>
      </c>
      <c r="D55" s="47" t="s">
        <v>87</v>
      </c>
      <c r="E55" s="47" t="s">
        <v>211</v>
      </c>
      <c r="F55" s="47" t="s">
        <v>113</v>
      </c>
      <c r="G55" s="121" t="str">
        <f t="shared" si="3"/>
        <v>табака   FF</v>
      </c>
      <c r="H55" s="128" t="s">
        <v>1</v>
      </c>
      <c r="I55" s="112" t="str">
        <f>IFERROR(__xludf.DUMMYFUNCTION("""COMPUTED_VALUE"""),"Котл. кур Туш. кап.")</f>
        <v>Котл. кур Туш. кап.</v>
      </c>
      <c r="J55" s="112">
        <f>IFERROR(__xludf.DUMMYFUNCTION("""COMPUTED_VALUE"""),2.0)</f>
        <v>2</v>
      </c>
      <c r="K55" s="112" t="str">
        <f>IFERROR(__xludf.DUMMYFUNCTION("""COMPUTED_VALUE"""),"Олимп")</f>
        <v>Олимп</v>
      </c>
      <c r="L55" s="112"/>
      <c r="M55" s="112"/>
      <c r="N55" s="112"/>
      <c r="O55" s="112"/>
      <c r="P55" s="112"/>
      <c r="Q55" s="112"/>
      <c r="R55" s="112"/>
      <c r="S55" s="114"/>
      <c r="T55" s="114"/>
      <c r="U55" s="114"/>
      <c r="V55" s="114"/>
      <c r="W55" s="114"/>
      <c r="X55" s="114"/>
      <c r="Y55" s="114"/>
    </row>
    <row r="56" ht="29.25" customHeight="1">
      <c r="A56" s="55" t="s">
        <v>354</v>
      </c>
      <c r="B56" s="43">
        <v>52.0</v>
      </c>
      <c r="C56" s="47" t="s">
        <v>57</v>
      </c>
      <c r="D56" s="47" t="s">
        <v>85</v>
      </c>
      <c r="E56" s="47" t="s">
        <v>126</v>
      </c>
      <c r="F56" s="47" t="s">
        <v>276</v>
      </c>
      <c r="G56" s="121" t="str">
        <f t="shared" si="3"/>
        <v>S   Фасоль</v>
      </c>
      <c r="H56" s="128" t="s">
        <v>1</v>
      </c>
      <c r="I56" s="112" t="str">
        <f>IFERROR(__xludf.DUMMYFUNCTION("""COMPUTED_VALUE"""),"Пельмени ")</f>
        <v>Пельмени </v>
      </c>
      <c r="J56" s="112">
        <f>IFERROR(__xludf.DUMMYFUNCTION("""COMPUTED_VALUE"""),1.0)</f>
        <v>1</v>
      </c>
      <c r="K56" s="112" t="str">
        <f>IFERROR(__xludf.DUMMYFUNCTION("""COMPUTED_VALUE"""),"Олимп")</f>
        <v>Олимп</v>
      </c>
      <c r="L56" s="112"/>
      <c r="M56" s="112"/>
      <c r="N56" s="112"/>
      <c r="O56" s="112"/>
      <c r="P56" s="112"/>
      <c r="Q56" s="112"/>
      <c r="R56" s="112"/>
      <c r="S56" s="114"/>
      <c r="T56" s="114"/>
      <c r="U56" s="114"/>
      <c r="V56" s="114"/>
      <c r="W56" s="114"/>
      <c r="X56" s="114"/>
      <c r="Y56" s="114"/>
    </row>
    <row r="57" ht="30.0" customHeight="1">
      <c r="A57" s="80" t="s">
        <v>360</v>
      </c>
      <c r="B57" s="43">
        <v>53.0</v>
      </c>
      <c r="C57" s="47" t="s">
        <v>62</v>
      </c>
      <c r="D57" s="47" t="s">
        <v>95</v>
      </c>
      <c r="E57" s="47" t="s">
        <v>173</v>
      </c>
      <c r="F57" s="47" t="s">
        <v>276</v>
      </c>
      <c r="G57" s="121" t="str">
        <f t="shared" si="3"/>
        <v>Дорадо Фасоль</v>
      </c>
      <c r="H57" s="128" t="s">
        <v>1</v>
      </c>
      <c r="I57" s="112" t="str">
        <f>IFERROR(__xludf.DUMMYFUNCTION("""COMPUTED_VALUE"""),"Пельмени Туш. кап.")</f>
        <v>Пельмени Туш. кап.</v>
      </c>
      <c r="J57" s="112">
        <f>IFERROR(__xludf.DUMMYFUNCTION("""COMPUTED_VALUE"""),1.0)</f>
        <v>1</v>
      </c>
      <c r="K57" s="112" t="str">
        <f>IFERROR(__xludf.DUMMYFUNCTION("""COMPUTED_VALUE"""),"Олимп")</f>
        <v>Олимп</v>
      </c>
      <c r="L57" s="112"/>
      <c r="M57" s="112"/>
      <c r="N57" s="112"/>
      <c r="O57" s="112"/>
      <c r="P57" s="112"/>
      <c r="Q57" s="112"/>
      <c r="R57" s="112"/>
      <c r="S57" s="114"/>
      <c r="T57" s="114"/>
      <c r="U57" s="114"/>
      <c r="V57" s="114"/>
      <c r="W57" s="114"/>
      <c r="X57" s="114"/>
      <c r="Y57" s="114"/>
    </row>
    <row r="58" ht="30.0" customHeight="1">
      <c r="A58" s="6" t="s">
        <v>362</v>
      </c>
      <c r="B58" s="43">
        <v>54.0</v>
      </c>
      <c r="C58" s="47" t="s">
        <v>57</v>
      </c>
      <c r="D58" s="47" t="s">
        <v>117</v>
      </c>
      <c r="E58" s="129" t="s">
        <v>209</v>
      </c>
      <c r="F58" s="129" t="s">
        <v>127</v>
      </c>
      <c r="G58" s="121" t="str">
        <f t="shared" si="3"/>
        <v>Шницель MP </v>
      </c>
      <c r="H58" s="128" t="s">
        <v>1</v>
      </c>
      <c r="I58" s="112" t="str">
        <f>IFERROR(__xludf.DUMMYFUNCTION("""COMPUTED_VALUE"""),"Поперечка Картошка")</f>
        <v>Поперечка Картошка</v>
      </c>
      <c r="J58" s="112">
        <f>IFERROR(__xludf.DUMMYFUNCTION("""COMPUTED_VALUE"""),1.0)</f>
        <v>1</v>
      </c>
      <c r="K58" s="112" t="str">
        <f>IFERROR(__xludf.DUMMYFUNCTION("""COMPUTED_VALUE"""),"Олимп")</f>
        <v>Олимп</v>
      </c>
      <c r="L58" s="112"/>
      <c r="M58" s="112"/>
      <c r="N58" s="112"/>
      <c r="O58" s="112"/>
      <c r="P58" s="112"/>
      <c r="Q58" s="112"/>
      <c r="R58" s="112"/>
      <c r="S58" s="114"/>
      <c r="T58" s="114"/>
      <c r="U58" s="114"/>
      <c r="V58" s="114"/>
      <c r="W58" s="114"/>
      <c r="X58" s="114"/>
      <c r="Y58" s="114"/>
    </row>
    <row r="59" ht="30.0" customHeight="1">
      <c r="A59" s="6" t="s">
        <v>363</v>
      </c>
      <c r="B59" s="43">
        <v>55.0</v>
      </c>
      <c r="C59" s="47" t="s">
        <v>16</v>
      </c>
      <c r="D59" s="47" t="s">
        <v>65</v>
      </c>
      <c r="E59" s="47" t="s">
        <v>187</v>
      </c>
      <c r="F59" s="47" t="s">
        <v>113</v>
      </c>
      <c r="G59" s="121" t="str">
        <f t="shared" si="3"/>
        <v>Котл. кур  FF</v>
      </c>
      <c r="H59" s="128" t="s">
        <v>1</v>
      </c>
      <c r="I59" s="112" t="str">
        <f>IFERROR(__xludf.DUMMYFUNCTION("""COMPUTED_VALUE"""),"Поперечка Туш. кап.")</f>
        <v>Поперечка Туш. кап.</v>
      </c>
      <c r="J59" s="112">
        <f>IFERROR(__xludf.DUMMYFUNCTION("""COMPUTED_VALUE"""),1.0)</f>
        <v>1</v>
      </c>
      <c r="K59" s="112" t="str">
        <f>IFERROR(__xludf.DUMMYFUNCTION("""COMPUTED_VALUE"""),"Олимп")</f>
        <v>Олимп</v>
      </c>
      <c r="L59" s="112"/>
      <c r="M59" s="112"/>
      <c r="N59" s="112"/>
      <c r="O59" s="112"/>
      <c r="P59" s="112"/>
      <c r="Q59" s="112"/>
      <c r="R59" s="112"/>
      <c r="S59" s="114"/>
      <c r="T59" s="114"/>
      <c r="U59" s="114"/>
      <c r="V59" s="114"/>
      <c r="W59" s="114"/>
      <c r="X59" s="114"/>
      <c r="Y59" s="114"/>
    </row>
    <row r="60" ht="30.0" customHeight="1">
      <c r="A60" s="80" t="s">
        <v>366</v>
      </c>
      <c r="B60" s="43">
        <v>56.0</v>
      </c>
      <c r="C60" s="47" t="s">
        <v>5</v>
      </c>
      <c r="D60" s="47" t="s">
        <v>117</v>
      </c>
      <c r="E60" s="47" t="s">
        <v>211</v>
      </c>
      <c r="F60" s="47"/>
      <c r="G60" s="121" t="str">
        <f t="shared" si="3"/>
        <v>табака  </v>
      </c>
      <c r="H60" s="128" t="s">
        <v>1</v>
      </c>
      <c r="I60" s="112" t="str">
        <f>IFERROR(__xludf.DUMMYFUNCTION("""COMPUTED_VALUE"""),"Терияки MP ")</f>
        <v>Терияки MP </v>
      </c>
      <c r="J60" s="112">
        <f>IFERROR(__xludf.DUMMYFUNCTION("""COMPUTED_VALUE"""),1.0)</f>
        <v>1</v>
      </c>
      <c r="K60" s="112" t="str">
        <f>IFERROR(__xludf.DUMMYFUNCTION("""COMPUTED_VALUE"""),"Олимп")</f>
        <v>Олимп</v>
      </c>
      <c r="L60" s="112"/>
      <c r="M60" s="112"/>
      <c r="N60" s="112"/>
      <c r="O60" s="112"/>
      <c r="P60" s="112"/>
      <c r="Q60" s="112"/>
      <c r="R60" s="112"/>
      <c r="S60" s="114"/>
      <c r="T60" s="114"/>
      <c r="U60" s="114"/>
      <c r="V60" s="114"/>
      <c r="W60" s="114"/>
      <c r="X60" s="114"/>
      <c r="Y60" s="114"/>
    </row>
    <row r="61" ht="30.0" customHeight="1">
      <c r="A61" s="80" t="s">
        <v>368</v>
      </c>
      <c r="B61" s="43">
        <v>57.0</v>
      </c>
      <c r="C61" s="47" t="s">
        <v>23</v>
      </c>
      <c r="D61" s="47" t="s">
        <v>117</v>
      </c>
      <c r="E61" s="47" t="s">
        <v>191</v>
      </c>
      <c r="F61" s="129" t="s">
        <v>122</v>
      </c>
      <c r="G61" s="121" t="str">
        <f t="shared" si="3"/>
        <v>крылья Туш. кап.</v>
      </c>
      <c r="H61" s="128" t="s">
        <v>1</v>
      </c>
      <c r="I61" s="112" t="str">
        <f>IFERROR(__xludf.DUMMYFUNCTION("""COMPUTED_VALUE"""),"Терияки Гр  ")</f>
        <v>Терияки Гр  </v>
      </c>
      <c r="J61" s="112">
        <f>IFERROR(__xludf.DUMMYFUNCTION("""COMPUTED_VALUE"""),1.0)</f>
        <v>1</v>
      </c>
      <c r="K61" s="112" t="str">
        <f>IFERROR(__xludf.DUMMYFUNCTION("""COMPUTED_VALUE"""),"Олимп")</f>
        <v>Олимп</v>
      </c>
      <c r="L61" s="112"/>
      <c r="M61" s="112"/>
      <c r="N61" s="112"/>
      <c r="O61" s="112"/>
      <c r="P61" s="112"/>
      <c r="Q61" s="112"/>
      <c r="R61" s="112"/>
      <c r="S61" s="114"/>
      <c r="T61" s="114"/>
      <c r="U61" s="114"/>
      <c r="V61" s="114"/>
      <c r="W61" s="114"/>
      <c r="X61" s="114"/>
      <c r="Y61" s="114"/>
    </row>
    <row r="62" ht="30.0" customHeight="1">
      <c r="A62" s="80" t="s">
        <v>378</v>
      </c>
      <c r="B62" s="43">
        <v>58.0</v>
      </c>
      <c r="C62" s="47" t="s">
        <v>32</v>
      </c>
      <c r="D62" s="47" t="s">
        <v>85</v>
      </c>
      <c r="E62" s="47" t="s">
        <v>67</v>
      </c>
      <c r="F62" s="47" t="s">
        <v>113</v>
      </c>
      <c r="G62" s="133" t="str">
        <f t="shared" si="3"/>
        <v>Баса  FF</v>
      </c>
      <c r="H62" s="133" t="s">
        <v>1</v>
      </c>
      <c r="I62" s="112" t="str">
        <f>IFERROR(__xludf.DUMMYFUNCTION("""COMPUTED_VALUE"""),"Чалахач ")</f>
        <v>Чалахач </v>
      </c>
      <c r="J62" s="112">
        <f>IFERROR(__xludf.DUMMYFUNCTION("""COMPUTED_VALUE"""),2.0)</f>
        <v>2</v>
      </c>
      <c r="K62" s="112" t="str">
        <f>IFERROR(__xludf.DUMMYFUNCTION("""COMPUTED_VALUE"""),"Олимп")</f>
        <v>Олимп</v>
      </c>
      <c r="L62" s="112"/>
      <c r="M62" s="112"/>
      <c r="N62" s="112"/>
      <c r="O62" s="112"/>
      <c r="P62" s="112"/>
      <c r="Q62" s="112"/>
      <c r="R62" s="112"/>
      <c r="S62" s="114"/>
      <c r="T62" s="114"/>
      <c r="U62" s="114"/>
      <c r="V62" s="114"/>
      <c r="W62" s="114"/>
      <c r="X62" s="114"/>
      <c r="Y62" s="114"/>
    </row>
    <row r="63" ht="30.0" customHeight="1">
      <c r="A63" s="80" t="s">
        <v>385</v>
      </c>
      <c r="B63" s="43">
        <v>59.0</v>
      </c>
      <c r="C63" s="47" t="s">
        <v>55</v>
      </c>
      <c r="D63" s="47" t="s">
        <v>87</v>
      </c>
      <c r="E63" s="47" t="s">
        <v>67</v>
      </c>
      <c r="F63" s="47" t="s">
        <v>122</v>
      </c>
      <c r="G63" s="133" t="str">
        <f t="shared" si="3"/>
        <v>Баса Туш. кап.</v>
      </c>
      <c r="H63" s="133" t="s">
        <v>1</v>
      </c>
      <c r="I63" s="112" t="str">
        <f>IFERROR(__xludf.DUMMYFUNCTION("""COMPUTED_VALUE"""),"Чалахач Туш. кап.")</f>
        <v>Чалахач Туш. кап.</v>
      </c>
      <c r="J63" s="112">
        <f>IFERROR(__xludf.DUMMYFUNCTION("""COMPUTED_VALUE"""),3.0)</f>
        <v>3</v>
      </c>
      <c r="K63" s="112" t="str">
        <f>IFERROR(__xludf.DUMMYFUNCTION("""COMPUTED_VALUE"""),"Олимп")</f>
        <v>Олимп</v>
      </c>
      <c r="L63" s="112"/>
      <c r="M63" s="112"/>
      <c r="N63" s="112"/>
      <c r="O63" s="112"/>
      <c r="P63" s="112"/>
      <c r="Q63" s="112"/>
      <c r="R63" s="112"/>
      <c r="S63" s="114"/>
      <c r="T63" s="114"/>
      <c r="U63" s="114"/>
      <c r="V63" s="114"/>
      <c r="W63" s="114"/>
      <c r="X63" s="114"/>
      <c r="Y63" s="114"/>
    </row>
    <row r="64" ht="30.0" customHeight="1">
      <c r="A64" s="80" t="s">
        <v>389</v>
      </c>
      <c r="B64" s="43">
        <v>60.0</v>
      </c>
      <c r="C64" s="47" t="s">
        <v>5</v>
      </c>
      <c r="D64" s="47" t="s">
        <v>87</v>
      </c>
      <c r="E64" s="47" t="s">
        <v>161</v>
      </c>
      <c r="F64" s="47" t="s">
        <v>80</v>
      </c>
      <c r="G64" s="133" t="str">
        <f t="shared" si="3"/>
        <v>Вар.Кар Гр  </v>
      </c>
      <c r="H64" s="133" t="s">
        <v>1</v>
      </c>
      <c r="I64" s="112" t="str">
        <f>IFERROR(__xludf.DUMMYFUNCTION("""COMPUTED_VALUE"""),"Чебуреки  ")</f>
        <v>Чебуреки  </v>
      </c>
      <c r="J64" s="112">
        <f>IFERROR(__xludf.DUMMYFUNCTION("""COMPUTED_VALUE"""),1.0)</f>
        <v>1</v>
      </c>
      <c r="K64" s="112" t="str">
        <f>IFERROR(__xludf.DUMMYFUNCTION("""COMPUTED_VALUE"""),"Олимп")</f>
        <v>Олимп</v>
      </c>
      <c r="L64" s="112"/>
      <c r="M64" s="112"/>
      <c r="N64" s="112"/>
      <c r="O64" s="112"/>
      <c r="P64" s="112"/>
      <c r="Q64" s="112"/>
      <c r="R64" s="112"/>
      <c r="S64" s="114"/>
      <c r="T64" s="114"/>
      <c r="U64" s="114"/>
      <c r="V64" s="114"/>
      <c r="W64" s="114"/>
      <c r="X64" s="114"/>
      <c r="Y64" s="114"/>
    </row>
    <row r="65" ht="30.0" customHeight="1">
      <c r="A65" s="6" t="s">
        <v>502</v>
      </c>
      <c r="B65" s="43">
        <v>61.0</v>
      </c>
      <c r="C65" s="47" t="s">
        <v>57</v>
      </c>
      <c r="D65" s="47" t="s">
        <v>87</v>
      </c>
      <c r="E65" s="47" t="s">
        <v>211</v>
      </c>
      <c r="F65" s="47" t="s">
        <v>127</v>
      </c>
      <c r="G65" s="121" t="str">
        <f t="shared" si="3"/>
        <v>табака  MP </v>
      </c>
      <c r="H65" s="128" t="s">
        <v>1</v>
      </c>
      <c r="I65" s="112" t="str">
        <f>IFERROR(__xludf.DUMMYFUNCTION("""COMPUTED_VALUE"""),"Шницель MP ")</f>
        <v>Шницель MP </v>
      </c>
      <c r="J65" s="112">
        <f>IFERROR(__xludf.DUMMYFUNCTION("""COMPUTED_VALUE"""),2.0)</f>
        <v>2</v>
      </c>
      <c r="K65" s="112" t="str">
        <f>IFERROR(__xludf.DUMMYFUNCTION("""COMPUTED_VALUE"""),"Олимп")</f>
        <v>Олимп</v>
      </c>
      <c r="L65" s="112"/>
      <c r="M65" s="112"/>
      <c r="N65" s="112"/>
      <c r="O65" s="140"/>
      <c r="P65" s="112"/>
      <c r="Q65" s="114"/>
      <c r="R65" s="114"/>
      <c r="S65" s="114"/>
      <c r="T65" s="114"/>
      <c r="U65" s="114"/>
      <c r="V65" s="114"/>
      <c r="W65" s="114"/>
      <c r="X65" s="114"/>
      <c r="Y65" s="114"/>
    </row>
    <row r="66" ht="30.0" customHeight="1">
      <c r="A66" s="6" t="s">
        <v>509</v>
      </c>
      <c r="B66" s="43">
        <v>62.0</v>
      </c>
      <c r="C66" s="47" t="s">
        <v>16</v>
      </c>
      <c r="D66" s="47" t="s">
        <v>85</v>
      </c>
      <c r="E66" s="47" t="s">
        <v>166</v>
      </c>
      <c r="F66" s="47"/>
      <c r="G66" s="121" t="str">
        <f t="shared" si="3"/>
        <v>Голубцы </v>
      </c>
      <c r="H66" s="128" t="s">
        <v>1</v>
      </c>
      <c r="I66" s="112" t="str">
        <f>IFERROR(__xludf.DUMMYFUNCTION("""COMPUTED_VALUE"""),"Шницель Гр  ")</f>
        <v>Шницель Гр  </v>
      </c>
      <c r="J66" s="112">
        <f>IFERROR(__xludf.DUMMYFUNCTION("""COMPUTED_VALUE"""),1.0)</f>
        <v>1</v>
      </c>
      <c r="K66" s="112" t="str">
        <f>IFERROR(__xludf.DUMMYFUNCTION("""COMPUTED_VALUE"""),"Олимп")</f>
        <v>Олимп</v>
      </c>
      <c r="L66" s="112"/>
      <c r="M66" s="112"/>
      <c r="N66" s="112"/>
      <c r="O66" s="140"/>
      <c r="P66" s="112"/>
      <c r="Q66" s="114"/>
      <c r="R66" s="114"/>
      <c r="S66" s="114"/>
      <c r="T66" s="114"/>
      <c r="U66" s="114"/>
      <c r="V66" s="114"/>
      <c r="W66" s="114"/>
      <c r="X66" s="114"/>
      <c r="Y66" s="114"/>
    </row>
    <row r="67" ht="30.0" customHeight="1">
      <c r="A67" s="6" t="s">
        <v>410</v>
      </c>
      <c r="B67" s="43">
        <v>63.0</v>
      </c>
      <c r="C67" s="47" t="s">
        <v>55</v>
      </c>
      <c r="D67" s="47" t="s">
        <v>87</v>
      </c>
      <c r="E67" s="47" t="s">
        <v>209</v>
      </c>
      <c r="F67" s="47" t="s">
        <v>80</v>
      </c>
      <c r="G67" s="130" t="str">
        <f t="shared" si="3"/>
        <v>Шницель Гр  </v>
      </c>
      <c r="H67" s="130" t="s">
        <v>1</v>
      </c>
      <c r="I67" s="112" t="str">
        <f>IFERROR(__xludf.DUMMYFUNCTION("""COMPUTED_VALUE"""),"крылья ")</f>
        <v>крылья </v>
      </c>
      <c r="J67" s="112">
        <f>IFERROR(__xludf.DUMMYFUNCTION("""COMPUTED_VALUE"""),1.0)</f>
        <v>1</v>
      </c>
      <c r="K67" s="112" t="str">
        <f>IFERROR(__xludf.DUMMYFUNCTION("""COMPUTED_VALUE"""),"Олимп")</f>
        <v>Олимп</v>
      </c>
      <c r="L67" s="112"/>
      <c r="M67" s="112"/>
      <c r="N67" s="112"/>
      <c r="O67" s="140"/>
      <c r="P67" s="112"/>
      <c r="Q67" s="114"/>
      <c r="R67" s="114"/>
      <c r="S67" s="114"/>
      <c r="T67" s="114"/>
      <c r="U67" s="114"/>
      <c r="V67" s="114"/>
      <c r="W67" s="114"/>
      <c r="X67" s="114"/>
      <c r="Y67" s="114"/>
    </row>
    <row r="68" ht="30.0" customHeight="1">
      <c r="A68" s="68" t="s">
        <v>516</v>
      </c>
      <c r="B68" s="43">
        <v>64.0</v>
      </c>
      <c r="C68" s="47" t="s">
        <v>57</v>
      </c>
      <c r="D68" s="47" t="s">
        <v>105</v>
      </c>
      <c r="E68" s="47" t="s">
        <v>150</v>
      </c>
      <c r="F68" s="129"/>
      <c r="G68" s="130" t="str">
        <f t="shared" si="3"/>
        <v>Бл. мясо </v>
      </c>
      <c r="H68" s="130" t="s">
        <v>1</v>
      </c>
      <c r="I68" s="112" t="str">
        <f>IFERROR(__xludf.DUMMYFUNCTION("""COMPUTED_VALUE"""),"крылья MP ")</f>
        <v>крылья MP </v>
      </c>
      <c r="J68" s="112">
        <f>IFERROR(__xludf.DUMMYFUNCTION("""COMPUTED_VALUE"""),1.0)</f>
        <v>1</v>
      </c>
      <c r="K68" s="112" t="str">
        <f>IFERROR(__xludf.DUMMYFUNCTION("""COMPUTED_VALUE"""),"Олимп")</f>
        <v>Олимп</v>
      </c>
      <c r="L68" s="112"/>
      <c r="M68" s="112"/>
      <c r="N68" s="112"/>
      <c r="O68" s="140"/>
      <c r="P68" s="112"/>
      <c r="Q68" s="114"/>
      <c r="R68" s="114"/>
      <c r="S68" s="114"/>
      <c r="T68" s="114"/>
      <c r="U68" s="114"/>
      <c r="V68" s="114"/>
      <c r="W68" s="114"/>
      <c r="X68" s="114"/>
      <c r="Y68" s="114"/>
    </row>
    <row r="69" ht="30.0" customHeight="1">
      <c r="A69" s="55" t="s">
        <v>420</v>
      </c>
      <c r="B69" s="43">
        <v>65.0</v>
      </c>
      <c r="C69" s="47" t="s">
        <v>57</v>
      </c>
      <c r="D69" s="47" t="s">
        <v>65</v>
      </c>
      <c r="E69" s="47" t="s">
        <v>126</v>
      </c>
      <c r="F69" s="47" t="s">
        <v>113</v>
      </c>
      <c r="G69" s="121" t="str">
        <f t="shared" si="3"/>
        <v>S    FF</v>
      </c>
      <c r="H69" s="128" t="s">
        <v>1</v>
      </c>
      <c r="I69" s="112" t="str">
        <f>IFERROR(__xludf.DUMMYFUNCTION("""COMPUTED_VALUE"""),"крылья Паста  ")</f>
        <v>крылья Паста  </v>
      </c>
      <c r="J69" s="112">
        <f>IFERROR(__xludf.DUMMYFUNCTION("""COMPUTED_VALUE"""),1.0)</f>
        <v>1</v>
      </c>
      <c r="K69" s="112" t="str">
        <f>IFERROR(__xludf.DUMMYFUNCTION("""COMPUTED_VALUE"""),"Олимп")</f>
        <v>Олимп</v>
      </c>
      <c r="L69" s="112"/>
      <c r="M69" s="112"/>
      <c r="N69" s="112"/>
      <c r="O69" s="112"/>
      <c r="P69" s="112"/>
      <c r="Q69" s="112"/>
      <c r="R69" s="112"/>
      <c r="S69" s="114"/>
      <c r="T69" s="114"/>
      <c r="U69" s="114"/>
      <c r="V69" s="114"/>
      <c r="W69" s="114"/>
      <c r="X69" s="114"/>
      <c r="Y69" s="114"/>
    </row>
    <row r="70" ht="30.0" customHeight="1">
      <c r="A70" s="80" t="s">
        <v>423</v>
      </c>
      <c r="B70" s="43">
        <v>66.0</v>
      </c>
      <c r="C70" s="47" t="s">
        <v>16</v>
      </c>
      <c r="D70" s="47" t="s">
        <v>87</v>
      </c>
      <c r="E70" s="47" t="s">
        <v>187</v>
      </c>
      <c r="F70" s="47" t="s">
        <v>272</v>
      </c>
      <c r="G70" s="121" t="str">
        <f t="shared" si="3"/>
        <v>Котл. кур Паста  </v>
      </c>
      <c r="H70" s="128" t="s">
        <v>1</v>
      </c>
      <c r="I70" s="112" t="str">
        <f>IFERROR(__xludf.DUMMYFUNCTION("""COMPUTED_VALUE"""),"крылья Туш. кап.")</f>
        <v>крылья Туш. кап.</v>
      </c>
      <c r="J70" s="112">
        <f>IFERROR(__xludf.DUMMYFUNCTION("""COMPUTED_VALUE"""),2.0)</f>
        <v>2</v>
      </c>
      <c r="K70" s="112" t="str">
        <f>IFERROR(__xludf.DUMMYFUNCTION("""COMPUTED_VALUE"""),"Олимп")</f>
        <v>Олимп</v>
      </c>
      <c r="L70" s="112"/>
      <c r="M70" s="112"/>
      <c r="N70" s="112"/>
      <c r="O70" s="112"/>
      <c r="P70" s="112"/>
      <c r="Q70" s="112"/>
      <c r="R70" s="112"/>
      <c r="S70" s="114"/>
      <c r="T70" s="114"/>
      <c r="U70" s="114"/>
      <c r="V70" s="114"/>
      <c r="W70" s="114"/>
      <c r="X70" s="114"/>
      <c r="Y70" s="114"/>
    </row>
    <row r="71" ht="30.0" customHeight="1">
      <c r="A71" s="6" t="s">
        <v>425</v>
      </c>
      <c r="B71" s="43">
        <v>67.0</v>
      </c>
      <c r="C71" s="47" t="s">
        <v>23</v>
      </c>
      <c r="D71" s="47" t="s">
        <v>65</v>
      </c>
      <c r="E71" s="47" t="s">
        <v>79</v>
      </c>
      <c r="F71" s="155"/>
      <c r="G71" s="121" t="str">
        <f t="shared" si="3"/>
        <v>Чалахач </v>
      </c>
      <c r="H71" s="128" t="s">
        <v>1</v>
      </c>
      <c r="I71" s="112" t="str">
        <f>IFERROR(__xludf.DUMMYFUNCTION("""COMPUTED_VALUE"""),"табака  ")</f>
        <v>табака  </v>
      </c>
      <c r="J71" s="112">
        <f>IFERROR(__xludf.DUMMYFUNCTION("""COMPUTED_VALUE"""),1.0)</f>
        <v>1</v>
      </c>
      <c r="K71" s="112" t="str">
        <f>IFERROR(__xludf.DUMMYFUNCTION("""COMPUTED_VALUE"""),"Олимп")</f>
        <v>Олимп</v>
      </c>
      <c r="L71" s="112"/>
      <c r="M71" s="112"/>
      <c r="N71" s="112"/>
      <c r="O71" s="112"/>
      <c r="P71" s="112"/>
      <c r="Q71" s="112"/>
      <c r="R71" s="112"/>
      <c r="S71" s="114"/>
      <c r="T71" s="114"/>
      <c r="U71" s="114"/>
      <c r="V71" s="114"/>
      <c r="W71" s="114"/>
      <c r="X71" s="114"/>
      <c r="Y71" s="114"/>
    </row>
    <row r="72" ht="30.0" customHeight="1">
      <c r="A72" s="80" t="s">
        <v>430</v>
      </c>
      <c r="B72" s="43">
        <v>68.0</v>
      </c>
      <c r="C72" s="47" t="s">
        <v>16</v>
      </c>
      <c r="D72" s="47" t="s">
        <v>117</v>
      </c>
      <c r="E72" s="47" t="s">
        <v>126</v>
      </c>
      <c r="F72" s="47" t="s">
        <v>122</v>
      </c>
      <c r="G72" s="121" t="str">
        <f t="shared" si="3"/>
        <v>S   Туш. кап.</v>
      </c>
      <c r="H72" s="128" t="s">
        <v>1</v>
      </c>
      <c r="I72" s="112" t="str">
        <f>IFERROR(__xludf.DUMMYFUNCTION("""COMPUTED_VALUE"""),"табака   FF")</f>
        <v>табака   FF</v>
      </c>
      <c r="J72" s="112">
        <f>IFERROR(__xludf.DUMMYFUNCTION("""COMPUTED_VALUE"""),1.0)</f>
        <v>1</v>
      </c>
      <c r="K72" s="112" t="str">
        <f>IFERROR(__xludf.DUMMYFUNCTION("""COMPUTED_VALUE"""),"Олимп")</f>
        <v>Олимп</v>
      </c>
      <c r="L72" s="112"/>
      <c r="M72" s="112"/>
      <c r="N72" s="112"/>
      <c r="O72" s="112"/>
      <c r="P72" s="112"/>
      <c r="Q72" s="112"/>
      <c r="R72" s="112"/>
      <c r="S72" s="114"/>
      <c r="T72" s="114"/>
      <c r="U72" s="114"/>
      <c r="V72" s="114"/>
      <c r="W72" s="114"/>
      <c r="X72" s="114"/>
      <c r="Y72" s="114"/>
    </row>
    <row r="73" ht="30.0" customHeight="1">
      <c r="A73" s="80" t="s">
        <v>434</v>
      </c>
      <c r="B73" s="43">
        <v>69.0</v>
      </c>
      <c r="C73" s="47" t="s">
        <v>55</v>
      </c>
      <c r="D73" s="47" t="s">
        <v>85</v>
      </c>
      <c r="E73" s="47" t="s">
        <v>97</v>
      </c>
      <c r="F73" s="47" t="s">
        <v>80</v>
      </c>
      <c r="G73" s="121" t="str">
        <f t="shared" si="3"/>
        <v>Терияки Гр  </v>
      </c>
      <c r="H73" s="128" t="s">
        <v>1</v>
      </c>
      <c r="I73" s="112" t="str">
        <f>IFERROR(__xludf.DUMMYFUNCTION("""COMPUTED_VALUE"""),"табака  MP ")</f>
        <v>табака  MP </v>
      </c>
      <c r="J73" s="112">
        <f>IFERROR(__xludf.DUMMYFUNCTION("""COMPUTED_VALUE"""),1.0)</f>
        <v>1</v>
      </c>
      <c r="K73" s="112" t="str">
        <f>IFERROR(__xludf.DUMMYFUNCTION("""COMPUTED_VALUE"""),"Олимп")</f>
        <v>Олимп</v>
      </c>
      <c r="L73" s="112"/>
      <c r="M73" s="112"/>
      <c r="N73" s="112"/>
      <c r="O73" s="112"/>
      <c r="P73" s="112"/>
      <c r="Q73" s="112"/>
      <c r="R73" s="112"/>
      <c r="S73" s="114"/>
      <c r="T73" s="114"/>
      <c r="U73" s="114"/>
      <c r="V73" s="114"/>
      <c r="W73" s="114"/>
      <c r="X73" s="114"/>
      <c r="Y73" s="114"/>
    </row>
    <row r="74" ht="30.0" customHeight="1">
      <c r="A74" s="80" t="s">
        <v>437</v>
      </c>
      <c r="B74" s="43">
        <v>70.0</v>
      </c>
      <c r="C74" s="47" t="s">
        <v>16</v>
      </c>
      <c r="D74" s="47" t="s">
        <v>78</v>
      </c>
      <c r="E74" s="47" t="s">
        <v>187</v>
      </c>
      <c r="F74" s="47" t="s">
        <v>80</v>
      </c>
      <c r="G74" s="121" t="str">
        <f t="shared" si="3"/>
        <v>Котл. кур Гр  </v>
      </c>
      <c r="H74" s="128" t="s">
        <v>1</v>
      </c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4"/>
      <c r="T74" s="114"/>
      <c r="U74" s="114"/>
      <c r="V74" s="114"/>
      <c r="W74" s="114"/>
      <c r="X74" s="114"/>
      <c r="Y74" s="114"/>
    </row>
    <row r="75" ht="30.0" customHeight="1">
      <c r="A75" s="80" t="s">
        <v>528</v>
      </c>
      <c r="B75" s="43">
        <v>71.0</v>
      </c>
      <c r="C75" s="47" t="s">
        <v>57</v>
      </c>
      <c r="D75" s="47" t="s">
        <v>65</v>
      </c>
      <c r="E75" s="47" t="s">
        <v>165</v>
      </c>
      <c r="F75" s="47"/>
      <c r="G75" s="121" t="str">
        <f t="shared" si="3"/>
        <v>Пельмени </v>
      </c>
      <c r="H75" s="128" t="s">
        <v>1</v>
      </c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4"/>
      <c r="T75" s="114"/>
      <c r="U75" s="114"/>
      <c r="V75" s="114"/>
      <c r="W75" s="114"/>
      <c r="X75" s="114"/>
      <c r="Y75" s="114"/>
    </row>
    <row r="76">
      <c r="A76" s="80" t="s">
        <v>441</v>
      </c>
      <c r="B76" s="43">
        <v>72.0</v>
      </c>
      <c r="C76" s="47" t="s">
        <v>23</v>
      </c>
      <c r="D76" s="47" t="s">
        <v>87</v>
      </c>
      <c r="E76" s="47" t="s">
        <v>161</v>
      </c>
      <c r="F76" s="47"/>
      <c r="G76" s="121" t="str">
        <f t="shared" si="3"/>
        <v>Вар.Кар </v>
      </c>
      <c r="H76" s="128" t="s">
        <v>1</v>
      </c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4"/>
      <c r="T76" s="114"/>
      <c r="U76" s="114"/>
      <c r="V76" s="114"/>
      <c r="W76" s="114"/>
      <c r="X76" s="114"/>
      <c r="Y76" s="114"/>
    </row>
    <row r="77">
      <c r="A77" s="19"/>
      <c r="B77" s="19"/>
      <c r="C77" s="19"/>
      <c r="D77" s="19"/>
      <c r="E77" s="19"/>
      <c r="F77" s="19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4"/>
      <c r="T77" s="114"/>
      <c r="U77" s="114"/>
      <c r="V77" s="114"/>
      <c r="W77" s="114"/>
      <c r="X77" s="114"/>
      <c r="Y77" s="114"/>
    </row>
    <row r="78">
      <c r="A78" s="19"/>
      <c r="B78" s="19"/>
      <c r="C78" s="19"/>
      <c r="D78" s="19"/>
      <c r="E78" s="19"/>
      <c r="F78" s="19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4"/>
      <c r="T78" s="114"/>
      <c r="U78" s="114"/>
      <c r="V78" s="114"/>
      <c r="W78" s="114"/>
      <c r="X78" s="114"/>
      <c r="Y78" s="114"/>
    </row>
    <row r="79">
      <c r="A79" s="19"/>
      <c r="B79" s="19"/>
      <c r="C79" s="19"/>
      <c r="D79" s="19"/>
      <c r="E79" s="19"/>
      <c r="F79" s="19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4"/>
      <c r="T79" s="114"/>
      <c r="U79" s="114"/>
      <c r="V79" s="114"/>
      <c r="W79" s="114"/>
      <c r="X79" s="114"/>
      <c r="Y79" s="114"/>
    </row>
    <row r="80">
      <c r="A80" s="114"/>
      <c r="B80" s="114"/>
      <c r="C80" s="114"/>
      <c r="D80" s="114"/>
      <c r="E80" s="114"/>
      <c r="F80" s="114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4"/>
      <c r="T80" s="114"/>
      <c r="U80" s="114"/>
      <c r="V80" s="114"/>
      <c r="W80" s="114"/>
      <c r="X80" s="114"/>
      <c r="Y80" s="114"/>
    </row>
    <row r="81">
      <c r="A81" s="114"/>
      <c r="B81" s="114"/>
      <c r="C81" s="114"/>
      <c r="D81" s="114"/>
      <c r="E81" s="114"/>
      <c r="F81" s="114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4"/>
      <c r="T81" s="114"/>
      <c r="U81" s="114"/>
      <c r="V81" s="114"/>
      <c r="W81" s="114"/>
      <c r="X81" s="114"/>
      <c r="Y81" s="114"/>
    </row>
    <row r="82">
      <c r="A82" s="19"/>
      <c r="B82" s="19"/>
      <c r="C82" s="19"/>
      <c r="D82" s="19"/>
      <c r="E82" s="19"/>
      <c r="F82" s="19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4"/>
      <c r="T82" s="114"/>
      <c r="U82" s="114"/>
      <c r="V82" s="114"/>
      <c r="W82" s="114"/>
      <c r="X82" s="114"/>
      <c r="Y82" s="114"/>
    </row>
    <row r="83">
      <c r="A83" s="19"/>
      <c r="B83" s="19"/>
      <c r="C83" s="19"/>
      <c r="D83" s="19"/>
      <c r="E83" s="19"/>
      <c r="F83" s="19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4"/>
      <c r="T83" s="114"/>
      <c r="U83" s="114"/>
      <c r="V83" s="114"/>
      <c r="W83" s="114"/>
      <c r="X83" s="114"/>
      <c r="Y83" s="114"/>
    </row>
    <row r="84">
      <c r="A84" s="19"/>
      <c r="B84" s="19"/>
      <c r="C84" s="19"/>
      <c r="D84" s="19"/>
      <c r="E84" s="19"/>
      <c r="F84" s="19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4"/>
      <c r="T84" s="114"/>
      <c r="U84" s="114"/>
      <c r="V84" s="114"/>
      <c r="W84" s="114"/>
      <c r="X84" s="114"/>
      <c r="Y84" s="114"/>
    </row>
    <row r="85">
      <c r="A85" s="19"/>
      <c r="B85" s="19"/>
      <c r="C85" s="19"/>
      <c r="D85" s="19"/>
      <c r="E85" s="19"/>
      <c r="F85" s="19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4"/>
      <c r="T85" s="114"/>
      <c r="U85" s="114"/>
      <c r="V85" s="114"/>
      <c r="W85" s="114"/>
      <c r="X85" s="114"/>
      <c r="Y85" s="114"/>
    </row>
    <row r="86">
      <c r="A86" s="19"/>
      <c r="F86" s="19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4"/>
      <c r="T86" s="114"/>
      <c r="U86" s="114"/>
      <c r="V86" s="114"/>
      <c r="W86" s="114"/>
      <c r="X86" s="114"/>
      <c r="Y86" s="114"/>
    </row>
    <row r="87">
      <c r="A87" s="19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4"/>
      <c r="T87" s="114"/>
      <c r="U87" s="114"/>
      <c r="V87" s="114"/>
      <c r="W87" s="114"/>
      <c r="X87" s="114"/>
      <c r="Y87" s="114"/>
    </row>
    <row r="88">
      <c r="A88" s="19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4"/>
      <c r="T88" s="114"/>
      <c r="U88" s="114"/>
      <c r="V88" s="114"/>
      <c r="W88" s="114"/>
      <c r="X88" s="114"/>
      <c r="Y88" s="114"/>
    </row>
    <row r="89">
      <c r="A89" s="6" t="s">
        <v>248</v>
      </c>
      <c r="B89" s="156" t="s">
        <v>543</v>
      </c>
      <c r="C89" s="47" t="s">
        <v>5</v>
      </c>
      <c r="D89" s="47" t="s">
        <v>65</v>
      </c>
      <c r="E89" s="47" t="s">
        <v>112</v>
      </c>
      <c r="F89" s="47" t="s">
        <v>113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80" t="s">
        <v>330</v>
      </c>
      <c r="B90" s="106" t="s">
        <v>331</v>
      </c>
      <c r="C90" s="47" t="s">
        <v>23</v>
      </c>
      <c r="D90" s="47" t="s">
        <v>117</v>
      </c>
      <c r="E90" s="47" t="s">
        <v>173</v>
      </c>
      <c r="F90" s="47" t="s">
        <v>276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55" t="s">
        <v>375</v>
      </c>
      <c r="B91" s="157" t="s">
        <v>547</v>
      </c>
      <c r="C91" s="47" t="s">
        <v>62</v>
      </c>
      <c r="D91" s="47" t="s">
        <v>65</v>
      </c>
      <c r="E91" s="47" t="s">
        <v>126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4"/>
      <c r="T92" s="114"/>
      <c r="U92" s="114"/>
      <c r="V92" s="114"/>
      <c r="W92" s="114"/>
      <c r="X92" s="114"/>
      <c r="Y92" s="114"/>
    </row>
    <row r="93">
      <c r="A93" s="115"/>
      <c r="B93" s="114"/>
      <c r="C93" s="114"/>
      <c r="D93" s="114"/>
      <c r="E93" s="114"/>
      <c r="F93" s="114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4"/>
      <c r="T93" s="114"/>
      <c r="U93" s="114"/>
      <c r="V93" s="114"/>
      <c r="W93" s="114"/>
      <c r="X93" s="114"/>
      <c r="Y93" s="114"/>
    </row>
    <row r="105">
      <c r="A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14"/>
      <c r="B106" s="114"/>
      <c r="C106" s="114"/>
      <c r="D106" s="114"/>
      <c r="E106" s="114"/>
      <c r="F106" s="114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4"/>
      <c r="T106" s="114"/>
      <c r="U106" s="114"/>
      <c r="V106" s="114"/>
      <c r="W106" s="114"/>
      <c r="X106" s="114"/>
      <c r="Y106" s="114"/>
    </row>
    <row r="107">
      <c r="A107" s="114"/>
      <c r="B107" s="114"/>
      <c r="C107" s="114"/>
      <c r="D107" s="114"/>
      <c r="E107" s="114"/>
      <c r="F107" s="114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4"/>
      <c r="T107" s="114"/>
      <c r="U107" s="114"/>
      <c r="V107" s="114"/>
      <c r="W107" s="114"/>
      <c r="X107" s="114"/>
      <c r="Y107" s="114"/>
    </row>
    <row r="111">
      <c r="A111" s="114"/>
      <c r="B111" s="114"/>
      <c r="C111" s="114"/>
      <c r="D111" s="114"/>
      <c r="E111" s="114"/>
      <c r="F111" s="114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4"/>
      <c r="T111" s="114"/>
      <c r="U111" s="114"/>
      <c r="V111" s="114"/>
      <c r="W111" s="114"/>
      <c r="X111" s="114"/>
      <c r="Y111" s="114"/>
    </row>
    <row r="112">
      <c r="A112" s="114"/>
      <c r="B112" s="114"/>
      <c r="C112" s="114"/>
      <c r="D112" s="114"/>
      <c r="E112" s="114"/>
      <c r="F112" s="114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4"/>
      <c r="T112" s="114"/>
      <c r="U112" s="114"/>
      <c r="V112" s="114"/>
      <c r="W112" s="114"/>
      <c r="X112" s="114"/>
      <c r="Y112" s="114"/>
    </row>
    <row r="113">
      <c r="A113" s="115" t="s">
        <v>554</v>
      </c>
      <c r="B113" s="114"/>
      <c r="C113" s="114"/>
      <c r="D113" s="114"/>
      <c r="E113" s="114"/>
      <c r="F113" s="114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4"/>
      <c r="T113" s="114"/>
      <c r="U113" s="114"/>
      <c r="V113" s="114"/>
      <c r="W113" s="114"/>
      <c r="X113" s="114"/>
      <c r="Y113" s="114"/>
    </row>
    <row r="114">
      <c r="A114" s="43"/>
      <c r="B114" s="43"/>
      <c r="C114" s="47"/>
      <c r="D114" s="47"/>
      <c r="E114" s="47"/>
      <c r="F114" s="114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4"/>
      <c r="T114" s="114"/>
      <c r="U114" s="114"/>
      <c r="V114" s="114"/>
      <c r="W114" s="114"/>
      <c r="X114" s="114"/>
      <c r="Y114" s="114"/>
    </row>
    <row r="115">
      <c r="A115" s="114"/>
      <c r="B115" s="114"/>
      <c r="C115" s="114"/>
      <c r="D115" s="114"/>
      <c r="E115" s="114"/>
      <c r="F115" s="114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4"/>
      <c r="T115" s="114"/>
      <c r="U115" s="114"/>
      <c r="V115" s="114"/>
      <c r="W115" s="114"/>
      <c r="X115" s="114"/>
      <c r="Y115" s="114"/>
    </row>
    <row r="116">
      <c r="A116" s="114"/>
      <c r="B116" s="114"/>
      <c r="C116" s="114"/>
      <c r="D116" s="114"/>
      <c r="E116" s="114"/>
      <c r="F116" s="114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4"/>
      <c r="T116" s="114"/>
      <c r="U116" s="114"/>
      <c r="V116" s="114"/>
      <c r="W116" s="114"/>
      <c r="X116" s="114"/>
      <c r="Y116" s="114"/>
    </row>
    <row r="117">
      <c r="A117" s="114"/>
      <c r="B117" s="114"/>
      <c r="C117" s="114"/>
      <c r="D117" s="114"/>
      <c r="E117" s="114"/>
      <c r="F117" s="114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4"/>
      <c r="T117" s="114"/>
      <c r="U117" s="114"/>
      <c r="V117" s="114"/>
      <c r="W117" s="114"/>
      <c r="X117" s="114"/>
      <c r="Y117" s="114"/>
    </row>
    <row r="118">
      <c r="A118" s="115" t="s">
        <v>558</v>
      </c>
      <c r="B118" s="114"/>
      <c r="C118" s="114"/>
      <c r="D118" s="114"/>
      <c r="E118" s="114"/>
      <c r="F118" s="114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4"/>
      <c r="T118" s="114"/>
      <c r="U118" s="114"/>
      <c r="V118" s="114"/>
      <c r="W118" s="114"/>
      <c r="X118" s="114"/>
      <c r="Y118" s="114"/>
    </row>
    <row r="119">
      <c r="A119" s="142" t="s">
        <v>473</v>
      </c>
      <c r="B119" s="43">
        <v>48.0</v>
      </c>
      <c r="C119" s="47" t="s">
        <v>5</v>
      </c>
      <c r="D119" s="47" t="s">
        <v>105</v>
      </c>
      <c r="E119" s="47" t="s">
        <v>126</v>
      </c>
      <c r="F119" s="47" t="s">
        <v>122</v>
      </c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4"/>
      <c r="T119" s="114"/>
      <c r="U119" s="114"/>
      <c r="V119" s="114"/>
      <c r="W119" s="114"/>
      <c r="X119" s="114"/>
      <c r="Y119" s="114"/>
    </row>
    <row r="120">
      <c r="A120" s="43" t="s">
        <v>386</v>
      </c>
      <c r="B120" s="43">
        <v>15.0</v>
      </c>
      <c r="C120" s="47" t="s">
        <v>47</v>
      </c>
      <c r="D120" s="47" t="s">
        <v>78</v>
      </c>
      <c r="E120" s="47" t="s">
        <v>79</v>
      </c>
      <c r="F120" s="47" t="s">
        <v>122</v>
      </c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4"/>
      <c r="T120" s="114"/>
      <c r="U120" s="114"/>
      <c r="V120" s="114"/>
      <c r="W120" s="114"/>
      <c r="X120" s="114"/>
      <c r="Y120" s="114"/>
    </row>
    <row r="121">
      <c r="A121" s="55" t="s">
        <v>429</v>
      </c>
      <c r="B121" s="43">
        <v>28.0</v>
      </c>
      <c r="C121" s="47" t="s">
        <v>57</v>
      </c>
      <c r="D121" s="129" t="s">
        <v>105</v>
      </c>
      <c r="E121" s="47" t="s">
        <v>187</v>
      </c>
      <c r="F121" s="47" t="s">
        <v>122</v>
      </c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4"/>
      <c r="T121" s="114"/>
      <c r="U121" s="114"/>
      <c r="V121" s="114"/>
      <c r="W121" s="114"/>
      <c r="X121" s="114"/>
      <c r="Y121" s="114"/>
    </row>
    <row r="122">
      <c r="A122" s="6" t="s">
        <v>509</v>
      </c>
      <c r="B122" s="43">
        <v>62.0</v>
      </c>
      <c r="C122" s="47" t="s">
        <v>16</v>
      </c>
      <c r="D122" s="47" t="s">
        <v>85</v>
      </c>
      <c r="E122" s="47" t="s">
        <v>166</v>
      </c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4"/>
      <c r="T122" s="114"/>
      <c r="U122" s="114"/>
      <c r="V122" s="114"/>
      <c r="W122" s="114"/>
      <c r="X122" s="114"/>
      <c r="Y122" s="114"/>
    </row>
    <row r="123">
      <c r="A123" s="114"/>
      <c r="B123" s="114"/>
      <c r="C123" s="114"/>
      <c r="D123" s="114"/>
      <c r="E123" s="114"/>
      <c r="F123" s="114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4"/>
      <c r="T123" s="114"/>
      <c r="U123" s="114"/>
      <c r="V123" s="114"/>
      <c r="W123" s="114"/>
      <c r="X123" s="114"/>
      <c r="Y123" s="114"/>
    </row>
    <row r="124">
      <c r="A124" s="114"/>
      <c r="B124" s="114"/>
      <c r="C124" s="114"/>
      <c r="D124" s="114"/>
      <c r="E124" s="114"/>
      <c r="F124" s="114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4"/>
      <c r="T124" s="114"/>
      <c r="U124" s="114"/>
      <c r="V124" s="114"/>
      <c r="W124" s="114"/>
      <c r="X124" s="114"/>
      <c r="Y124" s="114"/>
    </row>
    <row r="125">
      <c r="A125" s="115" t="s">
        <v>564</v>
      </c>
      <c r="B125" s="114"/>
      <c r="C125" s="114"/>
      <c r="D125" s="114"/>
      <c r="E125" s="114"/>
      <c r="F125" s="114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4"/>
      <c r="T125" s="114"/>
      <c r="U125" s="114"/>
      <c r="V125" s="114"/>
      <c r="W125" s="114"/>
      <c r="X125" s="114"/>
      <c r="Y125" s="114"/>
    </row>
    <row r="126">
      <c r="A126" s="6" t="s">
        <v>566</v>
      </c>
      <c r="B126" s="159" t="s">
        <v>567</v>
      </c>
      <c r="C126" s="75" t="s">
        <v>16</v>
      </c>
      <c r="D126" s="75" t="s">
        <v>65</v>
      </c>
      <c r="E126" s="75" t="s">
        <v>150</v>
      </c>
      <c r="F126" s="114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4"/>
      <c r="T126" s="114"/>
      <c r="U126" s="114"/>
      <c r="V126" s="114"/>
      <c r="W126" s="114"/>
      <c r="X126" s="114"/>
      <c r="Y126" s="114"/>
    </row>
    <row r="127">
      <c r="A127" s="6"/>
      <c r="B127" s="153"/>
      <c r="C127" s="75"/>
      <c r="D127" s="75"/>
      <c r="E127" s="75"/>
      <c r="F127" s="114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4"/>
      <c r="T127" s="114"/>
      <c r="U127" s="114"/>
      <c r="V127" s="114"/>
      <c r="W127" s="114"/>
      <c r="X127" s="114"/>
      <c r="Y127" s="114"/>
    </row>
    <row r="128">
      <c r="A128" s="114"/>
      <c r="B128" s="114"/>
      <c r="C128" s="114"/>
      <c r="D128" s="114"/>
      <c r="E128" s="114"/>
      <c r="F128" s="114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4"/>
      <c r="T128" s="114"/>
      <c r="U128" s="114"/>
      <c r="V128" s="114"/>
      <c r="W128" s="114"/>
      <c r="X128" s="114"/>
      <c r="Y128" s="114"/>
    </row>
    <row r="129">
      <c r="A129" s="114"/>
      <c r="B129" s="114"/>
      <c r="C129" s="114"/>
      <c r="D129" s="114"/>
      <c r="E129" s="114"/>
      <c r="F129" s="114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4"/>
      <c r="T129" s="114"/>
      <c r="U129" s="114"/>
      <c r="V129" s="114"/>
      <c r="W129" s="114"/>
      <c r="X129" s="114"/>
      <c r="Y129" s="114"/>
    </row>
    <row r="130">
      <c r="A130" s="114"/>
      <c r="B130" s="114"/>
      <c r="C130" s="114"/>
      <c r="D130" s="114"/>
      <c r="E130" s="114"/>
      <c r="F130" s="114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4"/>
      <c r="T130" s="114"/>
      <c r="U130" s="114"/>
      <c r="V130" s="114"/>
      <c r="W130" s="114"/>
      <c r="X130" s="114"/>
      <c r="Y130" s="114"/>
    </row>
    <row r="131">
      <c r="A131" s="114"/>
      <c r="B131" s="114"/>
      <c r="C131" s="114"/>
      <c r="D131" s="114"/>
      <c r="E131" s="114"/>
      <c r="F131" s="114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4"/>
      <c r="T131" s="114"/>
      <c r="U131" s="114"/>
      <c r="V131" s="114"/>
      <c r="W131" s="114"/>
      <c r="X131" s="114"/>
      <c r="Y131" s="114"/>
    </row>
    <row r="132">
      <c r="A132" s="114"/>
      <c r="B132" s="114"/>
      <c r="C132" s="114"/>
      <c r="D132" s="114"/>
      <c r="E132" s="114"/>
      <c r="F132" s="114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4"/>
      <c r="T132" s="114"/>
      <c r="U132" s="114"/>
      <c r="V132" s="114"/>
      <c r="W132" s="114"/>
      <c r="X132" s="114"/>
      <c r="Y132" s="114"/>
    </row>
    <row r="133">
      <c r="A133" s="114"/>
      <c r="B133" s="114"/>
      <c r="C133" s="114"/>
      <c r="D133" s="114"/>
      <c r="E133" s="114"/>
      <c r="F133" s="114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4"/>
      <c r="T133" s="114"/>
      <c r="U133" s="114"/>
      <c r="V133" s="114"/>
      <c r="W133" s="114"/>
      <c r="X133" s="114"/>
      <c r="Y133" s="114"/>
    </row>
    <row r="134">
      <c r="A134" s="114"/>
      <c r="B134" s="114"/>
      <c r="C134" s="114"/>
      <c r="D134" s="114"/>
      <c r="E134" s="114"/>
      <c r="F134" s="114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4"/>
      <c r="T134" s="114"/>
      <c r="U134" s="114"/>
      <c r="V134" s="114"/>
      <c r="W134" s="114"/>
      <c r="X134" s="114"/>
      <c r="Y134" s="114"/>
    </row>
    <row r="135">
      <c r="A135" s="114"/>
      <c r="B135" s="114"/>
      <c r="C135" s="114"/>
      <c r="D135" s="114"/>
      <c r="E135" s="114"/>
      <c r="F135" s="114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4"/>
      <c r="T135" s="114"/>
      <c r="U135" s="114"/>
      <c r="V135" s="114"/>
      <c r="W135" s="114"/>
      <c r="X135" s="114"/>
      <c r="Y135" s="114"/>
    </row>
    <row r="136">
      <c r="A136" s="114"/>
      <c r="B136" s="114"/>
      <c r="C136" s="114"/>
      <c r="D136" s="114"/>
      <c r="E136" s="114"/>
      <c r="F136" s="114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4"/>
      <c r="T136" s="114"/>
      <c r="U136" s="114"/>
      <c r="V136" s="114"/>
      <c r="W136" s="114"/>
      <c r="X136" s="114"/>
      <c r="Y136" s="114"/>
    </row>
    <row r="137">
      <c r="A137" s="114"/>
      <c r="B137" s="114"/>
      <c r="C137" s="114"/>
      <c r="D137" s="114"/>
      <c r="E137" s="114"/>
      <c r="F137" s="114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4"/>
      <c r="T137" s="114"/>
      <c r="U137" s="114"/>
      <c r="V137" s="114"/>
      <c r="W137" s="114"/>
      <c r="X137" s="114"/>
      <c r="Y137" s="114"/>
    </row>
    <row r="138">
      <c r="A138" s="114"/>
      <c r="B138" s="114"/>
      <c r="C138" s="114"/>
      <c r="D138" s="114"/>
      <c r="E138" s="114"/>
      <c r="F138" s="114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4"/>
      <c r="T138" s="114"/>
      <c r="U138" s="114"/>
      <c r="V138" s="114"/>
      <c r="W138" s="114"/>
      <c r="X138" s="114"/>
      <c r="Y138" s="114"/>
    </row>
    <row r="139">
      <c r="A139" s="114"/>
      <c r="B139" s="114"/>
      <c r="C139" s="114"/>
      <c r="D139" s="114"/>
      <c r="E139" s="114"/>
      <c r="F139" s="114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4"/>
      <c r="T139" s="114"/>
      <c r="U139" s="114"/>
      <c r="V139" s="114"/>
      <c r="W139" s="114"/>
      <c r="X139" s="114"/>
      <c r="Y139" s="114"/>
    </row>
    <row r="140">
      <c r="A140" s="114"/>
      <c r="B140" s="114"/>
      <c r="C140" s="114"/>
      <c r="D140" s="114"/>
      <c r="E140" s="114"/>
      <c r="F140" s="114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4"/>
      <c r="T140" s="114"/>
      <c r="U140" s="114"/>
      <c r="V140" s="114"/>
      <c r="W140" s="114"/>
      <c r="X140" s="114"/>
      <c r="Y140" s="114"/>
    </row>
    <row r="141">
      <c r="A141" s="114"/>
      <c r="B141" s="114"/>
      <c r="C141" s="114"/>
      <c r="D141" s="114"/>
      <c r="E141" s="114"/>
      <c r="F141" s="114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4"/>
      <c r="T141" s="114"/>
      <c r="U141" s="114"/>
      <c r="V141" s="114"/>
      <c r="W141" s="114"/>
      <c r="X141" s="114"/>
      <c r="Y141" s="114"/>
    </row>
    <row r="142">
      <c r="A142" s="114"/>
      <c r="B142" s="114"/>
      <c r="C142" s="114"/>
      <c r="D142" s="114"/>
      <c r="E142" s="114"/>
      <c r="F142" s="114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4"/>
      <c r="T142" s="114"/>
      <c r="U142" s="114"/>
      <c r="V142" s="114"/>
      <c r="W142" s="114"/>
      <c r="X142" s="114"/>
      <c r="Y142" s="114"/>
    </row>
    <row r="143">
      <c r="A143" s="114"/>
      <c r="B143" s="114"/>
      <c r="C143" s="114"/>
      <c r="D143" s="114"/>
      <c r="E143" s="114"/>
      <c r="F143" s="114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4"/>
      <c r="T143" s="114"/>
      <c r="U143" s="114"/>
      <c r="V143" s="114"/>
      <c r="W143" s="114"/>
      <c r="X143" s="114"/>
      <c r="Y143" s="114"/>
    </row>
    <row r="144">
      <c r="A144" s="114"/>
      <c r="B144" s="114"/>
      <c r="C144" s="114"/>
      <c r="D144" s="114"/>
      <c r="E144" s="114"/>
      <c r="F144" s="114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4"/>
      <c r="T144" s="114"/>
      <c r="U144" s="114"/>
      <c r="V144" s="114"/>
      <c r="W144" s="114"/>
      <c r="X144" s="114"/>
      <c r="Y144" s="114"/>
    </row>
    <row r="145">
      <c r="A145" s="114"/>
      <c r="B145" s="114"/>
      <c r="C145" s="114"/>
      <c r="D145" s="114"/>
      <c r="E145" s="114"/>
      <c r="F145" s="114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4"/>
      <c r="T145" s="114"/>
      <c r="U145" s="114"/>
      <c r="V145" s="114"/>
      <c r="W145" s="114"/>
      <c r="X145" s="114"/>
      <c r="Y145" s="114"/>
    </row>
    <row r="146">
      <c r="A146" s="114"/>
      <c r="B146" s="114"/>
      <c r="C146" s="114"/>
      <c r="D146" s="114"/>
      <c r="E146" s="114"/>
      <c r="F146" s="114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4"/>
      <c r="T146" s="114"/>
      <c r="U146" s="114"/>
      <c r="V146" s="114"/>
      <c r="W146" s="114"/>
      <c r="X146" s="114"/>
      <c r="Y146" s="114"/>
    </row>
    <row r="147">
      <c r="A147" s="114"/>
      <c r="B147" s="114"/>
      <c r="C147" s="114"/>
      <c r="D147" s="114"/>
      <c r="E147" s="114"/>
      <c r="F147" s="114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4"/>
      <c r="T147" s="114"/>
      <c r="U147" s="114"/>
      <c r="V147" s="114"/>
      <c r="W147" s="114"/>
      <c r="X147" s="114"/>
      <c r="Y147" s="114"/>
    </row>
    <row r="148">
      <c r="A148" s="114"/>
      <c r="B148" s="114"/>
      <c r="C148" s="114"/>
      <c r="D148" s="114"/>
      <c r="E148" s="114"/>
      <c r="F148" s="114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4"/>
      <c r="T148" s="114"/>
      <c r="U148" s="114"/>
      <c r="V148" s="114"/>
      <c r="W148" s="114"/>
      <c r="X148" s="114"/>
      <c r="Y148" s="114"/>
    </row>
    <row r="149">
      <c r="A149" s="114"/>
      <c r="B149" s="114"/>
      <c r="C149" s="114"/>
      <c r="D149" s="114"/>
      <c r="E149" s="114"/>
      <c r="F149" s="114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4"/>
      <c r="T149" s="114"/>
      <c r="U149" s="114"/>
      <c r="V149" s="114"/>
      <c r="W149" s="114"/>
      <c r="X149" s="114"/>
      <c r="Y149" s="114"/>
    </row>
    <row r="150">
      <c r="A150" s="114"/>
      <c r="B150" s="114"/>
      <c r="C150" s="114"/>
      <c r="D150" s="114"/>
      <c r="E150" s="114"/>
      <c r="F150" s="114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4"/>
      <c r="T150" s="114"/>
      <c r="U150" s="114"/>
      <c r="V150" s="114"/>
      <c r="W150" s="114"/>
      <c r="X150" s="114"/>
      <c r="Y150" s="114"/>
    </row>
    <row r="151">
      <c r="A151" s="114"/>
      <c r="B151" s="114"/>
      <c r="C151" s="114"/>
      <c r="D151" s="114"/>
      <c r="E151" s="114"/>
      <c r="F151" s="114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4"/>
      <c r="T151" s="114"/>
      <c r="U151" s="114"/>
      <c r="V151" s="114"/>
      <c r="W151" s="114"/>
      <c r="X151" s="114"/>
      <c r="Y151" s="114"/>
    </row>
    <row r="152">
      <c r="A152" s="114"/>
      <c r="B152" s="114"/>
      <c r="C152" s="114"/>
      <c r="D152" s="114"/>
      <c r="E152" s="114"/>
      <c r="F152" s="114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4"/>
      <c r="T152" s="114"/>
      <c r="U152" s="114"/>
      <c r="V152" s="114"/>
      <c r="W152" s="114"/>
      <c r="X152" s="114"/>
      <c r="Y152" s="114"/>
    </row>
    <row r="153">
      <c r="A153" s="114"/>
      <c r="B153" s="114"/>
      <c r="C153" s="114"/>
      <c r="D153" s="114"/>
      <c r="E153" s="114"/>
      <c r="F153" s="114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4"/>
      <c r="T153" s="114"/>
      <c r="U153" s="114"/>
      <c r="V153" s="114"/>
      <c r="W153" s="114"/>
      <c r="X153" s="114"/>
      <c r="Y153" s="114"/>
    </row>
    <row r="154">
      <c r="A154" s="114"/>
      <c r="B154" s="114"/>
      <c r="C154" s="114"/>
      <c r="D154" s="114"/>
      <c r="E154" s="114"/>
      <c r="F154" s="114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4"/>
      <c r="T154" s="114"/>
      <c r="U154" s="114"/>
      <c r="V154" s="114"/>
      <c r="W154" s="114"/>
      <c r="X154" s="114"/>
      <c r="Y154" s="114"/>
    </row>
    <row r="155">
      <c r="A155" s="114"/>
      <c r="B155" s="114"/>
      <c r="C155" s="114"/>
      <c r="D155" s="114"/>
      <c r="E155" s="114"/>
      <c r="F155" s="114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4"/>
      <c r="T155" s="114"/>
      <c r="U155" s="114"/>
      <c r="V155" s="114"/>
      <c r="W155" s="114"/>
      <c r="X155" s="114"/>
      <c r="Y155" s="114"/>
    </row>
    <row r="156">
      <c r="A156" s="114"/>
      <c r="B156" s="114"/>
      <c r="C156" s="114"/>
      <c r="D156" s="114"/>
      <c r="E156" s="114"/>
      <c r="F156" s="114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4"/>
      <c r="T156" s="114"/>
      <c r="U156" s="114"/>
      <c r="V156" s="114"/>
      <c r="W156" s="114"/>
      <c r="X156" s="114"/>
      <c r="Y156" s="114"/>
    </row>
    <row r="157">
      <c r="A157" s="114"/>
      <c r="B157" s="114"/>
      <c r="C157" s="114"/>
      <c r="D157" s="114"/>
      <c r="E157" s="114"/>
      <c r="F157" s="114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4"/>
      <c r="T157" s="114"/>
      <c r="U157" s="114"/>
      <c r="V157" s="114"/>
      <c r="W157" s="114"/>
      <c r="X157" s="114"/>
      <c r="Y157" s="114"/>
    </row>
    <row r="158">
      <c r="A158" s="114"/>
      <c r="B158" s="114"/>
      <c r="C158" s="114"/>
      <c r="D158" s="114"/>
      <c r="E158" s="114"/>
      <c r="F158" s="114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4"/>
      <c r="T158" s="114"/>
      <c r="U158" s="114"/>
      <c r="V158" s="114"/>
      <c r="W158" s="114"/>
      <c r="X158" s="114"/>
      <c r="Y158" s="114"/>
    </row>
    <row r="159">
      <c r="A159" s="114"/>
      <c r="B159" s="114"/>
      <c r="C159" s="114"/>
      <c r="D159" s="114"/>
      <c r="E159" s="114"/>
      <c r="F159" s="114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4"/>
      <c r="T159" s="114"/>
      <c r="U159" s="114"/>
      <c r="V159" s="114"/>
      <c r="W159" s="114"/>
      <c r="X159" s="114"/>
      <c r="Y159" s="114"/>
    </row>
    <row r="160">
      <c r="A160" s="114"/>
      <c r="B160" s="114"/>
      <c r="C160" s="114"/>
      <c r="D160" s="114"/>
      <c r="E160" s="114"/>
      <c r="F160" s="114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4"/>
      <c r="T160" s="114"/>
      <c r="U160" s="114"/>
      <c r="V160" s="114"/>
      <c r="W160" s="114"/>
      <c r="X160" s="114"/>
      <c r="Y160" s="114"/>
    </row>
    <row r="161">
      <c r="A161" s="114"/>
      <c r="B161" s="114"/>
      <c r="C161" s="114"/>
      <c r="D161" s="114"/>
      <c r="E161" s="114"/>
      <c r="F161" s="114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4"/>
      <c r="T161" s="114"/>
      <c r="U161" s="114"/>
      <c r="V161" s="114"/>
      <c r="W161" s="114"/>
      <c r="X161" s="114"/>
      <c r="Y161" s="114"/>
    </row>
    <row r="162">
      <c r="A162" s="114"/>
      <c r="B162" s="114"/>
      <c r="C162" s="114"/>
      <c r="D162" s="114"/>
      <c r="E162" s="114"/>
      <c r="F162" s="114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4"/>
      <c r="T162" s="114"/>
      <c r="U162" s="114"/>
      <c r="V162" s="114"/>
      <c r="W162" s="114"/>
      <c r="X162" s="114"/>
      <c r="Y162" s="114"/>
    </row>
    <row r="163">
      <c r="A163" s="114"/>
      <c r="B163" s="114"/>
      <c r="C163" s="114"/>
      <c r="D163" s="114"/>
      <c r="E163" s="114"/>
      <c r="F163" s="114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4"/>
      <c r="T163" s="114"/>
      <c r="U163" s="114"/>
      <c r="V163" s="114"/>
      <c r="W163" s="114"/>
      <c r="X163" s="114"/>
      <c r="Y163" s="114"/>
    </row>
    <row r="164">
      <c r="A164" s="114"/>
      <c r="B164" s="114"/>
      <c r="C164" s="114"/>
      <c r="D164" s="114"/>
      <c r="E164" s="114"/>
      <c r="F164" s="114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4"/>
      <c r="T164" s="114"/>
      <c r="U164" s="114"/>
      <c r="V164" s="114"/>
      <c r="W164" s="114"/>
      <c r="X164" s="114"/>
      <c r="Y164" s="114"/>
    </row>
    <row r="165">
      <c r="A165" s="114"/>
      <c r="B165" s="114"/>
      <c r="C165" s="114"/>
      <c r="D165" s="114"/>
      <c r="E165" s="114"/>
      <c r="F165" s="114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4"/>
      <c r="T165" s="114"/>
      <c r="U165" s="114"/>
      <c r="V165" s="114"/>
      <c r="W165" s="114"/>
      <c r="X165" s="114"/>
      <c r="Y165" s="114"/>
    </row>
    <row r="166">
      <c r="A166" s="114"/>
      <c r="B166" s="114"/>
      <c r="C166" s="114"/>
      <c r="D166" s="114"/>
      <c r="E166" s="114"/>
      <c r="F166" s="114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4"/>
      <c r="T166" s="114"/>
      <c r="U166" s="114"/>
      <c r="V166" s="114"/>
      <c r="W166" s="114"/>
      <c r="X166" s="114"/>
      <c r="Y166" s="114"/>
    </row>
    <row r="167">
      <c r="A167" s="114"/>
      <c r="B167" s="114"/>
      <c r="C167" s="114"/>
      <c r="D167" s="114"/>
      <c r="E167" s="114"/>
      <c r="F167" s="114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4"/>
      <c r="T167" s="114"/>
      <c r="U167" s="114"/>
      <c r="V167" s="114"/>
      <c r="W167" s="114"/>
      <c r="X167" s="114"/>
      <c r="Y167" s="114"/>
    </row>
    <row r="168">
      <c r="A168" s="114"/>
      <c r="B168" s="114"/>
      <c r="C168" s="114"/>
      <c r="D168" s="114"/>
      <c r="E168" s="114"/>
      <c r="F168" s="114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4"/>
      <c r="T168" s="114"/>
      <c r="U168" s="114"/>
      <c r="V168" s="114"/>
      <c r="W168" s="114"/>
      <c r="X168" s="114"/>
      <c r="Y168" s="114"/>
    </row>
    <row r="169">
      <c r="A169" s="114"/>
      <c r="B169" s="114"/>
      <c r="C169" s="114"/>
      <c r="D169" s="114"/>
      <c r="E169" s="114"/>
      <c r="F169" s="114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4"/>
      <c r="T169" s="114"/>
      <c r="U169" s="114"/>
      <c r="V169" s="114"/>
      <c r="W169" s="114"/>
      <c r="X169" s="114"/>
      <c r="Y169" s="114"/>
    </row>
    <row r="170">
      <c r="A170" s="114"/>
      <c r="B170" s="114"/>
      <c r="C170" s="114"/>
      <c r="D170" s="114"/>
      <c r="E170" s="114"/>
      <c r="F170" s="114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4"/>
      <c r="T170" s="114"/>
      <c r="U170" s="114"/>
      <c r="V170" s="114"/>
      <c r="W170" s="114"/>
      <c r="X170" s="114"/>
      <c r="Y170" s="114"/>
    </row>
    <row r="171">
      <c r="A171" s="114"/>
      <c r="B171" s="114"/>
      <c r="C171" s="114"/>
      <c r="D171" s="114"/>
      <c r="E171" s="114"/>
      <c r="F171" s="114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4"/>
      <c r="T171" s="114"/>
      <c r="U171" s="114"/>
      <c r="V171" s="114"/>
      <c r="W171" s="114"/>
      <c r="X171" s="114"/>
      <c r="Y171" s="114"/>
    </row>
    <row r="172">
      <c r="A172" s="114"/>
      <c r="B172" s="114"/>
      <c r="C172" s="114"/>
      <c r="D172" s="114"/>
      <c r="E172" s="114"/>
      <c r="F172" s="114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4"/>
      <c r="T172" s="114"/>
      <c r="U172" s="114"/>
      <c r="V172" s="114"/>
      <c r="W172" s="114"/>
      <c r="X172" s="114"/>
      <c r="Y172" s="114"/>
    </row>
    <row r="173">
      <c r="A173" s="114"/>
      <c r="B173" s="114"/>
      <c r="C173" s="114"/>
      <c r="D173" s="114"/>
      <c r="E173" s="114"/>
      <c r="F173" s="114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4"/>
      <c r="T173" s="114"/>
      <c r="U173" s="114"/>
      <c r="V173" s="114"/>
      <c r="W173" s="114"/>
      <c r="X173" s="114"/>
      <c r="Y173" s="114"/>
    </row>
    <row r="174">
      <c r="A174" s="114"/>
      <c r="B174" s="114"/>
      <c r="C174" s="114"/>
      <c r="D174" s="114"/>
      <c r="E174" s="114"/>
      <c r="F174" s="114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4"/>
      <c r="T174" s="114"/>
      <c r="U174" s="114"/>
      <c r="V174" s="114"/>
      <c r="W174" s="114"/>
      <c r="X174" s="114"/>
      <c r="Y174" s="114"/>
    </row>
    <row r="175">
      <c r="A175" s="114"/>
      <c r="B175" s="114"/>
      <c r="C175" s="114"/>
      <c r="D175" s="114"/>
      <c r="E175" s="114"/>
      <c r="F175" s="114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4"/>
      <c r="T175" s="114"/>
      <c r="U175" s="114"/>
      <c r="V175" s="114"/>
      <c r="W175" s="114"/>
      <c r="X175" s="114"/>
      <c r="Y175" s="114"/>
    </row>
    <row r="176">
      <c r="A176" s="114"/>
      <c r="B176" s="114"/>
      <c r="C176" s="114"/>
      <c r="D176" s="114"/>
      <c r="E176" s="114"/>
      <c r="F176" s="114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4"/>
      <c r="T176" s="114"/>
      <c r="U176" s="114"/>
      <c r="V176" s="114"/>
      <c r="W176" s="114"/>
      <c r="X176" s="114"/>
      <c r="Y176" s="114"/>
    </row>
    <row r="177">
      <c r="A177" s="114"/>
      <c r="B177" s="114"/>
      <c r="C177" s="114"/>
      <c r="D177" s="114"/>
      <c r="E177" s="114"/>
      <c r="F177" s="114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4"/>
      <c r="T177" s="114"/>
      <c r="U177" s="114"/>
      <c r="V177" s="114"/>
      <c r="W177" s="114"/>
      <c r="X177" s="114"/>
      <c r="Y177" s="114"/>
    </row>
    <row r="178">
      <c r="A178" s="114"/>
      <c r="B178" s="114"/>
      <c r="C178" s="114"/>
      <c r="D178" s="114"/>
      <c r="E178" s="114"/>
      <c r="F178" s="114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4"/>
      <c r="T178" s="114"/>
      <c r="U178" s="114"/>
      <c r="V178" s="114"/>
      <c r="W178" s="114"/>
      <c r="X178" s="114"/>
      <c r="Y178" s="114"/>
    </row>
    <row r="179">
      <c r="A179" s="114"/>
      <c r="B179" s="114"/>
      <c r="C179" s="114"/>
      <c r="D179" s="114"/>
      <c r="E179" s="114"/>
      <c r="F179" s="114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4"/>
      <c r="T179" s="114"/>
      <c r="U179" s="114"/>
      <c r="V179" s="114"/>
      <c r="W179" s="114"/>
      <c r="X179" s="114"/>
      <c r="Y179" s="114"/>
    </row>
    <row r="180">
      <c r="A180" s="114"/>
      <c r="B180" s="114"/>
      <c r="C180" s="114"/>
      <c r="D180" s="114"/>
      <c r="E180" s="114"/>
      <c r="F180" s="114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4"/>
      <c r="T180" s="114"/>
      <c r="U180" s="114"/>
      <c r="V180" s="114"/>
      <c r="W180" s="114"/>
      <c r="X180" s="114"/>
      <c r="Y180" s="114"/>
    </row>
    <row r="181">
      <c r="A181" s="114"/>
      <c r="B181" s="114"/>
      <c r="C181" s="114"/>
      <c r="D181" s="114"/>
      <c r="E181" s="114"/>
      <c r="F181" s="114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4"/>
      <c r="T181" s="114"/>
      <c r="U181" s="114"/>
      <c r="V181" s="114"/>
      <c r="W181" s="114"/>
      <c r="X181" s="114"/>
      <c r="Y181" s="114"/>
    </row>
    <row r="182">
      <c r="A182" s="114"/>
      <c r="B182" s="114"/>
      <c r="C182" s="114"/>
      <c r="D182" s="114"/>
      <c r="E182" s="114"/>
      <c r="F182" s="114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4"/>
      <c r="T182" s="114"/>
      <c r="U182" s="114"/>
      <c r="V182" s="114"/>
      <c r="W182" s="114"/>
      <c r="X182" s="114"/>
      <c r="Y182" s="114"/>
    </row>
    <row r="183">
      <c r="A183" s="114"/>
      <c r="B183" s="114"/>
      <c r="C183" s="114"/>
      <c r="D183" s="114"/>
      <c r="E183" s="114"/>
      <c r="F183" s="114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4"/>
      <c r="T183" s="114"/>
      <c r="U183" s="114"/>
      <c r="V183" s="114"/>
      <c r="W183" s="114"/>
      <c r="X183" s="114"/>
      <c r="Y183" s="114"/>
    </row>
    <row r="184">
      <c r="A184" s="114"/>
      <c r="B184" s="114"/>
      <c r="C184" s="114"/>
      <c r="D184" s="114"/>
      <c r="E184" s="114"/>
      <c r="F184" s="114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4"/>
      <c r="T184" s="114"/>
      <c r="U184" s="114"/>
      <c r="V184" s="114"/>
      <c r="W184" s="114"/>
      <c r="X184" s="114"/>
      <c r="Y184" s="114"/>
    </row>
    <row r="185">
      <c r="A185" s="114"/>
      <c r="B185" s="114"/>
      <c r="C185" s="114"/>
      <c r="D185" s="114"/>
      <c r="E185" s="114"/>
      <c r="F185" s="114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4"/>
      <c r="T185" s="114"/>
      <c r="U185" s="114"/>
      <c r="V185" s="114"/>
      <c r="W185" s="114"/>
      <c r="X185" s="114"/>
      <c r="Y185" s="114"/>
    </row>
    <row r="186">
      <c r="A186" s="114"/>
      <c r="B186" s="114"/>
      <c r="C186" s="114"/>
      <c r="D186" s="114"/>
      <c r="E186" s="114"/>
      <c r="F186" s="114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4"/>
      <c r="T186" s="114"/>
      <c r="U186" s="114"/>
      <c r="V186" s="114"/>
      <c r="W186" s="114"/>
      <c r="X186" s="114"/>
      <c r="Y186" s="114"/>
    </row>
    <row r="187">
      <c r="A187" s="114"/>
      <c r="B187" s="114"/>
      <c r="C187" s="114"/>
      <c r="D187" s="114"/>
      <c r="E187" s="114"/>
      <c r="F187" s="114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4"/>
      <c r="T187" s="114"/>
      <c r="U187" s="114"/>
      <c r="V187" s="114"/>
      <c r="W187" s="114"/>
      <c r="X187" s="114"/>
      <c r="Y187" s="114"/>
    </row>
    <row r="188">
      <c r="A188" s="114"/>
      <c r="B188" s="114"/>
      <c r="C188" s="114"/>
      <c r="D188" s="114"/>
      <c r="E188" s="114"/>
      <c r="F188" s="114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4"/>
      <c r="T188" s="114"/>
      <c r="U188" s="114"/>
      <c r="V188" s="114"/>
      <c r="W188" s="114"/>
      <c r="X188" s="114"/>
      <c r="Y188" s="114"/>
    </row>
    <row r="189">
      <c r="A189" s="114"/>
      <c r="B189" s="114"/>
      <c r="C189" s="114"/>
      <c r="D189" s="114"/>
      <c r="E189" s="114"/>
      <c r="F189" s="114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4"/>
      <c r="T189" s="114"/>
      <c r="U189" s="114"/>
      <c r="V189" s="114"/>
      <c r="W189" s="114"/>
      <c r="X189" s="114"/>
      <c r="Y189" s="114"/>
    </row>
    <row r="190">
      <c r="A190" s="114"/>
      <c r="B190" s="114"/>
      <c r="C190" s="114"/>
      <c r="D190" s="114"/>
      <c r="E190" s="114"/>
      <c r="F190" s="114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4"/>
      <c r="T190" s="114"/>
      <c r="U190" s="114"/>
      <c r="V190" s="114"/>
      <c r="W190" s="114"/>
      <c r="X190" s="114"/>
      <c r="Y190" s="114"/>
    </row>
    <row r="191">
      <c r="A191" s="114"/>
      <c r="B191" s="114"/>
      <c r="C191" s="114"/>
      <c r="D191" s="114"/>
      <c r="E191" s="114"/>
      <c r="F191" s="114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4"/>
      <c r="T191" s="114"/>
      <c r="U191" s="114"/>
      <c r="V191" s="114"/>
      <c r="W191" s="114"/>
      <c r="X191" s="114"/>
      <c r="Y191" s="114"/>
    </row>
    <row r="192">
      <c r="A192" s="114"/>
      <c r="B192" s="114"/>
      <c r="C192" s="114"/>
      <c r="D192" s="114"/>
      <c r="E192" s="114"/>
      <c r="F192" s="114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4"/>
      <c r="T192" s="114"/>
      <c r="U192" s="114"/>
      <c r="V192" s="114"/>
      <c r="W192" s="114"/>
      <c r="X192" s="114"/>
      <c r="Y192" s="114"/>
    </row>
    <row r="193">
      <c r="A193" s="114"/>
      <c r="B193" s="114"/>
      <c r="C193" s="114"/>
      <c r="D193" s="114"/>
      <c r="E193" s="114"/>
      <c r="F193" s="114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4"/>
      <c r="T193" s="114"/>
      <c r="U193" s="114"/>
      <c r="V193" s="114"/>
      <c r="W193" s="114"/>
      <c r="X193" s="114"/>
      <c r="Y193" s="114"/>
    </row>
    <row r="194">
      <c r="A194" s="114"/>
      <c r="B194" s="114"/>
      <c r="C194" s="114"/>
      <c r="D194" s="114"/>
      <c r="E194" s="114"/>
      <c r="F194" s="114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4"/>
      <c r="T194" s="114"/>
      <c r="U194" s="114"/>
      <c r="V194" s="114"/>
      <c r="W194" s="114"/>
      <c r="X194" s="114"/>
      <c r="Y194" s="114"/>
    </row>
    <row r="195">
      <c r="A195" s="114"/>
      <c r="B195" s="114"/>
      <c r="C195" s="114"/>
      <c r="D195" s="114"/>
      <c r="E195" s="114"/>
      <c r="F195" s="114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4"/>
      <c r="T195" s="114"/>
      <c r="U195" s="114"/>
      <c r="V195" s="114"/>
      <c r="W195" s="114"/>
      <c r="X195" s="114"/>
      <c r="Y195" s="114"/>
    </row>
    <row r="196">
      <c r="A196" s="114"/>
      <c r="B196" s="114"/>
      <c r="C196" s="114"/>
      <c r="D196" s="114"/>
      <c r="E196" s="114"/>
      <c r="F196" s="114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4"/>
      <c r="T196" s="114"/>
      <c r="U196" s="114"/>
      <c r="V196" s="114"/>
      <c r="W196" s="114"/>
      <c r="X196" s="114"/>
      <c r="Y196" s="114"/>
    </row>
    <row r="197">
      <c r="A197" s="114"/>
      <c r="B197" s="114"/>
      <c r="C197" s="114"/>
      <c r="D197" s="114"/>
      <c r="E197" s="114"/>
      <c r="F197" s="114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4"/>
      <c r="T197" s="114"/>
      <c r="U197" s="114"/>
      <c r="V197" s="114"/>
      <c r="W197" s="114"/>
      <c r="X197" s="114"/>
      <c r="Y197" s="114"/>
    </row>
    <row r="198">
      <c r="A198" s="114"/>
      <c r="B198" s="114"/>
      <c r="C198" s="114"/>
      <c r="D198" s="114"/>
      <c r="E198" s="114"/>
      <c r="F198" s="114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4"/>
      <c r="T198" s="114"/>
      <c r="U198" s="114"/>
      <c r="V198" s="114"/>
      <c r="W198" s="114"/>
      <c r="X198" s="114"/>
      <c r="Y198" s="114"/>
    </row>
    <row r="199">
      <c r="A199" s="114"/>
      <c r="B199" s="114"/>
      <c r="C199" s="114"/>
      <c r="D199" s="114"/>
      <c r="E199" s="114"/>
      <c r="F199" s="114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4"/>
      <c r="T199" s="114"/>
      <c r="U199" s="114"/>
      <c r="V199" s="114"/>
      <c r="W199" s="114"/>
      <c r="X199" s="114"/>
      <c r="Y199" s="114"/>
    </row>
    <row r="200">
      <c r="A200" s="114"/>
      <c r="B200" s="114"/>
      <c r="C200" s="114"/>
      <c r="D200" s="114"/>
      <c r="E200" s="114"/>
      <c r="F200" s="114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4"/>
      <c r="T200" s="114"/>
      <c r="U200" s="114"/>
      <c r="V200" s="114"/>
      <c r="W200" s="114"/>
      <c r="X200" s="114"/>
      <c r="Y200" s="114"/>
    </row>
    <row r="201">
      <c r="A201" s="114"/>
      <c r="B201" s="114"/>
      <c r="C201" s="114"/>
      <c r="D201" s="114"/>
      <c r="E201" s="114"/>
      <c r="F201" s="114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4"/>
      <c r="T201" s="114"/>
      <c r="U201" s="114"/>
      <c r="V201" s="114"/>
      <c r="W201" s="114"/>
      <c r="X201" s="114"/>
      <c r="Y201" s="114"/>
    </row>
    <row r="202">
      <c r="A202" s="114"/>
      <c r="B202" s="114"/>
      <c r="C202" s="114"/>
      <c r="D202" s="114"/>
      <c r="E202" s="114"/>
      <c r="F202" s="114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4"/>
      <c r="T202" s="114"/>
      <c r="U202" s="114"/>
      <c r="V202" s="114"/>
      <c r="W202" s="114"/>
      <c r="X202" s="114"/>
      <c r="Y202" s="114"/>
    </row>
    <row r="203">
      <c r="A203" s="114"/>
      <c r="B203" s="114"/>
      <c r="C203" s="114"/>
      <c r="D203" s="114"/>
      <c r="E203" s="114"/>
      <c r="F203" s="114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4"/>
      <c r="T203" s="114"/>
      <c r="U203" s="114"/>
      <c r="V203" s="114"/>
      <c r="W203" s="114"/>
      <c r="X203" s="114"/>
      <c r="Y203" s="114"/>
    </row>
    <row r="204">
      <c r="A204" s="114"/>
      <c r="B204" s="114"/>
      <c r="C204" s="114"/>
      <c r="D204" s="114"/>
      <c r="E204" s="114"/>
      <c r="F204" s="114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4"/>
      <c r="T204" s="114"/>
      <c r="U204" s="114"/>
      <c r="V204" s="114"/>
      <c r="W204" s="114"/>
      <c r="X204" s="114"/>
      <c r="Y204" s="114"/>
    </row>
    <row r="205">
      <c r="A205" s="114"/>
      <c r="B205" s="114"/>
      <c r="C205" s="114"/>
      <c r="D205" s="114"/>
      <c r="E205" s="114"/>
      <c r="F205" s="114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4"/>
      <c r="T205" s="114"/>
      <c r="U205" s="114"/>
      <c r="V205" s="114"/>
      <c r="W205" s="114"/>
      <c r="X205" s="114"/>
      <c r="Y205" s="114"/>
    </row>
    <row r="206">
      <c r="A206" s="114"/>
      <c r="B206" s="114"/>
      <c r="C206" s="114"/>
      <c r="D206" s="114"/>
      <c r="E206" s="114"/>
      <c r="F206" s="114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4"/>
      <c r="T206" s="114"/>
      <c r="U206" s="114"/>
      <c r="V206" s="114"/>
      <c r="W206" s="114"/>
      <c r="X206" s="114"/>
      <c r="Y206" s="114"/>
    </row>
    <row r="207">
      <c r="A207" s="114"/>
      <c r="B207" s="114"/>
      <c r="C207" s="114"/>
      <c r="D207" s="114"/>
      <c r="E207" s="114"/>
      <c r="F207" s="114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4"/>
      <c r="T207" s="114"/>
      <c r="U207" s="114"/>
      <c r="V207" s="114"/>
      <c r="W207" s="114"/>
      <c r="X207" s="114"/>
      <c r="Y207" s="114"/>
    </row>
    <row r="208">
      <c r="A208" s="114"/>
      <c r="B208" s="114"/>
      <c r="C208" s="114"/>
      <c r="D208" s="114"/>
      <c r="E208" s="114"/>
      <c r="F208" s="114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4"/>
      <c r="T208" s="114"/>
      <c r="U208" s="114"/>
      <c r="V208" s="114"/>
      <c r="W208" s="114"/>
      <c r="X208" s="114"/>
      <c r="Y208" s="114"/>
    </row>
    <row r="209">
      <c r="A209" s="114"/>
      <c r="B209" s="114"/>
      <c r="C209" s="114"/>
      <c r="D209" s="114"/>
      <c r="E209" s="114"/>
      <c r="F209" s="114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4"/>
      <c r="T209" s="114"/>
      <c r="U209" s="114"/>
      <c r="V209" s="114"/>
      <c r="W209" s="114"/>
      <c r="X209" s="114"/>
      <c r="Y209" s="114"/>
    </row>
    <row r="210">
      <c r="A210" s="114"/>
      <c r="B210" s="114"/>
      <c r="C210" s="114"/>
      <c r="D210" s="114"/>
      <c r="E210" s="114"/>
      <c r="F210" s="114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4"/>
      <c r="T210" s="114"/>
      <c r="U210" s="114"/>
      <c r="V210" s="114"/>
      <c r="W210" s="114"/>
      <c r="X210" s="114"/>
      <c r="Y210" s="114"/>
    </row>
    <row r="211">
      <c r="A211" s="114"/>
      <c r="B211" s="114"/>
      <c r="C211" s="114"/>
      <c r="D211" s="114"/>
      <c r="E211" s="114"/>
      <c r="F211" s="114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4"/>
      <c r="T211" s="114"/>
      <c r="U211" s="114"/>
      <c r="V211" s="114"/>
      <c r="W211" s="114"/>
      <c r="X211" s="114"/>
      <c r="Y211" s="114"/>
    </row>
    <row r="212">
      <c r="A212" s="114"/>
      <c r="B212" s="114"/>
      <c r="C212" s="114"/>
      <c r="D212" s="114"/>
      <c r="E212" s="114"/>
      <c r="F212" s="114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4"/>
      <c r="T212" s="114"/>
      <c r="U212" s="114"/>
      <c r="V212" s="114"/>
      <c r="W212" s="114"/>
      <c r="X212" s="114"/>
      <c r="Y212" s="114"/>
    </row>
    <row r="213">
      <c r="A213" s="114"/>
      <c r="B213" s="114"/>
      <c r="C213" s="114"/>
      <c r="D213" s="114"/>
      <c r="E213" s="114"/>
      <c r="F213" s="114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4"/>
      <c r="T213" s="114"/>
      <c r="U213" s="114"/>
      <c r="V213" s="114"/>
      <c r="W213" s="114"/>
      <c r="X213" s="114"/>
      <c r="Y213" s="114"/>
    </row>
    <row r="214">
      <c r="A214" s="114"/>
      <c r="B214" s="114"/>
      <c r="C214" s="114"/>
      <c r="D214" s="114"/>
      <c r="E214" s="114"/>
      <c r="F214" s="114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4"/>
      <c r="T214" s="114"/>
      <c r="U214" s="114"/>
      <c r="V214" s="114"/>
      <c r="W214" s="114"/>
      <c r="X214" s="114"/>
      <c r="Y214" s="114"/>
    </row>
    <row r="215">
      <c r="A215" s="114"/>
      <c r="B215" s="114"/>
      <c r="C215" s="114"/>
      <c r="D215" s="114"/>
      <c r="E215" s="114"/>
      <c r="F215" s="114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4"/>
      <c r="T215" s="114"/>
      <c r="U215" s="114"/>
      <c r="V215" s="114"/>
      <c r="W215" s="114"/>
      <c r="X215" s="114"/>
      <c r="Y215" s="114"/>
    </row>
    <row r="216">
      <c r="A216" s="114"/>
      <c r="B216" s="114"/>
      <c r="C216" s="114"/>
      <c r="D216" s="114"/>
      <c r="E216" s="114"/>
      <c r="F216" s="114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4"/>
      <c r="T216" s="114"/>
      <c r="U216" s="114"/>
      <c r="V216" s="114"/>
      <c r="W216" s="114"/>
      <c r="X216" s="114"/>
      <c r="Y216" s="114"/>
    </row>
    <row r="217">
      <c r="A217" s="114"/>
      <c r="B217" s="114"/>
      <c r="C217" s="114"/>
      <c r="D217" s="114"/>
      <c r="E217" s="114"/>
      <c r="F217" s="114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4"/>
      <c r="T217" s="114"/>
      <c r="U217" s="114"/>
      <c r="V217" s="114"/>
      <c r="W217" s="114"/>
      <c r="X217" s="114"/>
      <c r="Y217" s="114"/>
    </row>
    <row r="218">
      <c r="A218" s="114"/>
      <c r="B218" s="114"/>
      <c r="C218" s="114"/>
      <c r="D218" s="114"/>
      <c r="E218" s="114"/>
      <c r="F218" s="114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4"/>
      <c r="T218" s="114"/>
      <c r="U218" s="114"/>
      <c r="V218" s="114"/>
      <c r="W218" s="114"/>
      <c r="X218" s="114"/>
      <c r="Y218" s="114"/>
    </row>
    <row r="219">
      <c r="A219" s="114"/>
      <c r="B219" s="114"/>
      <c r="C219" s="114"/>
      <c r="D219" s="114"/>
      <c r="E219" s="114"/>
      <c r="F219" s="114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4"/>
      <c r="T219" s="114"/>
      <c r="U219" s="114"/>
      <c r="V219" s="114"/>
      <c r="W219" s="114"/>
      <c r="X219" s="114"/>
      <c r="Y219" s="114"/>
    </row>
    <row r="220">
      <c r="A220" s="114"/>
      <c r="B220" s="114"/>
      <c r="C220" s="114"/>
      <c r="D220" s="114"/>
      <c r="E220" s="114"/>
      <c r="F220" s="114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4"/>
      <c r="T220" s="114"/>
      <c r="U220" s="114"/>
      <c r="V220" s="114"/>
      <c r="W220" s="114"/>
      <c r="X220" s="114"/>
      <c r="Y220" s="114"/>
    </row>
    <row r="221">
      <c r="A221" s="114"/>
      <c r="B221" s="114"/>
      <c r="C221" s="114"/>
      <c r="D221" s="114"/>
      <c r="E221" s="114"/>
      <c r="F221" s="114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4"/>
      <c r="T221" s="114"/>
      <c r="U221" s="114"/>
      <c r="V221" s="114"/>
      <c r="W221" s="114"/>
      <c r="X221" s="114"/>
      <c r="Y221" s="114"/>
    </row>
    <row r="222">
      <c r="A222" s="114"/>
      <c r="B222" s="114"/>
      <c r="C222" s="114"/>
      <c r="D222" s="114"/>
      <c r="E222" s="114"/>
      <c r="F222" s="114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4"/>
      <c r="T222" s="114"/>
      <c r="U222" s="114"/>
      <c r="V222" s="114"/>
      <c r="W222" s="114"/>
      <c r="X222" s="114"/>
      <c r="Y222" s="114"/>
    </row>
    <row r="223">
      <c r="A223" s="114"/>
      <c r="B223" s="114"/>
      <c r="C223" s="114"/>
      <c r="D223" s="114"/>
      <c r="E223" s="114"/>
      <c r="F223" s="114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4"/>
      <c r="T223" s="114"/>
      <c r="U223" s="114"/>
      <c r="V223" s="114"/>
      <c r="W223" s="114"/>
      <c r="X223" s="114"/>
      <c r="Y223" s="114"/>
    </row>
    <row r="224">
      <c r="A224" s="114"/>
      <c r="B224" s="114"/>
      <c r="C224" s="114"/>
      <c r="D224" s="114"/>
      <c r="E224" s="114"/>
      <c r="F224" s="114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4"/>
      <c r="T224" s="114"/>
      <c r="U224" s="114"/>
      <c r="V224" s="114"/>
      <c r="W224" s="114"/>
      <c r="X224" s="114"/>
      <c r="Y224" s="114"/>
    </row>
    <row r="225">
      <c r="A225" s="114"/>
      <c r="B225" s="114"/>
      <c r="C225" s="114"/>
      <c r="D225" s="114"/>
      <c r="E225" s="114"/>
      <c r="F225" s="114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4"/>
      <c r="T225" s="114"/>
      <c r="U225" s="114"/>
      <c r="V225" s="114"/>
      <c r="W225" s="114"/>
      <c r="X225" s="114"/>
      <c r="Y225" s="114"/>
    </row>
    <row r="226">
      <c r="A226" s="114"/>
      <c r="B226" s="114"/>
      <c r="C226" s="114"/>
      <c r="D226" s="114"/>
      <c r="E226" s="114"/>
      <c r="F226" s="114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4"/>
      <c r="T226" s="114"/>
      <c r="U226" s="114"/>
      <c r="V226" s="114"/>
      <c r="W226" s="114"/>
      <c r="X226" s="114"/>
      <c r="Y226" s="114"/>
    </row>
    <row r="227">
      <c r="A227" s="114"/>
      <c r="B227" s="114"/>
      <c r="C227" s="114"/>
      <c r="D227" s="114"/>
      <c r="E227" s="114"/>
      <c r="F227" s="114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4"/>
      <c r="T227" s="114"/>
      <c r="U227" s="114"/>
      <c r="V227" s="114"/>
      <c r="W227" s="114"/>
      <c r="X227" s="114"/>
      <c r="Y227" s="114"/>
    </row>
    <row r="228">
      <c r="A228" s="114"/>
      <c r="B228" s="114"/>
      <c r="C228" s="114"/>
      <c r="D228" s="114"/>
      <c r="E228" s="114"/>
      <c r="F228" s="114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4"/>
      <c r="T228" s="114"/>
      <c r="U228" s="114"/>
      <c r="V228" s="114"/>
      <c r="W228" s="114"/>
      <c r="X228" s="114"/>
      <c r="Y228" s="114"/>
    </row>
    <row r="229">
      <c r="A229" s="114"/>
      <c r="B229" s="114"/>
      <c r="C229" s="114"/>
      <c r="D229" s="114"/>
      <c r="E229" s="114"/>
      <c r="F229" s="114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4"/>
      <c r="T229" s="114"/>
      <c r="U229" s="114"/>
      <c r="V229" s="114"/>
      <c r="W229" s="114"/>
      <c r="X229" s="114"/>
      <c r="Y229" s="114"/>
    </row>
    <row r="230">
      <c r="A230" s="114"/>
      <c r="B230" s="114"/>
      <c r="C230" s="114"/>
      <c r="D230" s="114"/>
      <c r="E230" s="114"/>
      <c r="F230" s="114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4"/>
      <c r="T230" s="114"/>
      <c r="U230" s="114"/>
      <c r="V230" s="114"/>
      <c r="W230" s="114"/>
      <c r="X230" s="114"/>
      <c r="Y230" s="114"/>
    </row>
    <row r="231">
      <c r="A231" s="114"/>
      <c r="B231" s="114"/>
      <c r="C231" s="114"/>
      <c r="D231" s="114"/>
      <c r="E231" s="114"/>
      <c r="F231" s="114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4"/>
      <c r="T231" s="114"/>
      <c r="U231" s="114"/>
      <c r="V231" s="114"/>
      <c r="W231" s="114"/>
      <c r="X231" s="114"/>
      <c r="Y231" s="114"/>
    </row>
    <row r="232">
      <c r="A232" s="114"/>
      <c r="B232" s="114"/>
      <c r="C232" s="114"/>
      <c r="D232" s="114"/>
      <c r="E232" s="114"/>
      <c r="F232" s="114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4"/>
      <c r="T232" s="114"/>
      <c r="U232" s="114"/>
      <c r="V232" s="114"/>
      <c r="W232" s="114"/>
      <c r="X232" s="114"/>
      <c r="Y232" s="114"/>
    </row>
    <row r="233">
      <c r="A233" s="114"/>
      <c r="B233" s="114"/>
      <c r="C233" s="114"/>
      <c r="D233" s="114"/>
      <c r="E233" s="114"/>
      <c r="F233" s="114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4"/>
      <c r="T233" s="114"/>
      <c r="U233" s="114"/>
      <c r="V233" s="114"/>
      <c r="W233" s="114"/>
      <c r="X233" s="114"/>
      <c r="Y233" s="114"/>
    </row>
    <row r="234">
      <c r="A234" s="114"/>
      <c r="B234" s="114"/>
      <c r="C234" s="114"/>
      <c r="D234" s="114"/>
      <c r="E234" s="114"/>
      <c r="F234" s="114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4"/>
      <c r="T234" s="114"/>
      <c r="U234" s="114"/>
      <c r="V234" s="114"/>
      <c r="W234" s="114"/>
      <c r="X234" s="114"/>
      <c r="Y234" s="114"/>
    </row>
    <row r="235">
      <c r="A235" s="114"/>
      <c r="B235" s="114"/>
      <c r="C235" s="114"/>
      <c r="D235" s="114"/>
      <c r="E235" s="114"/>
      <c r="F235" s="114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4"/>
      <c r="T235" s="114"/>
      <c r="U235" s="114"/>
      <c r="V235" s="114"/>
      <c r="W235" s="114"/>
      <c r="X235" s="114"/>
      <c r="Y235" s="114"/>
    </row>
    <row r="236">
      <c r="A236" s="114"/>
      <c r="B236" s="114"/>
      <c r="C236" s="114"/>
      <c r="D236" s="114"/>
      <c r="E236" s="114"/>
      <c r="F236" s="114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4"/>
      <c r="T236" s="114"/>
      <c r="U236" s="114"/>
      <c r="V236" s="114"/>
      <c r="W236" s="114"/>
      <c r="X236" s="114"/>
      <c r="Y236" s="114"/>
    </row>
    <row r="237">
      <c r="A237" s="114"/>
      <c r="B237" s="114"/>
      <c r="C237" s="114"/>
      <c r="D237" s="114"/>
      <c r="E237" s="114"/>
      <c r="F237" s="114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4"/>
      <c r="T237" s="114"/>
      <c r="U237" s="114"/>
      <c r="V237" s="114"/>
      <c r="W237" s="114"/>
      <c r="X237" s="114"/>
      <c r="Y237" s="114"/>
    </row>
    <row r="238">
      <c r="A238" s="114"/>
      <c r="B238" s="114"/>
      <c r="C238" s="114"/>
      <c r="D238" s="114"/>
      <c r="E238" s="114"/>
      <c r="F238" s="114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4"/>
      <c r="T238" s="114"/>
      <c r="U238" s="114"/>
      <c r="V238" s="114"/>
      <c r="W238" s="114"/>
      <c r="X238" s="114"/>
      <c r="Y238" s="114"/>
    </row>
    <row r="239">
      <c r="A239" s="114"/>
      <c r="B239" s="114"/>
      <c r="C239" s="114"/>
      <c r="D239" s="114"/>
      <c r="E239" s="114"/>
      <c r="F239" s="114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4"/>
      <c r="T239" s="114"/>
      <c r="U239" s="114"/>
      <c r="V239" s="114"/>
      <c r="W239" s="114"/>
      <c r="X239" s="114"/>
      <c r="Y239" s="114"/>
    </row>
    <row r="240">
      <c r="A240" s="114"/>
      <c r="B240" s="114"/>
      <c r="C240" s="114"/>
      <c r="D240" s="114"/>
      <c r="E240" s="114"/>
      <c r="F240" s="114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4"/>
      <c r="T240" s="114"/>
      <c r="U240" s="114"/>
      <c r="V240" s="114"/>
      <c r="W240" s="114"/>
      <c r="X240" s="114"/>
      <c r="Y240" s="114"/>
    </row>
    <row r="241">
      <c r="A241" s="114"/>
      <c r="B241" s="114"/>
      <c r="C241" s="114"/>
      <c r="D241" s="114"/>
      <c r="E241" s="114"/>
      <c r="F241" s="114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4"/>
      <c r="T241" s="114"/>
      <c r="U241" s="114"/>
      <c r="V241" s="114"/>
      <c r="W241" s="114"/>
      <c r="X241" s="114"/>
      <c r="Y241" s="114"/>
    </row>
    <row r="242">
      <c r="A242" s="114"/>
      <c r="B242" s="114"/>
      <c r="C242" s="114"/>
      <c r="D242" s="114"/>
      <c r="E242" s="114"/>
      <c r="F242" s="114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4"/>
      <c r="T242" s="114"/>
      <c r="U242" s="114"/>
      <c r="V242" s="114"/>
      <c r="W242" s="114"/>
      <c r="X242" s="114"/>
      <c r="Y242" s="114"/>
    </row>
    <row r="243">
      <c r="A243" s="114"/>
      <c r="B243" s="114"/>
      <c r="C243" s="114"/>
      <c r="D243" s="114"/>
      <c r="E243" s="114"/>
      <c r="F243" s="114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4"/>
      <c r="T243" s="114"/>
      <c r="U243" s="114"/>
      <c r="V243" s="114"/>
      <c r="W243" s="114"/>
      <c r="X243" s="114"/>
      <c r="Y243" s="114"/>
    </row>
    <row r="244">
      <c r="A244" s="114"/>
      <c r="B244" s="114"/>
      <c r="C244" s="114"/>
      <c r="D244" s="114"/>
      <c r="E244" s="114"/>
      <c r="F244" s="114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4"/>
      <c r="T244" s="114"/>
      <c r="U244" s="114"/>
      <c r="V244" s="114"/>
      <c r="W244" s="114"/>
      <c r="X244" s="114"/>
      <c r="Y244" s="114"/>
    </row>
    <row r="245">
      <c r="A245" s="114"/>
      <c r="B245" s="114"/>
      <c r="C245" s="114"/>
      <c r="D245" s="114"/>
      <c r="E245" s="114"/>
      <c r="F245" s="114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4"/>
      <c r="T245" s="114"/>
      <c r="U245" s="114"/>
      <c r="V245" s="114"/>
      <c r="W245" s="114"/>
      <c r="X245" s="114"/>
      <c r="Y245" s="114"/>
    </row>
    <row r="246">
      <c r="A246" s="114"/>
      <c r="B246" s="114"/>
      <c r="C246" s="114"/>
      <c r="D246" s="114"/>
      <c r="E246" s="114"/>
      <c r="F246" s="114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4"/>
      <c r="T246" s="114"/>
      <c r="U246" s="114"/>
      <c r="V246" s="114"/>
      <c r="W246" s="114"/>
      <c r="X246" s="114"/>
      <c r="Y246" s="114"/>
    </row>
    <row r="247">
      <c r="A247" s="114"/>
      <c r="B247" s="114"/>
      <c r="C247" s="114"/>
      <c r="D247" s="114"/>
      <c r="E247" s="114"/>
      <c r="F247" s="114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4"/>
      <c r="T247" s="114"/>
      <c r="U247" s="114"/>
      <c r="V247" s="114"/>
      <c r="W247" s="114"/>
      <c r="X247" s="114"/>
      <c r="Y247" s="114"/>
    </row>
    <row r="248">
      <c r="A248" s="114"/>
      <c r="B248" s="114"/>
      <c r="C248" s="114"/>
      <c r="D248" s="114"/>
      <c r="E248" s="114"/>
      <c r="F248" s="114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4"/>
      <c r="T248" s="114"/>
      <c r="U248" s="114"/>
      <c r="V248" s="114"/>
      <c r="W248" s="114"/>
      <c r="X248" s="114"/>
      <c r="Y248" s="114"/>
    </row>
    <row r="249">
      <c r="A249" s="114"/>
      <c r="B249" s="114"/>
      <c r="C249" s="114"/>
      <c r="D249" s="114"/>
      <c r="E249" s="114"/>
      <c r="F249" s="114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4"/>
      <c r="T249" s="114"/>
      <c r="U249" s="114"/>
      <c r="V249" s="114"/>
      <c r="W249" s="114"/>
      <c r="X249" s="114"/>
      <c r="Y249" s="114"/>
    </row>
    <row r="250">
      <c r="A250" s="114"/>
      <c r="B250" s="114"/>
      <c r="C250" s="114"/>
      <c r="D250" s="114"/>
      <c r="E250" s="114"/>
      <c r="F250" s="114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4"/>
      <c r="T250" s="114"/>
      <c r="U250" s="114"/>
      <c r="V250" s="114"/>
      <c r="W250" s="114"/>
      <c r="X250" s="114"/>
      <c r="Y250" s="114"/>
    </row>
    <row r="251">
      <c r="A251" s="114"/>
      <c r="B251" s="114"/>
      <c r="C251" s="114"/>
      <c r="D251" s="114"/>
      <c r="E251" s="114"/>
      <c r="F251" s="114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4"/>
      <c r="T251" s="114"/>
      <c r="U251" s="114"/>
      <c r="V251" s="114"/>
      <c r="W251" s="114"/>
      <c r="X251" s="114"/>
      <c r="Y251" s="114"/>
    </row>
    <row r="252">
      <c r="A252" s="114"/>
      <c r="B252" s="114"/>
      <c r="C252" s="114"/>
      <c r="D252" s="114"/>
      <c r="E252" s="114"/>
      <c r="F252" s="114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4"/>
      <c r="T252" s="114"/>
      <c r="U252" s="114"/>
      <c r="V252" s="114"/>
      <c r="W252" s="114"/>
      <c r="X252" s="114"/>
      <c r="Y252" s="114"/>
    </row>
    <row r="253">
      <c r="A253" s="114"/>
      <c r="B253" s="114"/>
      <c r="C253" s="114"/>
      <c r="D253" s="114"/>
      <c r="E253" s="114"/>
      <c r="F253" s="114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4"/>
      <c r="T253" s="114"/>
      <c r="U253" s="114"/>
      <c r="V253" s="114"/>
      <c r="W253" s="114"/>
      <c r="X253" s="114"/>
      <c r="Y253" s="114"/>
    </row>
    <row r="254">
      <c r="A254" s="114"/>
      <c r="B254" s="114"/>
      <c r="C254" s="114"/>
      <c r="D254" s="114"/>
      <c r="E254" s="114"/>
      <c r="F254" s="114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4"/>
      <c r="T254" s="114"/>
      <c r="U254" s="114"/>
      <c r="V254" s="114"/>
      <c r="W254" s="114"/>
      <c r="X254" s="114"/>
      <c r="Y254" s="114"/>
    </row>
    <row r="255">
      <c r="A255" s="114"/>
      <c r="B255" s="114"/>
      <c r="C255" s="114"/>
      <c r="D255" s="114"/>
      <c r="E255" s="114"/>
      <c r="F255" s="114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4"/>
      <c r="T255" s="114"/>
      <c r="U255" s="114"/>
      <c r="V255" s="114"/>
      <c r="W255" s="114"/>
      <c r="X255" s="114"/>
      <c r="Y255" s="114"/>
    </row>
    <row r="256">
      <c r="A256" s="114"/>
      <c r="B256" s="114"/>
      <c r="C256" s="114"/>
      <c r="D256" s="114"/>
      <c r="E256" s="114"/>
      <c r="F256" s="114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4"/>
      <c r="T256" s="114"/>
      <c r="U256" s="114"/>
      <c r="V256" s="114"/>
      <c r="W256" s="114"/>
      <c r="X256" s="114"/>
      <c r="Y256" s="114"/>
    </row>
    <row r="257">
      <c r="A257" s="114"/>
      <c r="B257" s="114"/>
      <c r="C257" s="114"/>
      <c r="D257" s="114"/>
      <c r="E257" s="114"/>
      <c r="F257" s="114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4"/>
      <c r="T257" s="114"/>
      <c r="U257" s="114"/>
      <c r="V257" s="114"/>
      <c r="W257" s="114"/>
      <c r="X257" s="114"/>
      <c r="Y257" s="114"/>
    </row>
    <row r="258">
      <c r="A258" s="114"/>
      <c r="B258" s="114"/>
      <c r="C258" s="114"/>
      <c r="D258" s="114"/>
      <c r="E258" s="114"/>
      <c r="F258" s="114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4"/>
      <c r="T258" s="114"/>
      <c r="U258" s="114"/>
      <c r="V258" s="114"/>
      <c r="W258" s="114"/>
      <c r="X258" s="114"/>
      <c r="Y258" s="114"/>
    </row>
    <row r="259">
      <c r="A259" s="114"/>
      <c r="B259" s="114"/>
      <c r="C259" s="114"/>
      <c r="D259" s="114"/>
      <c r="E259" s="114"/>
      <c r="F259" s="114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4"/>
      <c r="T259" s="114"/>
      <c r="U259" s="114"/>
      <c r="V259" s="114"/>
      <c r="W259" s="114"/>
      <c r="X259" s="114"/>
      <c r="Y259" s="114"/>
    </row>
    <row r="260">
      <c r="A260" s="114"/>
      <c r="B260" s="114"/>
      <c r="C260" s="114"/>
      <c r="D260" s="114"/>
      <c r="E260" s="114"/>
      <c r="F260" s="114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4"/>
      <c r="T260" s="114"/>
      <c r="U260" s="114"/>
      <c r="V260" s="114"/>
      <c r="W260" s="114"/>
      <c r="X260" s="114"/>
      <c r="Y260" s="114"/>
    </row>
    <row r="261">
      <c r="A261" s="114"/>
      <c r="B261" s="114"/>
      <c r="C261" s="114"/>
      <c r="D261" s="114"/>
      <c r="E261" s="114"/>
      <c r="F261" s="114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4"/>
      <c r="T261" s="114"/>
      <c r="U261" s="114"/>
      <c r="V261" s="114"/>
      <c r="W261" s="114"/>
      <c r="X261" s="114"/>
      <c r="Y261" s="114"/>
    </row>
    <row r="262">
      <c r="A262" s="114"/>
      <c r="B262" s="114"/>
      <c r="C262" s="114"/>
      <c r="D262" s="114"/>
      <c r="E262" s="114"/>
      <c r="F262" s="114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4"/>
      <c r="T262" s="114"/>
      <c r="U262" s="114"/>
      <c r="V262" s="114"/>
      <c r="W262" s="114"/>
      <c r="X262" s="114"/>
      <c r="Y262" s="114"/>
    </row>
    <row r="263">
      <c r="A263" s="114"/>
      <c r="B263" s="114"/>
      <c r="C263" s="114"/>
      <c r="D263" s="114"/>
      <c r="E263" s="114"/>
      <c r="F263" s="114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4"/>
      <c r="T263" s="114"/>
      <c r="U263" s="114"/>
      <c r="V263" s="114"/>
      <c r="W263" s="114"/>
      <c r="X263" s="114"/>
      <c r="Y263" s="114"/>
    </row>
    <row r="264">
      <c r="A264" s="114"/>
      <c r="B264" s="114"/>
      <c r="C264" s="114"/>
      <c r="D264" s="114"/>
      <c r="E264" s="114"/>
      <c r="F264" s="114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4"/>
      <c r="T264" s="114"/>
      <c r="U264" s="114"/>
      <c r="V264" s="114"/>
      <c r="W264" s="114"/>
      <c r="X264" s="114"/>
      <c r="Y264" s="114"/>
    </row>
    <row r="265">
      <c r="A265" s="114"/>
      <c r="B265" s="114"/>
      <c r="C265" s="114"/>
      <c r="D265" s="114"/>
      <c r="E265" s="114"/>
      <c r="F265" s="114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4"/>
      <c r="T265" s="114"/>
      <c r="U265" s="114"/>
      <c r="V265" s="114"/>
      <c r="W265" s="114"/>
      <c r="X265" s="114"/>
      <c r="Y265" s="114"/>
    </row>
    <row r="266">
      <c r="A266" s="114"/>
      <c r="B266" s="114"/>
      <c r="C266" s="114"/>
      <c r="D266" s="114"/>
      <c r="E266" s="114"/>
      <c r="F266" s="114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4"/>
      <c r="T266" s="114"/>
      <c r="U266" s="114"/>
      <c r="V266" s="114"/>
      <c r="W266" s="114"/>
      <c r="X266" s="114"/>
      <c r="Y266" s="114"/>
    </row>
    <row r="267">
      <c r="A267" s="114"/>
      <c r="B267" s="114"/>
      <c r="C267" s="114"/>
      <c r="D267" s="114"/>
      <c r="E267" s="114"/>
      <c r="F267" s="114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4"/>
      <c r="T267" s="114"/>
      <c r="U267" s="114"/>
      <c r="V267" s="114"/>
      <c r="W267" s="114"/>
      <c r="X267" s="114"/>
      <c r="Y267" s="114"/>
    </row>
    <row r="268">
      <c r="A268" s="114"/>
      <c r="B268" s="114"/>
      <c r="C268" s="114"/>
      <c r="D268" s="114"/>
      <c r="E268" s="114"/>
      <c r="F268" s="114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4"/>
      <c r="T268" s="114"/>
      <c r="U268" s="114"/>
      <c r="V268" s="114"/>
      <c r="W268" s="114"/>
      <c r="X268" s="114"/>
      <c r="Y268" s="114"/>
    </row>
    <row r="269">
      <c r="A269" s="114"/>
      <c r="B269" s="114"/>
      <c r="C269" s="114"/>
      <c r="D269" s="114"/>
      <c r="E269" s="114"/>
      <c r="F269" s="114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4"/>
      <c r="T269" s="114"/>
      <c r="U269" s="114"/>
      <c r="V269" s="114"/>
      <c r="W269" s="114"/>
      <c r="X269" s="114"/>
      <c r="Y269" s="114"/>
    </row>
    <row r="270">
      <c r="A270" s="114"/>
      <c r="B270" s="114"/>
      <c r="C270" s="114"/>
      <c r="D270" s="114"/>
      <c r="E270" s="114"/>
      <c r="F270" s="114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4"/>
      <c r="T270" s="114"/>
      <c r="U270" s="114"/>
      <c r="V270" s="114"/>
      <c r="W270" s="114"/>
      <c r="X270" s="114"/>
      <c r="Y270" s="114"/>
    </row>
    <row r="271">
      <c r="A271" s="114"/>
      <c r="B271" s="114"/>
      <c r="C271" s="114"/>
      <c r="D271" s="114"/>
      <c r="E271" s="114"/>
      <c r="F271" s="114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4"/>
      <c r="T271" s="114"/>
      <c r="U271" s="114"/>
      <c r="V271" s="114"/>
      <c r="W271" s="114"/>
      <c r="X271" s="114"/>
      <c r="Y271" s="114"/>
    </row>
    <row r="272">
      <c r="A272" s="114"/>
      <c r="B272" s="114"/>
      <c r="C272" s="114"/>
      <c r="D272" s="114"/>
      <c r="E272" s="114"/>
      <c r="F272" s="114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4"/>
      <c r="T272" s="114"/>
      <c r="U272" s="114"/>
      <c r="V272" s="114"/>
      <c r="W272" s="114"/>
      <c r="X272" s="114"/>
      <c r="Y272" s="114"/>
    </row>
    <row r="273">
      <c r="A273" s="114"/>
      <c r="B273" s="114"/>
      <c r="C273" s="114"/>
      <c r="D273" s="114"/>
      <c r="E273" s="114"/>
      <c r="F273" s="114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4"/>
      <c r="T273" s="114"/>
      <c r="U273" s="114"/>
      <c r="V273" s="114"/>
      <c r="W273" s="114"/>
      <c r="X273" s="114"/>
      <c r="Y273" s="114"/>
    </row>
    <row r="274">
      <c r="A274" s="114"/>
      <c r="B274" s="114"/>
      <c r="C274" s="114"/>
      <c r="D274" s="114"/>
      <c r="E274" s="114"/>
      <c r="F274" s="114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4"/>
      <c r="T274" s="114"/>
      <c r="U274" s="114"/>
      <c r="V274" s="114"/>
      <c r="W274" s="114"/>
      <c r="X274" s="114"/>
      <c r="Y274" s="114"/>
    </row>
    <row r="275">
      <c r="A275" s="114"/>
      <c r="B275" s="114"/>
      <c r="C275" s="114"/>
      <c r="D275" s="114"/>
      <c r="E275" s="114"/>
      <c r="F275" s="114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4"/>
      <c r="T275" s="114"/>
      <c r="U275" s="114"/>
      <c r="V275" s="114"/>
      <c r="W275" s="114"/>
      <c r="X275" s="114"/>
      <c r="Y275" s="114"/>
    </row>
    <row r="276">
      <c r="A276" s="114"/>
      <c r="B276" s="114"/>
      <c r="C276" s="114"/>
      <c r="D276" s="114"/>
      <c r="E276" s="114"/>
      <c r="F276" s="114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4"/>
      <c r="T276" s="114"/>
      <c r="U276" s="114"/>
      <c r="V276" s="114"/>
      <c r="W276" s="114"/>
      <c r="X276" s="114"/>
      <c r="Y276" s="114"/>
    </row>
    <row r="277">
      <c r="A277" s="114"/>
      <c r="B277" s="114"/>
      <c r="C277" s="114"/>
      <c r="D277" s="114"/>
      <c r="E277" s="114"/>
      <c r="F277" s="114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4"/>
      <c r="T277" s="114"/>
      <c r="U277" s="114"/>
      <c r="V277" s="114"/>
      <c r="W277" s="114"/>
      <c r="X277" s="114"/>
      <c r="Y277" s="114"/>
    </row>
    <row r="278">
      <c r="A278" s="114"/>
      <c r="B278" s="114"/>
      <c r="C278" s="114"/>
      <c r="D278" s="114"/>
      <c r="E278" s="114"/>
      <c r="F278" s="114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4"/>
      <c r="T278" s="114"/>
      <c r="U278" s="114"/>
      <c r="V278" s="114"/>
      <c r="W278" s="114"/>
      <c r="X278" s="114"/>
      <c r="Y278" s="114"/>
    </row>
    <row r="279">
      <c r="A279" s="114"/>
      <c r="B279" s="114"/>
      <c r="C279" s="114"/>
      <c r="D279" s="114"/>
      <c r="E279" s="114"/>
      <c r="F279" s="114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4"/>
      <c r="T279" s="114"/>
      <c r="U279" s="114"/>
      <c r="V279" s="114"/>
      <c r="W279" s="114"/>
      <c r="X279" s="114"/>
      <c r="Y279" s="114"/>
    </row>
    <row r="280">
      <c r="A280" s="114"/>
      <c r="B280" s="114"/>
      <c r="C280" s="114"/>
      <c r="D280" s="114"/>
      <c r="E280" s="114"/>
      <c r="F280" s="114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4"/>
      <c r="T280" s="114"/>
      <c r="U280" s="114"/>
      <c r="V280" s="114"/>
      <c r="W280" s="114"/>
      <c r="X280" s="114"/>
      <c r="Y280" s="114"/>
    </row>
    <row r="281">
      <c r="A281" s="114"/>
      <c r="B281" s="114"/>
      <c r="C281" s="114"/>
      <c r="D281" s="114"/>
      <c r="E281" s="114"/>
      <c r="F281" s="114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4"/>
      <c r="T281" s="114"/>
      <c r="U281" s="114"/>
      <c r="V281" s="114"/>
      <c r="W281" s="114"/>
      <c r="X281" s="114"/>
      <c r="Y281" s="114"/>
    </row>
    <row r="282">
      <c r="A282" s="114"/>
      <c r="B282" s="114"/>
      <c r="C282" s="114"/>
      <c r="D282" s="114"/>
      <c r="E282" s="114"/>
      <c r="F282" s="114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4"/>
      <c r="T282" s="114"/>
      <c r="U282" s="114"/>
      <c r="V282" s="114"/>
      <c r="W282" s="114"/>
      <c r="X282" s="114"/>
      <c r="Y282" s="114"/>
    </row>
    <row r="283">
      <c r="A283" s="114"/>
      <c r="B283" s="114"/>
      <c r="C283" s="114"/>
      <c r="D283" s="114"/>
      <c r="E283" s="114"/>
      <c r="F283" s="114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4"/>
      <c r="T283" s="114"/>
      <c r="U283" s="114"/>
      <c r="V283" s="114"/>
      <c r="W283" s="114"/>
      <c r="X283" s="114"/>
      <c r="Y283" s="114"/>
    </row>
    <row r="284">
      <c r="A284" s="114"/>
      <c r="B284" s="114"/>
      <c r="C284" s="114"/>
      <c r="D284" s="114"/>
      <c r="E284" s="114"/>
      <c r="F284" s="114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4"/>
      <c r="T284" s="114"/>
      <c r="U284" s="114"/>
      <c r="V284" s="114"/>
      <c r="W284" s="114"/>
      <c r="X284" s="114"/>
      <c r="Y284" s="114"/>
    </row>
    <row r="285">
      <c r="A285" s="114"/>
      <c r="B285" s="114"/>
      <c r="C285" s="114"/>
      <c r="D285" s="114"/>
      <c r="E285" s="114"/>
      <c r="F285" s="114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4"/>
      <c r="T285" s="114"/>
      <c r="U285" s="114"/>
      <c r="V285" s="114"/>
      <c r="W285" s="114"/>
      <c r="X285" s="114"/>
      <c r="Y285" s="114"/>
    </row>
    <row r="286">
      <c r="A286" s="114"/>
      <c r="B286" s="114"/>
      <c r="C286" s="114"/>
      <c r="D286" s="114"/>
      <c r="E286" s="114"/>
      <c r="F286" s="114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4"/>
      <c r="T286" s="114"/>
      <c r="U286" s="114"/>
      <c r="V286" s="114"/>
      <c r="W286" s="114"/>
      <c r="X286" s="114"/>
      <c r="Y286" s="114"/>
    </row>
    <row r="287">
      <c r="A287" s="114"/>
      <c r="B287" s="114"/>
      <c r="C287" s="114"/>
      <c r="D287" s="114"/>
      <c r="E287" s="114"/>
      <c r="F287" s="114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4"/>
      <c r="T287" s="114"/>
      <c r="U287" s="114"/>
      <c r="V287" s="114"/>
      <c r="W287" s="114"/>
      <c r="X287" s="114"/>
      <c r="Y287" s="114"/>
    </row>
    <row r="288">
      <c r="A288" s="114"/>
      <c r="B288" s="114"/>
      <c r="C288" s="114"/>
      <c r="D288" s="114"/>
      <c r="E288" s="114"/>
      <c r="F288" s="114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4"/>
      <c r="T288" s="114"/>
      <c r="U288" s="114"/>
      <c r="V288" s="114"/>
      <c r="W288" s="114"/>
      <c r="X288" s="114"/>
      <c r="Y288" s="114"/>
    </row>
    <row r="289">
      <c r="A289" s="114"/>
      <c r="B289" s="114"/>
      <c r="C289" s="114"/>
      <c r="D289" s="114"/>
      <c r="E289" s="114"/>
      <c r="F289" s="114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4"/>
      <c r="T289" s="114"/>
      <c r="U289" s="114"/>
      <c r="V289" s="114"/>
      <c r="W289" s="114"/>
      <c r="X289" s="114"/>
      <c r="Y289" s="114"/>
    </row>
    <row r="290">
      <c r="A290" s="114"/>
      <c r="B290" s="114"/>
      <c r="C290" s="114"/>
      <c r="D290" s="114"/>
      <c r="E290" s="114"/>
      <c r="F290" s="114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4"/>
      <c r="T290" s="114"/>
      <c r="U290" s="114"/>
      <c r="V290" s="114"/>
      <c r="W290" s="114"/>
      <c r="X290" s="114"/>
      <c r="Y290" s="114"/>
    </row>
    <row r="291">
      <c r="A291" s="114"/>
      <c r="B291" s="114"/>
      <c r="C291" s="114"/>
      <c r="D291" s="114"/>
      <c r="E291" s="114"/>
      <c r="F291" s="114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4"/>
      <c r="T291" s="114"/>
      <c r="U291" s="114"/>
      <c r="V291" s="114"/>
      <c r="W291" s="114"/>
      <c r="X291" s="114"/>
      <c r="Y291" s="114"/>
    </row>
    <row r="292">
      <c r="A292" s="114"/>
      <c r="B292" s="114"/>
      <c r="C292" s="114"/>
      <c r="D292" s="114"/>
      <c r="E292" s="114"/>
      <c r="F292" s="114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4"/>
      <c r="T292" s="114"/>
      <c r="U292" s="114"/>
      <c r="V292" s="114"/>
      <c r="W292" s="114"/>
      <c r="X292" s="114"/>
      <c r="Y292" s="114"/>
    </row>
    <row r="293">
      <c r="A293" s="114"/>
      <c r="B293" s="114"/>
      <c r="C293" s="114"/>
      <c r="D293" s="114"/>
      <c r="E293" s="114"/>
      <c r="F293" s="114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4"/>
      <c r="T293" s="114"/>
      <c r="U293" s="114"/>
      <c r="V293" s="114"/>
      <c r="W293" s="114"/>
      <c r="X293" s="114"/>
      <c r="Y293" s="114"/>
    </row>
    <row r="294">
      <c r="A294" s="114"/>
      <c r="B294" s="114"/>
      <c r="C294" s="114"/>
      <c r="D294" s="114"/>
      <c r="E294" s="114"/>
      <c r="F294" s="114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4"/>
      <c r="T294" s="114"/>
      <c r="U294" s="114"/>
      <c r="V294" s="114"/>
      <c r="W294" s="114"/>
      <c r="X294" s="114"/>
      <c r="Y294" s="114"/>
    </row>
    <row r="295">
      <c r="A295" s="114"/>
      <c r="B295" s="114"/>
      <c r="C295" s="114"/>
      <c r="D295" s="114"/>
      <c r="E295" s="114"/>
      <c r="F295" s="114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4"/>
      <c r="T295" s="114"/>
      <c r="U295" s="114"/>
      <c r="V295" s="114"/>
      <c r="W295" s="114"/>
      <c r="X295" s="114"/>
      <c r="Y295" s="114"/>
    </row>
    <row r="296">
      <c r="A296" s="114"/>
      <c r="B296" s="114"/>
      <c r="C296" s="114"/>
      <c r="D296" s="114"/>
      <c r="E296" s="114"/>
      <c r="F296" s="114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4"/>
      <c r="T296" s="114"/>
      <c r="U296" s="114"/>
      <c r="V296" s="114"/>
      <c r="W296" s="114"/>
      <c r="X296" s="114"/>
      <c r="Y296" s="114"/>
    </row>
    <row r="297">
      <c r="A297" s="114"/>
      <c r="B297" s="114"/>
      <c r="C297" s="114"/>
      <c r="D297" s="114"/>
      <c r="E297" s="114"/>
      <c r="F297" s="114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4"/>
      <c r="T297" s="114"/>
      <c r="U297" s="114"/>
      <c r="V297" s="114"/>
      <c r="W297" s="114"/>
      <c r="X297" s="114"/>
      <c r="Y297" s="114"/>
    </row>
    <row r="298">
      <c r="A298" s="114"/>
      <c r="B298" s="114"/>
      <c r="C298" s="114"/>
      <c r="D298" s="114"/>
      <c r="E298" s="114"/>
      <c r="F298" s="114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4"/>
      <c r="T298" s="114"/>
      <c r="U298" s="114"/>
      <c r="V298" s="114"/>
      <c r="W298" s="114"/>
      <c r="X298" s="114"/>
      <c r="Y298" s="114"/>
    </row>
    <row r="299">
      <c r="A299" s="114"/>
      <c r="B299" s="114"/>
      <c r="C299" s="114"/>
      <c r="D299" s="114"/>
      <c r="E299" s="114"/>
      <c r="F299" s="114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4"/>
      <c r="T299" s="114"/>
      <c r="U299" s="114"/>
      <c r="V299" s="114"/>
      <c r="W299" s="114"/>
      <c r="X299" s="114"/>
      <c r="Y299" s="114"/>
    </row>
    <row r="300">
      <c r="A300" s="114"/>
      <c r="B300" s="114"/>
      <c r="C300" s="114"/>
      <c r="D300" s="114"/>
      <c r="E300" s="114"/>
      <c r="F300" s="114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4"/>
      <c r="T300" s="114"/>
      <c r="U300" s="114"/>
      <c r="V300" s="114"/>
      <c r="W300" s="114"/>
      <c r="X300" s="114"/>
      <c r="Y300" s="114"/>
    </row>
    <row r="301">
      <c r="A301" s="114"/>
      <c r="B301" s="114"/>
      <c r="C301" s="114"/>
      <c r="D301" s="114"/>
      <c r="E301" s="114"/>
      <c r="F301" s="114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4"/>
      <c r="T301" s="114"/>
      <c r="U301" s="114"/>
      <c r="V301" s="114"/>
      <c r="W301" s="114"/>
      <c r="X301" s="114"/>
      <c r="Y301" s="114"/>
    </row>
    <row r="302">
      <c r="A302" s="114"/>
      <c r="B302" s="114"/>
      <c r="C302" s="114"/>
      <c r="D302" s="114"/>
      <c r="E302" s="114"/>
      <c r="F302" s="114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4"/>
      <c r="T302" s="114"/>
      <c r="U302" s="114"/>
      <c r="V302" s="114"/>
      <c r="W302" s="114"/>
      <c r="X302" s="114"/>
      <c r="Y302" s="114"/>
    </row>
    <row r="303">
      <c r="A303" s="114"/>
      <c r="B303" s="114"/>
      <c r="C303" s="114"/>
      <c r="D303" s="114"/>
      <c r="E303" s="114"/>
      <c r="F303" s="114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4"/>
      <c r="T303" s="114"/>
      <c r="U303" s="114"/>
      <c r="V303" s="114"/>
      <c r="W303" s="114"/>
      <c r="X303" s="114"/>
      <c r="Y303" s="114"/>
    </row>
    <row r="304">
      <c r="A304" s="114"/>
      <c r="B304" s="114"/>
      <c r="C304" s="114"/>
      <c r="D304" s="114"/>
      <c r="E304" s="114"/>
      <c r="F304" s="114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4"/>
      <c r="T304" s="114"/>
      <c r="U304" s="114"/>
      <c r="V304" s="114"/>
      <c r="W304" s="114"/>
      <c r="X304" s="114"/>
      <c r="Y304" s="114"/>
    </row>
    <row r="305">
      <c r="A305" s="114"/>
      <c r="B305" s="114"/>
      <c r="C305" s="114"/>
      <c r="D305" s="114"/>
      <c r="E305" s="114"/>
      <c r="F305" s="114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4"/>
      <c r="T305" s="114"/>
      <c r="U305" s="114"/>
      <c r="V305" s="114"/>
      <c r="W305" s="114"/>
      <c r="X305" s="114"/>
      <c r="Y305" s="114"/>
    </row>
    <row r="306">
      <c r="A306" s="114"/>
      <c r="B306" s="114"/>
      <c r="C306" s="114"/>
      <c r="D306" s="114"/>
      <c r="E306" s="114"/>
      <c r="F306" s="114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4"/>
      <c r="T306" s="114"/>
      <c r="U306" s="114"/>
      <c r="V306" s="114"/>
      <c r="W306" s="114"/>
      <c r="X306" s="114"/>
      <c r="Y306" s="114"/>
    </row>
    <row r="307">
      <c r="A307" s="114"/>
      <c r="B307" s="114"/>
      <c r="C307" s="114"/>
      <c r="D307" s="114"/>
      <c r="E307" s="114"/>
      <c r="F307" s="114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4"/>
      <c r="T307" s="114"/>
      <c r="U307" s="114"/>
      <c r="V307" s="114"/>
      <c r="W307" s="114"/>
      <c r="X307" s="114"/>
      <c r="Y307" s="114"/>
    </row>
    <row r="308">
      <c r="A308" s="114"/>
      <c r="B308" s="114"/>
      <c r="C308" s="114"/>
      <c r="D308" s="114"/>
      <c r="E308" s="114"/>
      <c r="F308" s="114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4"/>
      <c r="T308" s="114"/>
      <c r="U308" s="114"/>
      <c r="V308" s="114"/>
      <c r="W308" s="114"/>
      <c r="X308" s="114"/>
      <c r="Y308" s="114"/>
    </row>
    <row r="309">
      <c r="A309" s="114"/>
      <c r="B309" s="114"/>
      <c r="C309" s="114"/>
      <c r="D309" s="114"/>
      <c r="E309" s="114"/>
      <c r="F309" s="114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4"/>
      <c r="T309" s="114"/>
      <c r="U309" s="114"/>
      <c r="V309" s="114"/>
      <c r="W309" s="114"/>
      <c r="X309" s="114"/>
      <c r="Y309" s="114"/>
    </row>
    <row r="310">
      <c r="A310" s="114"/>
      <c r="B310" s="114"/>
      <c r="C310" s="114"/>
      <c r="D310" s="114"/>
      <c r="E310" s="114"/>
      <c r="F310" s="114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4"/>
      <c r="T310" s="114"/>
      <c r="U310" s="114"/>
      <c r="V310" s="114"/>
      <c r="W310" s="114"/>
      <c r="X310" s="114"/>
      <c r="Y310" s="114"/>
    </row>
    <row r="311">
      <c r="A311" s="114"/>
      <c r="B311" s="114"/>
      <c r="C311" s="114"/>
      <c r="D311" s="114"/>
      <c r="E311" s="114"/>
      <c r="F311" s="114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4"/>
      <c r="T311" s="114"/>
      <c r="U311" s="114"/>
      <c r="V311" s="114"/>
      <c r="W311" s="114"/>
      <c r="X311" s="114"/>
      <c r="Y311" s="114"/>
    </row>
    <row r="312">
      <c r="A312" s="114"/>
      <c r="B312" s="114"/>
      <c r="C312" s="114"/>
      <c r="D312" s="114"/>
      <c r="E312" s="114"/>
      <c r="F312" s="114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4"/>
      <c r="T312" s="114"/>
      <c r="U312" s="114"/>
      <c r="V312" s="114"/>
      <c r="W312" s="114"/>
      <c r="X312" s="114"/>
      <c r="Y312" s="114"/>
    </row>
    <row r="313">
      <c r="A313" s="114"/>
      <c r="B313" s="114"/>
      <c r="C313" s="114"/>
      <c r="D313" s="114"/>
      <c r="E313" s="114"/>
      <c r="F313" s="114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4"/>
      <c r="T313" s="114"/>
      <c r="U313" s="114"/>
      <c r="V313" s="114"/>
      <c r="W313" s="114"/>
      <c r="X313" s="114"/>
      <c r="Y313" s="114"/>
    </row>
    <row r="314">
      <c r="A314" s="114"/>
      <c r="B314" s="114"/>
      <c r="C314" s="114"/>
      <c r="D314" s="114"/>
      <c r="E314" s="114"/>
      <c r="F314" s="114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4"/>
      <c r="T314" s="114"/>
      <c r="U314" s="114"/>
      <c r="V314" s="114"/>
      <c r="W314" s="114"/>
      <c r="X314" s="114"/>
      <c r="Y314" s="114"/>
    </row>
    <row r="315">
      <c r="A315" s="114"/>
      <c r="B315" s="114"/>
      <c r="C315" s="114"/>
      <c r="D315" s="114"/>
      <c r="E315" s="114"/>
      <c r="F315" s="114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4"/>
      <c r="T315" s="114"/>
      <c r="U315" s="114"/>
      <c r="V315" s="114"/>
      <c r="W315" s="114"/>
      <c r="X315" s="114"/>
      <c r="Y315" s="114"/>
    </row>
    <row r="316">
      <c r="A316" s="114"/>
      <c r="B316" s="114"/>
      <c r="C316" s="114"/>
      <c r="D316" s="114"/>
      <c r="E316" s="114"/>
      <c r="F316" s="114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4"/>
      <c r="T316" s="114"/>
      <c r="U316" s="114"/>
      <c r="V316" s="114"/>
      <c r="W316" s="114"/>
      <c r="X316" s="114"/>
      <c r="Y316" s="114"/>
    </row>
    <row r="317">
      <c r="A317" s="114"/>
      <c r="B317" s="114"/>
      <c r="C317" s="114"/>
      <c r="D317" s="114"/>
      <c r="E317" s="114"/>
      <c r="F317" s="114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4"/>
      <c r="T317" s="114"/>
      <c r="U317" s="114"/>
      <c r="V317" s="114"/>
      <c r="W317" s="114"/>
      <c r="X317" s="114"/>
      <c r="Y317" s="114"/>
    </row>
    <row r="318">
      <c r="A318" s="114"/>
      <c r="B318" s="114"/>
      <c r="C318" s="114"/>
      <c r="D318" s="114"/>
      <c r="E318" s="114"/>
      <c r="F318" s="114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4"/>
      <c r="T318" s="114"/>
      <c r="U318" s="114"/>
      <c r="V318" s="114"/>
      <c r="W318" s="114"/>
      <c r="X318" s="114"/>
      <c r="Y318" s="114"/>
    </row>
    <row r="319">
      <c r="A319" s="114"/>
      <c r="B319" s="114"/>
      <c r="C319" s="114"/>
      <c r="D319" s="114"/>
      <c r="E319" s="114"/>
      <c r="F319" s="114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4"/>
      <c r="T319" s="114"/>
      <c r="U319" s="114"/>
      <c r="V319" s="114"/>
      <c r="W319" s="114"/>
      <c r="X319" s="114"/>
      <c r="Y319" s="114"/>
    </row>
    <row r="320">
      <c r="A320" s="114"/>
      <c r="B320" s="114"/>
      <c r="C320" s="114"/>
      <c r="D320" s="114"/>
      <c r="E320" s="114"/>
      <c r="F320" s="114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4"/>
      <c r="T320" s="114"/>
      <c r="U320" s="114"/>
      <c r="V320" s="114"/>
      <c r="W320" s="114"/>
      <c r="X320" s="114"/>
      <c r="Y320" s="114"/>
    </row>
    <row r="321">
      <c r="A321" s="114"/>
      <c r="B321" s="114"/>
      <c r="C321" s="114"/>
      <c r="D321" s="114"/>
      <c r="E321" s="114"/>
      <c r="F321" s="114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4"/>
      <c r="T321" s="114"/>
      <c r="U321" s="114"/>
      <c r="V321" s="114"/>
      <c r="W321" s="114"/>
      <c r="X321" s="114"/>
      <c r="Y321" s="114"/>
    </row>
    <row r="322">
      <c r="A322" s="114"/>
      <c r="B322" s="114"/>
      <c r="C322" s="114"/>
      <c r="D322" s="114"/>
      <c r="E322" s="114"/>
      <c r="F322" s="114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4"/>
      <c r="T322" s="114"/>
      <c r="U322" s="114"/>
      <c r="V322" s="114"/>
      <c r="W322" s="114"/>
      <c r="X322" s="114"/>
      <c r="Y322" s="114"/>
    </row>
    <row r="323">
      <c r="A323" s="114"/>
      <c r="B323" s="114"/>
      <c r="C323" s="114"/>
      <c r="D323" s="114"/>
      <c r="E323" s="114"/>
      <c r="F323" s="114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4"/>
      <c r="T323" s="114"/>
      <c r="U323" s="114"/>
      <c r="V323" s="114"/>
      <c r="W323" s="114"/>
      <c r="X323" s="114"/>
      <c r="Y323" s="114"/>
    </row>
    <row r="324">
      <c r="A324" s="114"/>
      <c r="B324" s="114"/>
      <c r="C324" s="114"/>
      <c r="D324" s="114"/>
      <c r="E324" s="114"/>
      <c r="F324" s="114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4"/>
      <c r="T324" s="114"/>
      <c r="U324" s="114"/>
      <c r="V324" s="114"/>
      <c r="W324" s="114"/>
      <c r="X324" s="114"/>
      <c r="Y324" s="114"/>
    </row>
    <row r="325">
      <c r="A325" s="114"/>
      <c r="B325" s="114"/>
      <c r="C325" s="114"/>
      <c r="D325" s="114"/>
      <c r="E325" s="114"/>
      <c r="F325" s="114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4"/>
      <c r="T325" s="114"/>
      <c r="U325" s="114"/>
      <c r="V325" s="114"/>
      <c r="W325" s="114"/>
      <c r="X325" s="114"/>
      <c r="Y325" s="114"/>
    </row>
    <row r="326">
      <c r="A326" s="114"/>
      <c r="B326" s="114"/>
      <c r="C326" s="114"/>
      <c r="D326" s="114"/>
      <c r="E326" s="114"/>
      <c r="F326" s="114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4"/>
      <c r="T326" s="114"/>
      <c r="U326" s="114"/>
      <c r="V326" s="114"/>
      <c r="W326" s="114"/>
      <c r="X326" s="114"/>
      <c r="Y326" s="114"/>
    </row>
    <row r="327">
      <c r="A327" s="114"/>
      <c r="B327" s="114"/>
      <c r="C327" s="114"/>
      <c r="D327" s="114"/>
      <c r="E327" s="114"/>
      <c r="F327" s="114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4"/>
      <c r="T327" s="114"/>
      <c r="U327" s="114"/>
      <c r="V327" s="114"/>
      <c r="W327" s="114"/>
      <c r="X327" s="114"/>
      <c r="Y327" s="114"/>
    </row>
    <row r="328">
      <c r="A328" s="114"/>
      <c r="B328" s="114"/>
      <c r="C328" s="114"/>
      <c r="D328" s="114"/>
      <c r="E328" s="114"/>
      <c r="F328" s="114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4"/>
      <c r="T328" s="114"/>
      <c r="U328" s="114"/>
      <c r="V328" s="114"/>
      <c r="W328" s="114"/>
      <c r="X328" s="114"/>
      <c r="Y328" s="114"/>
    </row>
    <row r="329">
      <c r="A329" s="114"/>
      <c r="B329" s="114"/>
      <c r="C329" s="114"/>
      <c r="D329" s="114"/>
      <c r="E329" s="114"/>
      <c r="F329" s="114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4"/>
      <c r="T329" s="114"/>
      <c r="U329" s="114"/>
      <c r="V329" s="114"/>
      <c r="W329" s="114"/>
      <c r="X329" s="114"/>
      <c r="Y329" s="114"/>
    </row>
    <row r="330">
      <c r="A330" s="114"/>
      <c r="B330" s="114"/>
      <c r="C330" s="114"/>
      <c r="D330" s="114"/>
      <c r="E330" s="114"/>
      <c r="F330" s="114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4"/>
      <c r="T330" s="114"/>
      <c r="U330" s="114"/>
      <c r="V330" s="114"/>
      <c r="W330" s="114"/>
      <c r="X330" s="114"/>
      <c r="Y330" s="114"/>
    </row>
    <row r="331">
      <c r="A331" s="114"/>
      <c r="B331" s="114"/>
      <c r="C331" s="114"/>
      <c r="D331" s="114"/>
      <c r="E331" s="114"/>
      <c r="F331" s="114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4"/>
      <c r="T331" s="114"/>
      <c r="U331" s="114"/>
      <c r="V331" s="114"/>
      <c r="W331" s="114"/>
      <c r="X331" s="114"/>
      <c r="Y331" s="114"/>
    </row>
    <row r="332">
      <c r="A332" s="114"/>
      <c r="B332" s="114"/>
      <c r="C332" s="114"/>
      <c r="D332" s="114"/>
      <c r="E332" s="114"/>
      <c r="F332" s="114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4"/>
      <c r="T332" s="114"/>
      <c r="U332" s="114"/>
      <c r="V332" s="114"/>
      <c r="W332" s="114"/>
      <c r="X332" s="114"/>
      <c r="Y332" s="114"/>
    </row>
    <row r="333">
      <c r="A333" s="114"/>
      <c r="B333" s="114"/>
      <c r="C333" s="114"/>
      <c r="D333" s="114"/>
      <c r="E333" s="114"/>
      <c r="F333" s="114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4"/>
      <c r="T333" s="114"/>
      <c r="U333" s="114"/>
      <c r="V333" s="114"/>
      <c r="W333" s="114"/>
      <c r="X333" s="114"/>
      <c r="Y333" s="114"/>
    </row>
    <row r="334">
      <c r="A334" s="114"/>
      <c r="B334" s="114"/>
      <c r="C334" s="114"/>
      <c r="D334" s="114"/>
      <c r="E334" s="114"/>
      <c r="F334" s="114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4"/>
      <c r="T334" s="114"/>
      <c r="U334" s="114"/>
      <c r="V334" s="114"/>
      <c r="W334" s="114"/>
      <c r="X334" s="114"/>
      <c r="Y334" s="114"/>
    </row>
    <row r="335">
      <c r="A335" s="114"/>
      <c r="B335" s="114"/>
      <c r="C335" s="114"/>
      <c r="D335" s="114"/>
      <c r="E335" s="114"/>
      <c r="F335" s="114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4"/>
      <c r="T335" s="114"/>
      <c r="U335" s="114"/>
      <c r="V335" s="114"/>
      <c r="W335" s="114"/>
      <c r="X335" s="114"/>
      <c r="Y335" s="114"/>
    </row>
    <row r="336">
      <c r="A336" s="114"/>
      <c r="B336" s="114"/>
      <c r="C336" s="114"/>
      <c r="D336" s="114"/>
      <c r="E336" s="114"/>
      <c r="F336" s="114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4"/>
      <c r="T336" s="114"/>
      <c r="U336" s="114"/>
      <c r="V336" s="114"/>
      <c r="W336" s="114"/>
      <c r="X336" s="114"/>
      <c r="Y336" s="114"/>
    </row>
    <row r="337">
      <c r="A337" s="114"/>
      <c r="B337" s="114"/>
      <c r="C337" s="114"/>
      <c r="D337" s="114"/>
      <c r="E337" s="114"/>
      <c r="F337" s="114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4"/>
      <c r="T337" s="114"/>
      <c r="U337" s="114"/>
      <c r="V337" s="114"/>
      <c r="W337" s="114"/>
      <c r="X337" s="114"/>
      <c r="Y337" s="114"/>
    </row>
    <row r="338">
      <c r="A338" s="114"/>
      <c r="B338" s="114"/>
      <c r="C338" s="114"/>
      <c r="D338" s="114"/>
      <c r="E338" s="114"/>
      <c r="F338" s="114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4"/>
      <c r="T338" s="114"/>
      <c r="U338" s="114"/>
      <c r="V338" s="114"/>
      <c r="W338" s="114"/>
      <c r="X338" s="114"/>
      <c r="Y338" s="114"/>
    </row>
    <row r="339">
      <c r="A339" s="114"/>
      <c r="B339" s="114"/>
      <c r="C339" s="114"/>
      <c r="D339" s="114"/>
      <c r="E339" s="114"/>
      <c r="F339" s="114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4"/>
      <c r="T339" s="114"/>
      <c r="U339" s="114"/>
      <c r="V339" s="114"/>
      <c r="W339" s="114"/>
      <c r="X339" s="114"/>
      <c r="Y339" s="114"/>
    </row>
    <row r="340">
      <c r="A340" s="114"/>
      <c r="B340" s="114"/>
      <c r="C340" s="114"/>
      <c r="D340" s="114"/>
      <c r="E340" s="114"/>
      <c r="F340" s="114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4"/>
      <c r="T340" s="114"/>
      <c r="U340" s="114"/>
      <c r="V340" s="114"/>
      <c r="W340" s="114"/>
      <c r="X340" s="114"/>
      <c r="Y340" s="114"/>
    </row>
    <row r="341">
      <c r="A341" s="114"/>
      <c r="B341" s="114"/>
      <c r="C341" s="114"/>
      <c r="D341" s="114"/>
      <c r="E341" s="114"/>
      <c r="F341" s="114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4"/>
      <c r="T341" s="114"/>
      <c r="U341" s="114"/>
      <c r="V341" s="114"/>
      <c r="W341" s="114"/>
      <c r="X341" s="114"/>
      <c r="Y341" s="114"/>
    </row>
    <row r="342">
      <c r="A342" s="114"/>
      <c r="B342" s="114"/>
      <c r="C342" s="114"/>
      <c r="D342" s="114"/>
      <c r="E342" s="114"/>
      <c r="F342" s="114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4"/>
      <c r="T342" s="114"/>
      <c r="U342" s="114"/>
      <c r="V342" s="114"/>
      <c r="W342" s="114"/>
      <c r="X342" s="114"/>
      <c r="Y342" s="114"/>
    </row>
    <row r="343">
      <c r="A343" s="114"/>
      <c r="B343" s="114"/>
      <c r="C343" s="114"/>
      <c r="D343" s="114"/>
      <c r="E343" s="114"/>
      <c r="F343" s="114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4"/>
      <c r="T343" s="114"/>
      <c r="U343" s="114"/>
      <c r="V343" s="114"/>
      <c r="W343" s="114"/>
      <c r="X343" s="114"/>
      <c r="Y343" s="114"/>
    </row>
    <row r="344">
      <c r="A344" s="114"/>
      <c r="B344" s="114"/>
      <c r="C344" s="114"/>
      <c r="D344" s="114"/>
      <c r="E344" s="114"/>
      <c r="F344" s="114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4"/>
      <c r="T344" s="114"/>
      <c r="U344" s="114"/>
      <c r="V344" s="114"/>
      <c r="W344" s="114"/>
      <c r="X344" s="114"/>
      <c r="Y344" s="114"/>
    </row>
    <row r="345">
      <c r="A345" s="114"/>
      <c r="B345" s="114"/>
      <c r="C345" s="114"/>
      <c r="D345" s="114"/>
      <c r="E345" s="114"/>
      <c r="F345" s="114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4"/>
      <c r="T345" s="114"/>
      <c r="U345" s="114"/>
      <c r="V345" s="114"/>
      <c r="W345" s="114"/>
      <c r="X345" s="114"/>
      <c r="Y345" s="114"/>
    </row>
    <row r="346">
      <c r="A346" s="114"/>
      <c r="B346" s="114"/>
      <c r="C346" s="114"/>
      <c r="D346" s="114"/>
      <c r="E346" s="114"/>
      <c r="F346" s="114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4"/>
      <c r="T346" s="114"/>
      <c r="U346" s="114"/>
      <c r="V346" s="114"/>
      <c r="W346" s="114"/>
      <c r="X346" s="114"/>
      <c r="Y346" s="114"/>
    </row>
    <row r="347">
      <c r="A347" s="114"/>
      <c r="B347" s="114"/>
      <c r="C347" s="114"/>
      <c r="D347" s="114"/>
      <c r="E347" s="114"/>
      <c r="F347" s="114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4"/>
      <c r="T347" s="114"/>
      <c r="U347" s="114"/>
      <c r="V347" s="114"/>
      <c r="W347" s="114"/>
      <c r="X347" s="114"/>
      <c r="Y347" s="114"/>
    </row>
    <row r="348">
      <c r="A348" s="114"/>
      <c r="B348" s="114"/>
      <c r="C348" s="114"/>
      <c r="D348" s="114"/>
      <c r="E348" s="114"/>
      <c r="F348" s="114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4"/>
      <c r="T348" s="114"/>
      <c r="U348" s="114"/>
      <c r="V348" s="114"/>
      <c r="W348" s="114"/>
      <c r="X348" s="114"/>
      <c r="Y348" s="114"/>
    </row>
    <row r="349">
      <c r="A349" s="114"/>
      <c r="B349" s="114"/>
      <c r="C349" s="114"/>
      <c r="D349" s="114"/>
      <c r="E349" s="114"/>
      <c r="F349" s="114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4"/>
      <c r="T349" s="114"/>
      <c r="U349" s="114"/>
      <c r="V349" s="114"/>
      <c r="W349" s="114"/>
      <c r="X349" s="114"/>
      <c r="Y349" s="114"/>
    </row>
    <row r="350">
      <c r="A350" s="114"/>
      <c r="B350" s="114"/>
      <c r="C350" s="114"/>
      <c r="D350" s="114"/>
      <c r="E350" s="114"/>
      <c r="F350" s="114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4"/>
      <c r="T350" s="114"/>
      <c r="U350" s="114"/>
      <c r="V350" s="114"/>
      <c r="W350" s="114"/>
      <c r="X350" s="114"/>
      <c r="Y350" s="114"/>
    </row>
    <row r="351">
      <c r="A351" s="114"/>
      <c r="B351" s="114"/>
      <c r="C351" s="114"/>
      <c r="D351" s="114"/>
      <c r="E351" s="114"/>
      <c r="F351" s="114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4"/>
      <c r="T351" s="114"/>
      <c r="U351" s="114"/>
      <c r="V351" s="114"/>
      <c r="W351" s="114"/>
      <c r="X351" s="114"/>
      <c r="Y351" s="114"/>
    </row>
    <row r="352">
      <c r="A352" s="114"/>
      <c r="B352" s="114"/>
      <c r="C352" s="114"/>
      <c r="D352" s="114"/>
      <c r="E352" s="114"/>
      <c r="F352" s="114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4"/>
      <c r="T352" s="114"/>
      <c r="U352" s="114"/>
      <c r="V352" s="114"/>
      <c r="W352" s="114"/>
      <c r="X352" s="114"/>
      <c r="Y352" s="114"/>
    </row>
    <row r="353">
      <c r="A353" s="114"/>
      <c r="B353" s="114"/>
      <c r="C353" s="114"/>
      <c r="D353" s="114"/>
      <c r="E353" s="114"/>
      <c r="F353" s="114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4"/>
      <c r="T353" s="114"/>
      <c r="U353" s="114"/>
      <c r="V353" s="114"/>
      <c r="W353" s="114"/>
      <c r="X353" s="114"/>
      <c r="Y353" s="114"/>
    </row>
    <row r="354">
      <c r="A354" s="114"/>
      <c r="B354" s="114"/>
      <c r="C354" s="114"/>
      <c r="D354" s="114"/>
      <c r="E354" s="114"/>
      <c r="F354" s="114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4"/>
      <c r="T354" s="114"/>
      <c r="U354" s="114"/>
      <c r="V354" s="114"/>
      <c r="W354" s="114"/>
      <c r="X354" s="114"/>
      <c r="Y354" s="114"/>
    </row>
    <row r="355">
      <c r="A355" s="114"/>
      <c r="B355" s="114"/>
      <c r="C355" s="114"/>
      <c r="D355" s="114"/>
      <c r="E355" s="114"/>
      <c r="F355" s="114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4"/>
      <c r="T355" s="114"/>
      <c r="U355" s="114"/>
      <c r="V355" s="114"/>
      <c r="W355" s="114"/>
      <c r="X355" s="114"/>
      <c r="Y355" s="114"/>
    </row>
    <row r="356">
      <c r="A356" s="114"/>
      <c r="B356" s="114"/>
      <c r="C356" s="114"/>
      <c r="D356" s="114"/>
      <c r="E356" s="114"/>
      <c r="F356" s="114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4"/>
      <c r="T356" s="114"/>
      <c r="U356" s="114"/>
      <c r="V356" s="114"/>
      <c r="W356" s="114"/>
      <c r="X356" s="114"/>
      <c r="Y356" s="114"/>
    </row>
    <row r="357">
      <c r="A357" s="114"/>
      <c r="B357" s="114"/>
      <c r="C357" s="114"/>
      <c r="D357" s="114"/>
      <c r="E357" s="114"/>
      <c r="F357" s="114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4"/>
      <c r="T357" s="114"/>
      <c r="U357" s="114"/>
      <c r="V357" s="114"/>
      <c r="W357" s="114"/>
      <c r="X357" s="114"/>
      <c r="Y357" s="114"/>
    </row>
    <row r="358">
      <c r="A358" s="114"/>
      <c r="B358" s="114"/>
      <c r="C358" s="114"/>
      <c r="D358" s="114"/>
      <c r="E358" s="114"/>
      <c r="F358" s="114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4"/>
      <c r="T358" s="114"/>
      <c r="U358" s="114"/>
      <c r="V358" s="114"/>
      <c r="W358" s="114"/>
      <c r="X358" s="114"/>
      <c r="Y358" s="114"/>
    </row>
    <row r="359">
      <c r="A359" s="114"/>
      <c r="B359" s="114"/>
      <c r="C359" s="114"/>
      <c r="D359" s="114"/>
      <c r="E359" s="114"/>
      <c r="F359" s="114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4"/>
      <c r="T359" s="114"/>
      <c r="U359" s="114"/>
      <c r="V359" s="114"/>
      <c r="W359" s="114"/>
      <c r="X359" s="114"/>
      <c r="Y359" s="114"/>
    </row>
    <row r="360">
      <c r="A360" s="114"/>
      <c r="B360" s="114"/>
      <c r="C360" s="114"/>
      <c r="D360" s="114"/>
      <c r="E360" s="114"/>
      <c r="F360" s="114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4"/>
      <c r="T360" s="114"/>
      <c r="U360" s="114"/>
      <c r="V360" s="114"/>
      <c r="W360" s="114"/>
      <c r="X360" s="114"/>
      <c r="Y360" s="114"/>
    </row>
    <row r="361">
      <c r="A361" s="114"/>
      <c r="B361" s="114"/>
      <c r="C361" s="114"/>
      <c r="D361" s="114"/>
      <c r="E361" s="114"/>
      <c r="F361" s="114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4"/>
      <c r="T361" s="114"/>
      <c r="U361" s="114"/>
      <c r="V361" s="114"/>
      <c r="W361" s="114"/>
      <c r="X361" s="114"/>
      <c r="Y361" s="114"/>
    </row>
    <row r="362">
      <c r="A362" s="114"/>
      <c r="B362" s="114"/>
      <c r="C362" s="114"/>
      <c r="D362" s="114"/>
      <c r="E362" s="114"/>
      <c r="F362" s="114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4"/>
      <c r="T362" s="114"/>
      <c r="U362" s="114"/>
      <c r="V362" s="114"/>
      <c r="W362" s="114"/>
      <c r="X362" s="114"/>
      <c r="Y362" s="114"/>
    </row>
    <row r="363">
      <c r="A363" s="114"/>
      <c r="B363" s="114"/>
      <c r="C363" s="114"/>
      <c r="D363" s="114"/>
      <c r="E363" s="114"/>
      <c r="F363" s="114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4"/>
      <c r="T363" s="114"/>
      <c r="U363" s="114"/>
      <c r="V363" s="114"/>
      <c r="W363" s="114"/>
      <c r="X363" s="114"/>
      <c r="Y363" s="114"/>
    </row>
    <row r="364">
      <c r="A364" s="114"/>
      <c r="B364" s="114"/>
      <c r="C364" s="114"/>
      <c r="D364" s="114"/>
      <c r="E364" s="114"/>
      <c r="F364" s="114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4"/>
      <c r="T364" s="114"/>
      <c r="U364" s="114"/>
      <c r="V364" s="114"/>
      <c r="W364" s="114"/>
      <c r="X364" s="114"/>
      <c r="Y364" s="114"/>
    </row>
    <row r="365">
      <c r="A365" s="114"/>
      <c r="B365" s="114"/>
      <c r="C365" s="114"/>
      <c r="D365" s="114"/>
      <c r="E365" s="114"/>
      <c r="F365" s="114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4"/>
      <c r="T365" s="114"/>
      <c r="U365" s="114"/>
      <c r="V365" s="114"/>
      <c r="W365" s="114"/>
      <c r="X365" s="114"/>
      <c r="Y365" s="114"/>
    </row>
    <row r="366">
      <c r="A366" s="114"/>
      <c r="B366" s="114"/>
      <c r="C366" s="114"/>
      <c r="D366" s="114"/>
      <c r="E366" s="114"/>
      <c r="F366" s="114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4"/>
      <c r="T366" s="114"/>
      <c r="U366" s="114"/>
      <c r="V366" s="114"/>
      <c r="W366" s="114"/>
      <c r="X366" s="114"/>
      <c r="Y366" s="114"/>
    </row>
    <row r="367">
      <c r="A367" s="114"/>
      <c r="B367" s="114"/>
      <c r="C367" s="114"/>
      <c r="D367" s="114"/>
      <c r="E367" s="114"/>
      <c r="F367" s="114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4"/>
      <c r="T367" s="114"/>
      <c r="U367" s="114"/>
      <c r="V367" s="114"/>
      <c r="W367" s="114"/>
      <c r="X367" s="114"/>
      <c r="Y367" s="114"/>
    </row>
    <row r="368">
      <c r="A368" s="114"/>
      <c r="B368" s="114"/>
      <c r="C368" s="114"/>
      <c r="D368" s="114"/>
      <c r="E368" s="114"/>
      <c r="F368" s="114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4"/>
      <c r="T368" s="114"/>
      <c r="U368" s="114"/>
      <c r="V368" s="114"/>
      <c r="W368" s="114"/>
      <c r="X368" s="114"/>
      <c r="Y368" s="114"/>
    </row>
    <row r="369">
      <c r="A369" s="114"/>
      <c r="B369" s="114"/>
      <c r="C369" s="114"/>
      <c r="D369" s="114"/>
      <c r="E369" s="114"/>
      <c r="F369" s="114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4"/>
      <c r="T369" s="114"/>
      <c r="U369" s="114"/>
      <c r="V369" s="114"/>
      <c r="W369" s="114"/>
      <c r="X369" s="114"/>
      <c r="Y369" s="114"/>
    </row>
    <row r="370">
      <c r="A370" s="114"/>
      <c r="B370" s="114"/>
      <c r="C370" s="114"/>
      <c r="D370" s="114"/>
      <c r="E370" s="114"/>
      <c r="F370" s="114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4"/>
      <c r="T370" s="114"/>
      <c r="U370" s="114"/>
      <c r="V370" s="114"/>
      <c r="W370" s="114"/>
      <c r="X370" s="114"/>
      <c r="Y370" s="114"/>
    </row>
    <row r="371">
      <c r="A371" s="114"/>
      <c r="B371" s="114"/>
      <c r="C371" s="114"/>
      <c r="D371" s="114"/>
      <c r="E371" s="114"/>
      <c r="F371" s="114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4"/>
      <c r="T371" s="114"/>
      <c r="U371" s="114"/>
      <c r="V371" s="114"/>
      <c r="W371" s="114"/>
      <c r="X371" s="114"/>
      <c r="Y371" s="114"/>
    </row>
    <row r="372">
      <c r="A372" s="114"/>
      <c r="B372" s="114"/>
      <c r="C372" s="114"/>
      <c r="D372" s="114"/>
      <c r="E372" s="114"/>
      <c r="F372" s="114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4"/>
      <c r="T372" s="114"/>
      <c r="U372" s="114"/>
      <c r="V372" s="114"/>
      <c r="W372" s="114"/>
      <c r="X372" s="114"/>
      <c r="Y372" s="114"/>
    </row>
    <row r="373">
      <c r="A373" s="114"/>
      <c r="B373" s="114"/>
      <c r="C373" s="114"/>
      <c r="D373" s="114"/>
      <c r="E373" s="114"/>
      <c r="F373" s="114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4"/>
      <c r="T373" s="114"/>
      <c r="U373" s="114"/>
      <c r="V373" s="114"/>
      <c r="W373" s="114"/>
      <c r="X373" s="114"/>
      <c r="Y373" s="114"/>
    </row>
    <row r="374">
      <c r="A374" s="114"/>
      <c r="B374" s="114"/>
      <c r="C374" s="114"/>
      <c r="D374" s="114"/>
      <c r="E374" s="114"/>
      <c r="F374" s="114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4"/>
      <c r="T374" s="114"/>
      <c r="U374" s="114"/>
      <c r="V374" s="114"/>
      <c r="W374" s="114"/>
      <c r="X374" s="114"/>
      <c r="Y374" s="114"/>
    </row>
    <row r="375">
      <c r="A375" s="114"/>
      <c r="B375" s="114"/>
      <c r="C375" s="114"/>
      <c r="D375" s="114"/>
      <c r="E375" s="114"/>
      <c r="F375" s="114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4"/>
      <c r="T375" s="114"/>
      <c r="U375" s="114"/>
      <c r="V375" s="114"/>
      <c r="W375" s="114"/>
      <c r="X375" s="114"/>
      <c r="Y375" s="114"/>
    </row>
    <row r="376">
      <c r="A376" s="114"/>
      <c r="B376" s="114"/>
      <c r="C376" s="114"/>
      <c r="D376" s="114"/>
      <c r="E376" s="114"/>
      <c r="F376" s="114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4"/>
      <c r="T376" s="114"/>
      <c r="U376" s="114"/>
      <c r="V376" s="114"/>
      <c r="W376" s="114"/>
      <c r="X376" s="114"/>
      <c r="Y376" s="114"/>
    </row>
    <row r="377">
      <c r="A377" s="114"/>
      <c r="B377" s="114"/>
      <c r="C377" s="114"/>
      <c r="D377" s="114"/>
      <c r="E377" s="114"/>
      <c r="F377" s="114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4"/>
      <c r="T377" s="114"/>
      <c r="U377" s="114"/>
      <c r="V377" s="114"/>
      <c r="W377" s="114"/>
      <c r="X377" s="114"/>
      <c r="Y377" s="114"/>
    </row>
    <row r="378">
      <c r="A378" s="114"/>
      <c r="B378" s="114"/>
      <c r="C378" s="114"/>
      <c r="D378" s="114"/>
      <c r="E378" s="114"/>
      <c r="F378" s="114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4"/>
      <c r="T378" s="114"/>
      <c r="U378" s="114"/>
      <c r="V378" s="114"/>
      <c r="W378" s="114"/>
      <c r="X378" s="114"/>
      <c r="Y378" s="114"/>
    </row>
    <row r="379">
      <c r="A379" s="114"/>
      <c r="B379" s="114"/>
      <c r="C379" s="114"/>
      <c r="D379" s="114"/>
      <c r="E379" s="114"/>
      <c r="F379" s="114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4"/>
      <c r="T379" s="114"/>
      <c r="U379" s="114"/>
      <c r="V379" s="114"/>
      <c r="W379" s="114"/>
      <c r="X379" s="114"/>
      <c r="Y379" s="114"/>
    </row>
    <row r="380">
      <c r="A380" s="114"/>
      <c r="B380" s="114"/>
      <c r="C380" s="114"/>
      <c r="D380" s="114"/>
      <c r="E380" s="114"/>
      <c r="F380" s="114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4"/>
      <c r="T380" s="114"/>
      <c r="U380" s="114"/>
      <c r="V380" s="114"/>
      <c r="W380" s="114"/>
      <c r="X380" s="114"/>
      <c r="Y380" s="114"/>
    </row>
    <row r="381">
      <c r="A381" s="114"/>
      <c r="B381" s="114"/>
      <c r="C381" s="114"/>
      <c r="D381" s="114"/>
      <c r="E381" s="114"/>
      <c r="F381" s="114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4"/>
      <c r="T381" s="114"/>
      <c r="U381" s="114"/>
      <c r="V381" s="114"/>
      <c r="W381" s="114"/>
      <c r="X381" s="114"/>
      <c r="Y381" s="114"/>
    </row>
    <row r="382">
      <c r="A382" s="114"/>
      <c r="B382" s="114"/>
      <c r="C382" s="114"/>
      <c r="D382" s="114"/>
      <c r="E382" s="114"/>
      <c r="F382" s="114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4"/>
      <c r="T382" s="114"/>
      <c r="U382" s="114"/>
      <c r="V382" s="114"/>
      <c r="W382" s="114"/>
      <c r="X382" s="114"/>
      <c r="Y382" s="114"/>
    </row>
    <row r="383">
      <c r="A383" s="114"/>
      <c r="B383" s="114"/>
      <c r="C383" s="114"/>
      <c r="D383" s="114"/>
      <c r="E383" s="114"/>
      <c r="F383" s="114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4"/>
      <c r="T383" s="114"/>
      <c r="U383" s="114"/>
      <c r="V383" s="114"/>
      <c r="W383" s="114"/>
      <c r="X383" s="114"/>
      <c r="Y383" s="114"/>
    </row>
    <row r="384">
      <c r="A384" s="114"/>
      <c r="B384" s="114"/>
      <c r="C384" s="114"/>
      <c r="D384" s="114"/>
      <c r="E384" s="114"/>
      <c r="F384" s="114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4"/>
      <c r="T384" s="114"/>
      <c r="U384" s="114"/>
      <c r="V384" s="114"/>
      <c r="W384" s="114"/>
      <c r="X384" s="114"/>
      <c r="Y384" s="114"/>
    </row>
    <row r="385">
      <c r="A385" s="114"/>
      <c r="B385" s="114"/>
      <c r="C385" s="114"/>
      <c r="D385" s="114"/>
      <c r="E385" s="114"/>
      <c r="F385" s="114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4"/>
      <c r="T385" s="114"/>
      <c r="U385" s="114"/>
      <c r="V385" s="114"/>
      <c r="W385" s="114"/>
      <c r="X385" s="114"/>
      <c r="Y385" s="114"/>
    </row>
    <row r="386">
      <c r="A386" s="114"/>
      <c r="B386" s="114"/>
      <c r="C386" s="114"/>
      <c r="D386" s="114"/>
      <c r="E386" s="114"/>
      <c r="F386" s="114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4"/>
      <c r="T386" s="114"/>
      <c r="U386" s="114"/>
      <c r="V386" s="114"/>
      <c r="W386" s="114"/>
      <c r="X386" s="114"/>
      <c r="Y386" s="114"/>
    </row>
    <row r="387">
      <c r="A387" s="114"/>
      <c r="B387" s="114"/>
      <c r="C387" s="114"/>
      <c r="D387" s="114"/>
      <c r="E387" s="114"/>
      <c r="F387" s="114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4"/>
      <c r="T387" s="114"/>
      <c r="U387" s="114"/>
      <c r="V387" s="114"/>
      <c r="W387" s="114"/>
      <c r="X387" s="114"/>
      <c r="Y387" s="114"/>
    </row>
    <row r="388">
      <c r="A388" s="114"/>
      <c r="B388" s="114"/>
      <c r="C388" s="114"/>
      <c r="D388" s="114"/>
      <c r="E388" s="114"/>
      <c r="F388" s="114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4"/>
      <c r="T388" s="114"/>
      <c r="U388" s="114"/>
      <c r="V388" s="114"/>
      <c r="W388" s="114"/>
      <c r="X388" s="114"/>
      <c r="Y388" s="114"/>
    </row>
    <row r="389">
      <c r="A389" s="114"/>
      <c r="B389" s="114"/>
      <c r="C389" s="114"/>
      <c r="D389" s="114"/>
      <c r="E389" s="114"/>
      <c r="F389" s="114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4"/>
      <c r="T389" s="114"/>
      <c r="U389" s="114"/>
      <c r="V389" s="114"/>
      <c r="W389" s="114"/>
      <c r="X389" s="114"/>
      <c r="Y389" s="114"/>
    </row>
    <row r="390">
      <c r="A390" s="114"/>
      <c r="B390" s="114"/>
      <c r="C390" s="114"/>
      <c r="D390" s="114"/>
      <c r="E390" s="114"/>
      <c r="F390" s="114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4"/>
      <c r="T390" s="114"/>
      <c r="U390" s="114"/>
      <c r="V390" s="114"/>
      <c r="W390" s="114"/>
      <c r="X390" s="114"/>
      <c r="Y390" s="114"/>
    </row>
    <row r="391">
      <c r="A391" s="114"/>
      <c r="B391" s="114"/>
      <c r="C391" s="114"/>
      <c r="D391" s="114"/>
      <c r="E391" s="114"/>
      <c r="F391" s="114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4"/>
      <c r="T391" s="114"/>
      <c r="U391" s="114"/>
      <c r="V391" s="114"/>
      <c r="W391" s="114"/>
      <c r="X391" s="114"/>
      <c r="Y391" s="114"/>
    </row>
    <row r="392">
      <c r="A392" s="114"/>
      <c r="B392" s="114"/>
      <c r="C392" s="114"/>
      <c r="D392" s="114"/>
      <c r="E392" s="114"/>
      <c r="F392" s="114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4"/>
      <c r="T392" s="114"/>
      <c r="U392" s="114"/>
      <c r="V392" s="114"/>
      <c r="W392" s="114"/>
      <c r="X392" s="114"/>
      <c r="Y392" s="114"/>
    </row>
    <row r="393">
      <c r="A393" s="114"/>
      <c r="B393" s="114"/>
      <c r="C393" s="114"/>
      <c r="D393" s="114"/>
      <c r="E393" s="114"/>
      <c r="F393" s="114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4"/>
      <c r="T393" s="114"/>
      <c r="U393" s="114"/>
      <c r="V393" s="114"/>
      <c r="W393" s="114"/>
      <c r="X393" s="114"/>
      <c r="Y393" s="114"/>
    </row>
    <row r="394">
      <c r="A394" s="114"/>
      <c r="B394" s="114"/>
      <c r="C394" s="114"/>
      <c r="D394" s="114"/>
      <c r="E394" s="114"/>
      <c r="F394" s="114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4"/>
      <c r="T394" s="114"/>
      <c r="U394" s="114"/>
      <c r="V394" s="114"/>
      <c r="W394" s="114"/>
      <c r="X394" s="114"/>
      <c r="Y394" s="114"/>
    </row>
    <row r="395">
      <c r="A395" s="114"/>
      <c r="B395" s="114"/>
      <c r="C395" s="114"/>
      <c r="D395" s="114"/>
      <c r="E395" s="114"/>
      <c r="F395" s="114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4"/>
      <c r="T395" s="114"/>
      <c r="U395" s="114"/>
      <c r="V395" s="114"/>
      <c r="W395" s="114"/>
      <c r="X395" s="114"/>
      <c r="Y395" s="114"/>
    </row>
    <row r="396">
      <c r="A396" s="114"/>
      <c r="B396" s="114"/>
      <c r="C396" s="114"/>
      <c r="D396" s="114"/>
      <c r="E396" s="114"/>
      <c r="F396" s="114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4"/>
      <c r="T396" s="114"/>
      <c r="U396" s="114"/>
      <c r="V396" s="114"/>
      <c r="W396" s="114"/>
      <c r="X396" s="114"/>
      <c r="Y396" s="114"/>
    </row>
    <row r="397">
      <c r="A397" s="114"/>
      <c r="B397" s="114"/>
      <c r="C397" s="114"/>
      <c r="D397" s="114"/>
      <c r="E397" s="114"/>
      <c r="F397" s="114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4"/>
      <c r="T397" s="114"/>
      <c r="U397" s="114"/>
      <c r="V397" s="114"/>
      <c r="W397" s="114"/>
      <c r="X397" s="114"/>
      <c r="Y397" s="114"/>
    </row>
    <row r="398">
      <c r="A398" s="114"/>
      <c r="B398" s="114"/>
      <c r="C398" s="114"/>
      <c r="D398" s="114"/>
      <c r="E398" s="114"/>
      <c r="F398" s="114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4"/>
      <c r="T398" s="114"/>
      <c r="U398" s="114"/>
      <c r="V398" s="114"/>
      <c r="W398" s="114"/>
      <c r="X398" s="114"/>
      <c r="Y398" s="114"/>
    </row>
    <row r="399">
      <c r="A399" s="114"/>
      <c r="B399" s="114"/>
      <c r="C399" s="114"/>
      <c r="D399" s="114"/>
      <c r="E399" s="114"/>
      <c r="F399" s="114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4"/>
      <c r="T399" s="114"/>
      <c r="U399" s="114"/>
      <c r="V399" s="114"/>
      <c r="W399" s="114"/>
      <c r="X399" s="114"/>
      <c r="Y399" s="114"/>
    </row>
    <row r="400">
      <c r="A400" s="114"/>
      <c r="B400" s="114"/>
      <c r="C400" s="114"/>
      <c r="D400" s="114"/>
      <c r="E400" s="114"/>
      <c r="F400" s="114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4"/>
      <c r="T400" s="114"/>
      <c r="U400" s="114"/>
      <c r="V400" s="114"/>
      <c r="W400" s="114"/>
      <c r="X400" s="114"/>
      <c r="Y400" s="114"/>
    </row>
    <row r="401">
      <c r="A401" s="114"/>
      <c r="B401" s="114"/>
      <c r="C401" s="114"/>
      <c r="D401" s="114"/>
      <c r="E401" s="114"/>
      <c r="F401" s="114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4"/>
      <c r="T401" s="114"/>
      <c r="U401" s="114"/>
      <c r="V401" s="114"/>
      <c r="W401" s="114"/>
      <c r="X401" s="114"/>
      <c r="Y401" s="114"/>
    </row>
    <row r="402">
      <c r="A402" s="114"/>
      <c r="B402" s="114"/>
      <c r="C402" s="114"/>
      <c r="D402" s="114"/>
      <c r="E402" s="114"/>
      <c r="F402" s="114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4"/>
      <c r="T402" s="114"/>
      <c r="U402" s="114"/>
      <c r="V402" s="114"/>
      <c r="W402" s="114"/>
      <c r="X402" s="114"/>
      <c r="Y402" s="114"/>
    </row>
    <row r="403">
      <c r="A403" s="114"/>
      <c r="B403" s="114"/>
      <c r="C403" s="114"/>
      <c r="D403" s="114"/>
      <c r="E403" s="114"/>
      <c r="F403" s="114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4"/>
      <c r="T403" s="114"/>
      <c r="U403" s="114"/>
      <c r="V403" s="114"/>
      <c r="W403" s="114"/>
      <c r="X403" s="114"/>
      <c r="Y403" s="114"/>
    </row>
    <row r="404">
      <c r="A404" s="114"/>
      <c r="B404" s="114"/>
      <c r="C404" s="114"/>
      <c r="D404" s="114"/>
      <c r="E404" s="114"/>
      <c r="F404" s="114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4"/>
      <c r="T404" s="114"/>
      <c r="U404" s="114"/>
      <c r="V404" s="114"/>
      <c r="W404" s="114"/>
      <c r="X404" s="114"/>
      <c r="Y404" s="114"/>
    </row>
    <row r="405">
      <c r="A405" s="114"/>
      <c r="B405" s="114"/>
      <c r="C405" s="114"/>
      <c r="D405" s="114"/>
      <c r="E405" s="114"/>
      <c r="F405" s="114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4"/>
      <c r="T405" s="114"/>
      <c r="U405" s="114"/>
      <c r="V405" s="114"/>
      <c r="W405" s="114"/>
      <c r="X405" s="114"/>
      <c r="Y405" s="114"/>
    </row>
    <row r="406">
      <c r="A406" s="114"/>
      <c r="B406" s="114"/>
      <c r="C406" s="114"/>
      <c r="D406" s="114"/>
      <c r="E406" s="114"/>
      <c r="F406" s="114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4"/>
      <c r="T406" s="114"/>
      <c r="U406" s="114"/>
      <c r="V406" s="114"/>
      <c r="W406" s="114"/>
      <c r="X406" s="114"/>
      <c r="Y406" s="114"/>
    </row>
    <row r="407">
      <c r="A407" s="114"/>
      <c r="B407" s="114"/>
      <c r="C407" s="114"/>
      <c r="D407" s="114"/>
      <c r="E407" s="114"/>
      <c r="F407" s="114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4"/>
      <c r="T407" s="114"/>
      <c r="U407" s="114"/>
      <c r="V407" s="114"/>
      <c r="W407" s="114"/>
      <c r="X407" s="114"/>
      <c r="Y407" s="114"/>
    </row>
    <row r="408">
      <c r="A408" s="114"/>
      <c r="B408" s="114"/>
      <c r="C408" s="114"/>
      <c r="D408" s="114"/>
      <c r="E408" s="114"/>
      <c r="F408" s="114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4"/>
      <c r="T408" s="114"/>
      <c r="U408" s="114"/>
      <c r="V408" s="114"/>
      <c r="W408" s="114"/>
      <c r="X408" s="114"/>
      <c r="Y408" s="114"/>
    </row>
    <row r="409">
      <c r="A409" s="114"/>
      <c r="B409" s="114"/>
      <c r="C409" s="114"/>
      <c r="D409" s="114"/>
      <c r="E409" s="114"/>
      <c r="F409" s="114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4"/>
      <c r="T409" s="114"/>
      <c r="U409" s="114"/>
      <c r="V409" s="114"/>
      <c r="W409" s="114"/>
      <c r="X409" s="114"/>
      <c r="Y409" s="114"/>
    </row>
    <row r="410">
      <c r="A410" s="114"/>
      <c r="B410" s="114"/>
      <c r="C410" s="114"/>
      <c r="D410" s="114"/>
      <c r="E410" s="114"/>
      <c r="F410" s="114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4"/>
      <c r="T410" s="114"/>
      <c r="U410" s="114"/>
      <c r="V410" s="114"/>
      <c r="W410" s="114"/>
      <c r="X410" s="114"/>
      <c r="Y410" s="114"/>
    </row>
    <row r="411">
      <c r="A411" s="114"/>
      <c r="B411" s="114"/>
      <c r="C411" s="114"/>
      <c r="D411" s="114"/>
      <c r="E411" s="114"/>
      <c r="F411" s="114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4"/>
      <c r="T411" s="114"/>
      <c r="U411" s="114"/>
      <c r="V411" s="114"/>
      <c r="W411" s="114"/>
      <c r="X411" s="114"/>
      <c r="Y411" s="114"/>
    </row>
    <row r="412">
      <c r="A412" s="114"/>
      <c r="B412" s="114"/>
      <c r="C412" s="114"/>
      <c r="D412" s="114"/>
      <c r="E412" s="114"/>
      <c r="F412" s="114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4"/>
      <c r="T412" s="114"/>
      <c r="U412" s="114"/>
      <c r="V412" s="114"/>
      <c r="W412" s="114"/>
      <c r="X412" s="114"/>
      <c r="Y412" s="114"/>
    </row>
    <row r="413">
      <c r="A413" s="114"/>
      <c r="B413" s="114"/>
      <c r="C413" s="114"/>
      <c r="D413" s="114"/>
      <c r="E413" s="114"/>
      <c r="F413" s="114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4"/>
      <c r="T413" s="114"/>
      <c r="U413" s="114"/>
      <c r="V413" s="114"/>
      <c r="W413" s="114"/>
      <c r="X413" s="114"/>
      <c r="Y413" s="114"/>
    </row>
    <row r="414">
      <c r="A414" s="114"/>
      <c r="B414" s="114"/>
      <c r="C414" s="114"/>
      <c r="D414" s="114"/>
      <c r="E414" s="114"/>
      <c r="F414" s="114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4"/>
      <c r="T414" s="114"/>
      <c r="U414" s="114"/>
      <c r="V414" s="114"/>
      <c r="W414" s="114"/>
      <c r="X414" s="114"/>
      <c r="Y414" s="114"/>
    </row>
    <row r="415">
      <c r="A415" s="114"/>
      <c r="B415" s="114"/>
      <c r="C415" s="114"/>
      <c r="D415" s="114"/>
      <c r="E415" s="114"/>
      <c r="F415" s="114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4"/>
      <c r="T415" s="114"/>
      <c r="U415" s="114"/>
      <c r="V415" s="114"/>
      <c r="W415" s="114"/>
      <c r="X415" s="114"/>
      <c r="Y415" s="114"/>
    </row>
    <row r="416">
      <c r="A416" s="114"/>
      <c r="B416" s="114"/>
      <c r="C416" s="114"/>
      <c r="D416" s="114"/>
      <c r="E416" s="114"/>
      <c r="F416" s="114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4"/>
      <c r="T416" s="114"/>
      <c r="U416" s="114"/>
      <c r="V416" s="114"/>
      <c r="W416" s="114"/>
      <c r="X416" s="114"/>
      <c r="Y416" s="114"/>
    </row>
    <row r="417">
      <c r="A417" s="114"/>
      <c r="B417" s="114"/>
      <c r="C417" s="114"/>
      <c r="D417" s="114"/>
      <c r="E417" s="114"/>
      <c r="F417" s="114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4"/>
      <c r="T417" s="114"/>
      <c r="U417" s="114"/>
      <c r="V417" s="114"/>
      <c r="W417" s="114"/>
      <c r="X417" s="114"/>
      <c r="Y417" s="114"/>
    </row>
    <row r="418">
      <c r="A418" s="114"/>
      <c r="B418" s="114"/>
      <c r="C418" s="114"/>
      <c r="D418" s="114"/>
      <c r="E418" s="114"/>
      <c r="F418" s="114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4"/>
      <c r="T418" s="114"/>
      <c r="U418" s="114"/>
      <c r="V418" s="114"/>
      <c r="W418" s="114"/>
      <c r="X418" s="114"/>
      <c r="Y418" s="114"/>
    </row>
    <row r="419">
      <c r="A419" s="114"/>
      <c r="B419" s="114"/>
      <c r="C419" s="114"/>
      <c r="D419" s="114"/>
      <c r="E419" s="114"/>
      <c r="F419" s="114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4"/>
      <c r="T419" s="114"/>
      <c r="U419" s="114"/>
      <c r="V419" s="114"/>
      <c r="W419" s="114"/>
      <c r="X419" s="114"/>
      <c r="Y419" s="114"/>
    </row>
    <row r="420">
      <c r="A420" s="114"/>
      <c r="B420" s="114"/>
      <c r="C420" s="114"/>
      <c r="D420" s="114"/>
      <c r="E420" s="114"/>
      <c r="F420" s="114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4"/>
      <c r="T420" s="114"/>
      <c r="U420" s="114"/>
      <c r="V420" s="114"/>
      <c r="W420" s="114"/>
      <c r="X420" s="114"/>
      <c r="Y420" s="114"/>
    </row>
    <row r="421">
      <c r="A421" s="114"/>
      <c r="B421" s="114"/>
      <c r="C421" s="114"/>
      <c r="D421" s="114"/>
      <c r="E421" s="114"/>
      <c r="F421" s="114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4"/>
      <c r="T421" s="114"/>
      <c r="U421" s="114"/>
      <c r="V421" s="114"/>
      <c r="W421" s="114"/>
      <c r="X421" s="114"/>
      <c r="Y421" s="114"/>
    </row>
    <row r="422">
      <c r="A422" s="114"/>
      <c r="B422" s="114"/>
      <c r="C422" s="114"/>
      <c r="D422" s="114"/>
      <c r="E422" s="114"/>
      <c r="F422" s="114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4"/>
      <c r="T422" s="114"/>
      <c r="U422" s="114"/>
      <c r="V422" s="114"/>
      <c r="W422" s="114"/>
      <c r="X422" s="114"/>
      <c r="Y422" s="114"/>
    </row>
    <row r="423">
      <c r="A423" s="114"/>
      <c r="B423" s="114"/>
      <c r="C423" s="114"/>
      <c r="D423" s="114"/>
      <c r="E423" s="114"/>
      <c r="F423" s="114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4"/>
      <c r="T423" s="114"/>
      <c r="U423" s="114"/>
      <c r="V423" s="114"/>
      <c r="W423" s="114"/>
      <c r="X423" s="114"/>
      <c r="Y423" s="114"/>
    </row>
    <row r="424">
      <c r="A424" s="114"/>
      <c r="B424" s="114"/>
      <c r="C424" s="114"/>
      <c r="D424" s="114"/>
      <c r="E424" s="114"/>
      <c r="F424" s="114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4"/>
      <c r="T424" s="114"/>
      <c r="U424" s="114"/>
      <c r="V424" s="114"/>
      <c r="W424" s="114"/>
      <c r="X424" s="114"/>
      <c r="Y424" s="114"/>
    </row>
    <row r="425">
      <c r="A425" s="114"/>
      <c r="B425" s="114"/>
      <c r="C425" s="114"/>
      <c r="D425" s="114"/>
      <c r="E425" s="114"/>
      <c r="F425" s="114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4"/>
      <c r="T425" s="114"/>
      <c r="U425" s="114"/>
      <c r="V425" s="114"/>
      <c r="W425" s="114"/>
      <c r="X425" s="114"/>
      <c r="Y425" s="114"/>
    </row>
    <row r="426">
      <c r="A426" s="114"/>
      <c r="B426" s="114"/>
      <c r="C426" s="114"/>
      <c r="D426" s="114"/>
      <c r="E426" s="114"/>
      <c r="F426" s="114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4"/>
      <c r="T426" s="114"/>
      <c r="U426" s="114"/>
      <c r="V426" s="114"/>
      <c r="W426" s="114"/>
      <c r="X426" s="114"/>
      <c r="Y426" s="114"/>
    </row>
    <row r="427">
      <c r="A427" s="114"/>
      <c r="B427" s="114"/>
      <c r="C427" s="114"/>
      <c r="D427" s="114"/>
      <c r="E427" s="114"/>
      <c r="F427" s="114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4"/>
      <c r="T427" s="114"/>
      <c r="U427" s="114"/>
      <c r="V427" s="114"/>
      <c r="W427" s="114"/>
      <c r="X427" s="114"/>
      <c r="Y427" s="114"/>
    </row>
    <row r="428">
      <c r="A428" s="114"/>
      <c r="B428" s="114"/>
      <c r="C428" s="114"/>
      <c r="D428" s="114"/>
      <c r="E428" s="114"/>
      <c r="F428" s="114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4"/>
      <c r="T428" s="114"/>
      <c r="U428" s="114"/>
      <c r="V428" s="114"/>
      <c r="W428" s="114"/>
      <c r="X428" s="114"/>
      <c r="Y428" s="114"/>
    </row>
    <row r="429">
      <c r="A429" s="114"/>
      <c r="B429" s="114"/>
      <c r="C429" s="114"/>
      <c r="D429" s="114"/>
      <c r="E429" s="114"/>
      <c r="F429" s="114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4"/>
      <c r="T429" s="114"/>
      <c r="U429" s="114"/>
      <c r="V429" s="114"/>
      <c r="W429" s="114"/>
      <c r="X429" s="114"/>
      <c r="Y429" s="114"/>
    </row>
    <row r="430">
      <c r="A430" s="114"/>
      <c r="B430" s="114"/>
      <c r="C430" s="114"/>
      <c r="D430" s="114"/>
      <c r="E430" s="114"/>
      <c r="F430" s="114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4"/>
      <c r="T430" s="114"/>
      <c r="U430" s="114"/>
      <c r="V430" s="114"/>
      <c r="W430" s="114"/>
      <c r="X430" s="114"/>
      <c r="Y430" s="114"/>
    </row>
    <row r="431">
      <c r="A431" s="114"/>
      <c r="B431" s="114"/>
      <c r="C431" s="114"/>
      <c r="D431" s="114"/>
      <c r="E431" s="114"/>
      <c r="F431" s="114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4"/>
      <c r="T431" s="114"/>
      <c r="U431" s="114"/>
      <c r="V431" s="114"/>
      <c r="W431" s="114"/>
      <c r="X431" s="114"/>
      <c r="Y431" s="114"/>
    </row>
    <row r="432">
      <c r="A432" s="114"/>
      <c r="B432" s="114"/>
      <c r="C432" s="114"/>
      <c r="D432" s="114"/>
      <c r="E432" s="114"/>
      <c r="F432" s="114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4"/>
      <c r="T432" s="114"/>
      <c r="U432" s="114"/>
      <c r="V432" s="114"/>
      <c r="W432" s="114"/>
      <c r="X432" s="114"/>
      <c r="Y432" s="114"/>
    </row>
    <row r="433">
      <c r="A433" s="114"/>
      <c r="B433" s="114"/>
      <c r="C433" s="114"/>
      <c r="D433" s="114"/>
      <c r="E433" s="114"/>
      <c r="F433" s="114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4"/>
      <c r="T433" s="114"/>
      <c r="U433" s="114"/>
      <c r="V433" s="114"/>
      <c r="W433" s="114"/>
      <c r="X433" s="114"/>
      <c r="Y433" s="114"/>
    </row>
    <row r="434">
      <c r="A434" s="114"/>
      <c r="B434" s="114"/>
      <c r="C434" s="114"/>
      <c r="D434" s="114"/>
      <c r="E434" s="114"/>
      <c r="F434" s="114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4"/>
      <c r="T434" s="114"/>
      <c r="U434" s="114"/>
      <c r="V434" s="114"/>
      <c r="W434" s="114"/>
      <c r="X434" s="114"/>
      <c r="Y434" s="114"/>
    </row>
    <row r="435">
      <c r="A435" s="114"/>
      <c r="B435" s="114"/>
      <c r="C435" s="114"/>
      <c r="D435" s="114"/>
      <c r="E435" s="114"/>
      <c r="F435" s="114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4"/>
      <c r="T435" s="114"/>
      <c r="U435" s="114"/>
      <c r="V435" s="114"/>
      <c r="W435" s="114"/>
      <c r="X435" s="114"/>
      <c r="Y435" s="114"/>
    </row>
    <row r="436">
      <c r="A436" s="114"/>
      <c r="B436" s="114"/>
      <c r="C436" s="114"/>
      <c r="D436" s="114"/>
      <c r="E436" s="114"/>
      <c r="F436" s="114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4"/>
      <c r="T436" s="114"/>
      <c r="U436" s="114"/>
      <c r="V436" s="114"/>
      <c r="W436" s="114"/>
      <c r="X436" s="114"/>
      <c r="Y436" s="114"/>
    </row>
    <row r="437">
      <c r="A437" s="114"/>
      <c r="B437" s="114"/>
      <c r="C437" s="114"/>
      <c r="D437" s="114"/>
      <c r="E437" s="114"/>
      <c r="F437" s="114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4"/>
      <c r="T437" s="114"/>
      <c r="U437" s="114"/>
      <c r="V437" s="114"/>
      <c r="W437" s="114"/>
      <c r="X437" s="114"/>
      <c r="Y437" s="114"/>
    </row>
    <row r="438">
      <c r="A438" s="114"/>
      <c r="B438" s="114"/>
      <c r="C438" s="114"/>
      <c r="D438" s="114"/>
      <c r="E438" s="114"/>
      <c r="F438" s="114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4"/>
      <c r="T438" s="114"/>
      <c r="U438" s="114"/>
      <c r="V438" s="114"/>
      <c r="W438" s="114"/>
      <c r="X438" s="114"/>
      <c r="Y438" s="114"/>
    </row>
    <row r="439">
      <c r="A439" s="114"/>
      <c r="B439" s="114"/>
      <c r="C439" s="114"/>
      <c r="D439" s="114"/>
      <c r="E439" s="114"/>
      <c r="F439" s="114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4"/>
      <c r="T439" s="114"/>
      <c r="U439" s="114"/>
      <c r="V439" s="114"/>
      <c r="W439" s="114"/>
      <c r="X439" s="114"/>
      <c r="Y439" s="114"/>
    </row>
    <row r="440">
      <c r="A440" s="114"/>
      <c r="B440" s="114"/>
      <c r="C440" s="114"/>
      <c r="D440" s="114"/>
      <c r="E440" s="114"/>
      <c r="F440" s="114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4"/>
      <c r="T440" s="114"/>
      <c r="U440" s="114"/>
      <c r="V440" s="114"/>
      <c r="W440" s="114"/>
      <c r="X440" s="114"/>
      <c r="Y440" s="114"/>
    </row>
    <row r="441">
      <c r="A441" s="114"/>
      <c r="B441" s="114"/>
      <c r="C441" s="114"/>
      <c r="D441" s="114"/>
      <c r="E441" s="114"/>
      <c r="F441" s="114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4"/>
      <c r="T441" s="114"/>
      <c r="U441" s="114"/>
      <c r="V441" s="114"/>
      <c r="W441" s="114"/>
      <c r="X441" s="114"/>
      <c r="Y441" s="114"/>
    </row>
    <row r="442">
      <c r="A442" s="114"/>
      <c r="B442" s="114"/>
      <c r="C442" s="114"/>
      <c r="D442" s="114"/>
      <c r="E442" s="114"/>
      <c r="F442" s="114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4"/>
      <c r="T442" s="114"/>
      <c r="U442" s="114"/>
      <c r="V442" s="114"/>
      <c r="W442" s="114"/>
      <c r="X442" s="114"/>
      <c r="Y442" s="114"/>
    </row>
    <row r="443">
      <c r="A443" s="114"/>
      <c r="B443" s="114"/>
      <c r="C443" s="114"/>
      <c r="D443" s="114"/>
      <c r="E443" s="114"/>
      <c r="F443" s="114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4"/>
      <c r="T443" s="114"/>
      <c r="U443" s="114"/>
      <c r="V443" s="114"/>
      <c r="W443" s="114"/>
      <c r="X443" s="114"/>
      <c r="Y443" s="114"/>
    </row>
    <row r="444">
      <c r="A444" s="114"/>
      <c r="B444" s="114"/>
      <c r="C444" s="114"/>
      <c r="D444" s="114"/>
      <c r="E444" s="114"/>
      <c r="F444" s="114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4"/>
      <c r="T444" s="114"/>
      <c r="U444" s="114"/>
      <c r="V444" s="114"/>
      <c r="W444" s="114"/>
      <c r="X444" s="114"/>
      <c r="Y444" s="114"/>
    </row>
    <row r="445">
      <c r="A445" s="114"/>
      <c r="B445" s="114"/>
      <c r="C445" s="114"/>
      <c r="D445" s="114"/>
      <c r="E445" s="114"/>
      <c r="F445" s="114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4"/>
      <c r="T445" s="114"/>
      <c r="U445" s="114"/>
      <c r="V445" s="114"/>
      <c r="W445" s="114"/>
      <c r="X445" s="114"/>
      <c r="Y445" s="114"/>
    </row>
    <row r="446">
      <c r="A446" s="114"/>
      <c r="B446" s="114"/>
      <c r="C446" s="114"/>
      <c r="D446" s="114"/>
      <c r="E446" s="114"/>
      <c r="F446" s="114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4"/>
      <c r="T446" s="114"/>
      <c r="U446" s="114"/>
      <c r="V446" s="114"/>
      <c r="W446" s="114"/>
      <c r="X446" s="114"/>
      <c r="Y446" s="114"/>
    </row>
    <row r="447">
      <c r="A447" s="114"/>
      <c r="B447" s="114"/>
      <c r="C447" s="114"/>
      <c r="D447" s="114"/>
      <c r="E447" s="114"/>
      <c r="F447" s="114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4"/>
      <c r="T447" s="114"/>
      <c r="U447" s="114"/>
      <c r="V447" s="114"/>
      <c r="W447" s="114"/>
      <c r="X447" s="114"/>
      <c r="Y447" s="114"/>
    </row>
    <row r="448">
      <c r="A448" s="114"/>
      <c r="B448" s="114"/>
      <c r="C448" s="114"/>
      <c r="D448" s="114"/>
      <c r="E448" s="114"/>
      <c r="F448" s="114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4"/>
      <c r="T448" s="114"/>
      <c r="U448" s="114"/>
      <c r="V448" s="114"/>
      <c r="W448" s="114"/>
      <c r="X448" s="114"/>
      <c r="Y448" s="114"/>
    </row>
    <row r="449">
      <c r="A449" s="114"/>
      <c r="B449" s="114"/>
      <c r="C449" s="114"/>
      <c r="D449" s="114"/>
      <c r="E449" s="114"/>
      <c r="F449" s="114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4"/>
      <c r="T449" s="114"/>
      <c r="U449" s="114"/>
      <c r="V449" s="114"/>
      <c r="W449" s="114"/>
      <c r="X449" s="114"/>
      <c r="Y449" s="114"/>
    </row>
    <row r="450">
      <c r="A450" s="114"/>
      <c r="B450" s="114"/>
      <c r="C450" s="114"/>
      <c r="D450" s="114"/>
      <c r="E450" s="114"/>
      <c r="F450" s="114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4"/>
      <c r="T450" s="114"/>
      <c r="U450" s="114"/>
      <c r="V450" s="114"/>
      <c r="W450" s="114"/>
      <c r="X450" s="114"/>
      <c r="Y450" s="114"/>
    </row>
    <row r="451">
      <c r="A451" s="114"/>
      <c r="B451" s="114"/>
      <c r="C451" s="114"/>
      <c r="D451" s="114"/>
      <c r="E451" s="114"/>
      <c r="F451" s="114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4"/>
      <c r="T451" s="114"/>
      <c r="U451" s="114"/>
      <c r="V451" s="114"/>
      <c r="W451" s="114"/>
      <c r="X451" s="114"/>
      <c r="Y451" s="114"/>
    </row>
    <row r="452">
      <c r="A452" s="114"/>
      <c r="B452" s="114"/>
      <c r="C452" s="114"/>
      <c r="D452" s="114"/>
      <c r="E452" s="114"/>
      <c r="F452" s="114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4"/>
      <c r="T452" s="114"/>
      <c r="U452" s="114"/>
      <c r="V452" s="114"/>
      <c r="W452" s="114"/>
      <c r="X452" s="114"/>
      <c r="Y452" s="114"/>
    </row>
    <row r="453">
      <c r="A453" s="114"/>
      <c r="B453" s="114"/>
      <c r="C453" s="114"/>
      <c r="D453" s="114"/>
      <c r="E453" s="114"/>
      <c r="F453" s="114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4"/>
      <c r="T453" s="114"/>
      <c r="U453" s="114"/>
      <c r="V453" s="114"/>
      <c r="W453" s="114"/>
      <c r="X453" s="114"/>
      <c r="Y453" s="114"/>
    </row>
    <row r="454">
      <c r="A454" s="114"/>
      <c r="B454" s="114"/>
      <c r="C454" s="114"/>
      <c r="D454" s="114"/>
      <c r="E454" s="114"/>
      <c r="F454" s="114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4"/>
      <c r="T454" s="114"/>
      <c r="U454" s="114"/>
      <c r="V454" s="114"/>
      <c r="W454" s="114"/>
      <c r="X454" s="114"/>
      <c r="Y454" s="114"/>
    </row>
    <row r="455">
      <c r="A455" s="114"/>
      <c r="B455" s="114"/>
      <c r="C455" s="114"/>
      <c r="D455" s="114"/>
      <c r="E455" s="114"/>
      <c r="F455" s="114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4"/>
      <c r="T455" s="114"/>
      <c r="U455" s="114"/>
      <c r="V455" s="114"/>
      <c r="W455" s="114"/>
      <c r="X455" s="114"/>
      <c r="Y455" s="114"/>
    </row>
    <row r="456">
      <c r="A456" s="114"/>
      <c r="B456" s="114"/>
      <c r="C456" s="114"/>
      <c r="D456" s="114"/>
      <c r="E456" s="114"/>
      <c r="F456" s="114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4"/>
      <c r="T456" s="114"/>
      <c r="U456" s="114"/>
      <c r="V456" s="114"/>
      <c r="W456" s="114"/>
      <c r="X456" s="114"/>
      <c r="Y456" s="114"/>
    </row>
    <row r="457">
      <c r="A457" s="114"/>
      <c r="B457" s="114"/>
      <c r="C457" s="114"/>
      <c r="D457" s="114"/>
      <c r="E457" s="114"/>
      <c r="F457" s="114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4"/>
      <c r="T457" s="114"/>
      <c r="U457" s="114"/>
      <c r="V457" s="114"/>
      <c r="W457" s="114"/>
      <c r="X457" s="114"/>
      <c r="Y457" s="114"/>
    </row>
    <row r="458">
      <c r="A458" s="114"/>
      <c r="B458" s="114"/>
      <c r="C458" s="114"/>
      <c r="D458" s="114"/>
      <c r="E458" s="114"/>
      <c r="F458" s="114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4"/>
      <c r="T458" s="114"/>
      <c r="U458" s="114"/>
      <c r="V458" s="114"/>
      <c r="W458" s="114"/>
      <c r="X458" s="114"/>
      <c r="Y458" s="114"/>
    </row>
    <row r="459">
      <c r="A459" s="114"/>
      <c r="B459" s="114"/>
      <c r="C459" s="114"/>
      <c r="D459" s="114"/>
      <c r="E459" s="114"/>
      <c r="F459" s="114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4"/>
      <c r="T459" s="114"/>
      <c r="U459" s="114"/>
      <c r="V459" s="114"/>
      <c r="W459" s="114"/>
      <c r="X459" s="114"/>
      <c r="Y459" s="114"/>
    </row>
    <row r="460">
      <c r="A460" s="114"/>
      <c r="B460" s="114"/>
      <c r="C460" s="114"/>
      <c r="D460" s="114"/>
      <c r="E460" s="114"/>
      <c r="F460" s="114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4"/>
      <c r="T460" s="114"/>
      <c r="U460" s="114"/>
      <c r="V460" s="114"/>
      <c r="W460" s="114"/>
      <c r="X460" s="114"/>
      <c r="Y460" s="114"/>
    </row>
    <row r="461">
      <c r="A461" s="114"/>
      <c r="B461" s="114"/>
      <c r="C461" s="114"/>
      <c r="D461" s="114"/>
      <c r="E461" s="114"/>
      <c r="F461" s="114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4"/>
      <c r="T461" s="114"/>
      <c r="U461" s="114"/>
      <c r="V461" s="114"/>
      <c r="W461" s="114"/>
      <c r="X461" s="114"/>
      <c r="Y461" s="114"/>
    </row>
    <row r="462">
      <c r="A462" s="114"/>
      <c r="B462" s="114"/>
      <c r="C462" s="114"/>
      <c r="D462" s="114"/>
      <c r="E462" s="114"/>
      <c r="F462" s="114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4"/>
      <c r="T462" s="114"/>
      <c r="U462" s="114"/>
      <c r="V462" s="114"/>
      <c r="W462" s="114"/>
      <c r="X462" s="114"/>
      <c r="Y462" s="114"/>
    </row>
    <row r="463">
      <c r="A463" s="114"/>
      <c r="B463" s="114"/>
      <c r="C463" s="114"/>
      <c r="D463" s="114"/>
      <c r="E463" s="114"/>
      <c r="F463" s="114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4"/>
      <c r="T463" s="114"/>
      <c r="U463" s="114"/>
      <c r="V463" s="114"/>
      <c r="W463" s="114"/>
      <c r="X463" s="114"/>
      <c r="Y463" s="114"/>
    </row>
    <row r="464">
      <c r="A464" s="114"/>
      <c r="B464" s="114"/>
      <c r="C464" s="114"/>
      <c r="D464" s="114"/>
      <c r="E464" s="114"/>
      <c r="F464" s="114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4"/>
      <c r="T464" s="114"/>
      <c r="U464" s="114"/>
      <c r="V464" s="114"/>
      <c r="W464" s="114"/>
      <c r="X464" s="114"/>
      <c r="Y464" s="114"/>
    </row>
    <row r="465">
      <c r="A465" s="114"/>
      <c r="B465" s="114"/>
      <c r="C465" s="114"/>
      <c r="D465" s="114"/>
      <c r="E465" s="114"/>
      <c r="F465" s="114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4"/>
      <c r="T465" s="114"/>
      <c r="U465" s="114"/>
      <c r="V465" s="114"/>
      <c r="W465" s="114"/>
      <c r="X465" s="114"/>
      <c r="Y465" s="114"/>
    </row>
    <row r="466">
      <c r="A466" s="114"/>
      <c r="B466" s="114"/>
      <c r="C466" s="114"/>
      <c r="D466" s="114"/>
      <c r="E466" s="114"/>
      <c r="F466" s="114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4"/>
      <c r="T466" s="114"/>
      <c r="U466" s="114"/>
      <c r="V466" s="114"/>
      <c r="W466" s="114"/>
      <c r="X466" s="114"/>
      <c r="Y466" s="114"/>
    </row>
    <row r="467">
      <c r="A467" s="114"/>
      <c r="B467" s="114"/>
      <c r="C467" s="114"/>
      <c r="D467" s="114"/>
      <c r="E467" s="114"/>
      <c r="F467" s="114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4"/>
      <c r="T467" s="114"/>
      <c r="U467" s="114"/>
      <c r="V467" s="114"/>
      <c r="W467" s="114"/>
      <c r="X467" s="114"/>
      <c r="Y467" s="114"/>
    </row>
    <row r="468">
      <c r="A468" s="114"/>
      <c r="B468" s="114"/>
      <c r="C468" s="114"/>
      <c r="D468" s="114"/>
      <c r="E468" s="114"/>
      <c r="F468" s="114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4"/>
      <c r="T468" s="114"/>
      <c r="U468" s="114"/>
      <c r="V468" s="114"/>
      <c r="W468" s="114"/>
      <c r="X468" s="114"/>
      <c r="Y468" s="114"/>
    </row>
    <row r="469">
      <c r="A469" s="114"/>
      <c r="B469" s="114"/>
      <c r="C469" s="114"/>
      <c r="D469" s="114"/>
      <c r="E469" s="114"/>
      <c r="F469" s="114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4"/>
      <c r="T469" s="114"/>
      <c r="U469" s="114"/>
      <c r="V469" s="114"/>
      <c r="W469" s="114"/>
      <c r="X469" s="114"/>
      <c r="Y469" s="114"/>
    </row>
    <row r="470">
      <c r="A470" s="114"/>
      <c r="B470" s="114"/>
      <c r="C470" s="114"/>
      <c r="D470" s="114"/>
      <c r="E470" s="114"/>
      <c r="F470" s="114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4"/>
      <c r="T470" s="114"/>
      <c r="U470" s="114"/>
      <c r="V470" s="114"/>
      <c r="W470" s="114"/>
      <c r="X470" s="114"/>
      <c r="Y470" s="114"/>
    </row>
    <row r="471">
      <c r="A471" s="114"/>
      <c r="B471" s="114"/>
      <c r="C471" s="114"/>
      <c r="D471" s="114"/>
      <c r="E471" s="114"/>
      <c r="F471" s="114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4"/>
      <c r="T471" s="114"/>
      <c r="U471" s="114"/>
      <c r="V471" s="114"/>
      <c r="W471" s="114"/>
      <c r="X471" s="114"/>
      <c r="Y471" s="114"/>
    </row>
    <row r="472">
      <c r="A472" s="114"/>
      <c r="B472" s="114"/>
      <c r="C472" s="114"/>
      <c r="D472" s="114"/>
      <c r="E472" s="114"/>
      <c r="F472" s="114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4"/>
      <c r="T472" s="114"/>
      <c r="U472" s="114"/>
      <c r="V472" s="114"/>
      <c r="W472" s="114"/>
      <c r="X472" s="114"/>
      <c r="Y472" s="114"/>
    </row>
    <row r="473">
      <c r="A473" s="114"/>
      <c r="B473" s="114"/>
      <c r="C473" s="114"/>
      <c r="D473" s="114"/>
      <c r="E473" s="114"/>
      <c r="F473" s="114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4"/>
      <c r="T473" s="114"/>
      <c r="U473" s="114"/>
      <c r="V473" s="114"/>
      <c r="W473" s="114"/>
      <c r="X473" s="114"/>
      <c r="Y473" s="114"/>
    </row>
    <row r="474">
      <c r="A474" s="114"/>
      <c r="B474" s="114"/>
      <c r="C474" s="114"/>
      <c r="D474" s="114"/>
      <c r="E474" s="114"/>
      <c r="F474" s="114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4"/>
      <c r="T474" s="114"/>
      <c r="U474" s="114"/>
      <c r="V474" s="114"/>
      <c r="W474" s="114"/>
      <c r="X474" s="114"/>
      <c r="Y474" s="114"/>
    </row>
    <row r="475">
      <c r="A475" s="114"/>
      <c r="B475" s="114"/>
      <c r="C475" s="114"/>
      <c r="D475" s="114"/>
      <c r="E475" s="114"/>
      <c r="F475" s="114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4"/>
      <c r="T475" s="114"/>
      <c r="U475" s="114"/>
      <c r="V475" s="114"/>
      <c r="W475" s="114"/>
      <c r="X475" s="114"/>
      <c r="Y475" s="114"/>
    </row>
    <row r="476">
      <c r="A476" s="114"/>
      <c r="B476" s="114"/>
      <c r="C476" s="114"/>
      <c r="D476" s="114"/>
      <c r="E476" s="114"/>
      <c r="F476" s="114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4"/>
      <c r="T476" s="114"/>
      <c r="U476" s="114"/>
      <c r="V476" s="114"/>
      <c r="W476" s="114"/>
      <c r="X476" s="114"/>
      <c r="Y476" s="114"/>
    </row>
    <row r="477">
      <c r="A477" s="114"/>
      <c r="B477" s="114"/>
      <c r="C477" s="114"/>
      <c r="D477" s="114"/>
      <c r="E477" s="114"/>
      <c r="F477" s="114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4"/>
      <c r="T477" s="114"/>
      <c r="U477" s="114"/>
      <c r="V477" s="114"/>
      <c r="W477" s="114"/>
      <c r="X477" s="114"/>
      <c r="Y477" s="114"/>
    </row>
    <row r="478">
      <c r="A478" s="114"/>
      <c r="B478" s="114"/>
      <c r="C478" s="114"/>
      <c r="D478" s="114"/>
      <c r="E478" s="114"/>
      <c r="F478" s="114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4"/>
      <c r="T478" s="114"/>
      <c r="U478" s="114"/>
      <c r="V478" s="114"/>
      <c r="W478" s="114"/>
      <c r="X478" s="114"/>
      <c r="Y478" s="114"/>
    </row>
    <row r="479">
      <c r="A479" s="114"/>
      <c r="B479" s="114"/>
      <c r="C479" s="114"/>
      <c r="D479" s="114"/>
      <c r="E479" s="114"/>
      <c r="F479" s="114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4"/>
      <c r="T479" s="114"/>
      <c r="U479" s="114"/>
      <c r="V479" s="114"/>
      <c r="W479" s="114"/>
      <c r="X479" s="114"/>
      <c r="Y479" s="114"/>
    </row>
    <row r="480">
      <c r="A480" s="114"/>
      <c r="B480" s="114"/>
      <c r="C480" s="114"/>
      <c r="D480" s="114"/>
      <c r="E480" s="114"/>
      <c r="F480" s="114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4"/>
      <c r="T480" s="114"/>
      <c r="U480" s="114"/>
      <c r="V480" s="114"/>
      <c r="W480" s="114"/>
      <c r="X480" s="114"/>
      <c r="Y480" s="114"/>
    </row>
    <row r="481">
      <c r="A481" s="114"/>
      <c r="B481" s="114"/>
      <c r="C481" s="114"/>
      <c r="D481" s="114"/>
      <c r="E481" s="114"/>
      <c r="F481" s="114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4"/>
      <c r="T481" s="114"/>
      <c r="U481" s="114"/>
      <c r="V481" s="114"/>
      <c r="W481" s="114"/>
      <c r="X481" s="114"/>
      <c r="Y481" s="114"/>
    </row>
    <row r="482">
      <c r="A482" s="114"/>
      <c r="B482" s="114"/>
      <c r="C482" s="114"/>
      <c r="D482" s="114"/>
      <c r="E482" s="114"/>
      <c r="F482" s="114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4"/>
      <c r="T482" s="114"/>
      <c r="U482" s="114"/>
      <c r="V482" s="114"/>
      <c r="W482" s="114"/>
      <c r="X482" s="114"/>
      <c r="Y482" s="114"/>
    </row>
    <row r="483">
      <c r="A483" s="114"/>
      <c r="B483" s="114"/>
      <c r="C483" s="114"/>
      <c r="D483" s="114"/>
      <c r="E483" s="114"/>
      <c r="F483" s="114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4"/>
      <c r="T483" s="114"/>
      <c r="U483" s="114"/>
      <c r="V483" s="114"/>
      <c r="W483" s="114"/>
      <c r="X483" s="114"/>
      <c r="Y483" s="114"/>
    </row>
    <row r="484">
      <c r="A484" s="114"/>
      <c r="B484" s="114"/>
      <c r="C484" s="114"/>
      <c r="D484" s="114"/>
      <c r="E484" s="114"/>
      <c r="F484" s="114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4"/>
      <c r="T484" s="114"/>
      <c r="U484" s="114"/>
      <c r="V484" s="114"/>
      <c r="W484" s="114"/>
      <c r="X484" s="114"/>
      <c r="Y484" s="114"/>
    </row>
    <row r="485">
      <c r="A485" s="114"/>
      <c r="B485" s="114"/>
      <c r="C485" s="114"/>
      <c r="D485" s="114"/>
      <c r="E485" s="114"/>
      <c r="F485" s="114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4"/>
      <c r="T485" s="114"/>
      <c r="U485" s="114"/>
      <c r="V485" s="114"/>
      <c r="W485" s="114"/>
      <c r="X485" s="114"/>
      <c r="Y485" s="114"/>
    </row>
    <row r="486">
      <c r="A486" s="114"/>
      <c r="B486" s="114"/>
      <c r="C486" s="114"/>
      <c r="D486" s="114"/>
      <c r="E486" s="114"/>
      <c r="F486" s="114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4"/>
      <c r="T486" s="114"/>
      <c r="U486" s="114"/>
      <c r="V486" s="114"/>
      <c r="W486" s="114"/>
      <c r="X486" s="114"/>
      <c r="Y486" s="114"/>
    </row>
    <row r="487">
      <c r="A487" s="114"/>
      <c r="B487" s="114"/>
      <c r="C487" s="114"/>
      <c r="D487" s="114"/>
      <c r="E487" s="114"/>
      <c r="F487" s="114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4"/>
      <c r="T487" s="114"/>
      <c r="U487" s="114"/>
      <c r="V487" s="114"/>
      <c r="W487" s="114"/>
      <c r="X487" s="114"/>
      <c r="Y487" s="114"/>
    </row>
    <row r="488">
      <c r="A488" s="114"/>
      <c r="B488" s="114"/>
      <c r="C488" s="114"/>
      <c r="D488" s="114"/>
      <c r="E488" s="114"/>
      <c r="F488" s="114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4"/>
      <c r="T488" s="114"/>
      <c r="U488" s="114"/>
      <c r="V488" s="114"/>
      <c r="W488" s="114"/>
      <c r="X488" s="114"/>
      <c r="Y488" s="114"/>
    </row>
    <row r="489">
      <c r="A489" s="114"/>
      <c r="B489" s="114"/>
      <c r="C489" s="114"/>
      <c r="D489" s="114"/>
      <c r="E489" s="114"/>
      <c r="F489" s="114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4"/>
      <c r="T489" s="114"/>
      <c r="U489" s="114"/>
      <c r="V489" s="114"/>
      <c r="W489" s="114"/>
      <c r="X489" s="114"/>
      <c r="Y489" s="114"/>
    </row>
    <row r="490">
      <c r="A490" s="114"/>
      <c r="B490" s="114"/>
      <c r="C490" s="114"/>
      <c r="D490" s="114"/>
      <c r="E490" s="114"/>
      <c r="F490" s="114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4"/>
      <c r="T490" s="114"/>
      <c r="U490" s="114"/>
      <c r="V490" s="114"/>
      <c r="W490" s="114"/>
      <c r="X490" s="114"/>
      <c r="Y490" s="114"/>
    </row>
    <row r="491">
      <c r="A491" s="114"/>
      <c r="B491" s="114"/>
      <c r="C491" s="114"/>
      <c r="D491" s="114"/>
      <c r="E491" s="114"/>
      <c r="F491" s="114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4"/>
      <c r="T491" s="114"/>
      <c r="U491" s="114"/>
      <c r="V491" s="114"/>
      <c r="W491" s="114"/>
      <c r="X491" s="114"/>
      <c r="Y491" s="114"/>
    </row>
    <row r="492">
      <c r="A492" s="114"/>
      <c r="B492" s="114"/>
      <c r="C492" s="114"/>
      <c r="D492" s="114"/>
      <c r="E492" s="114"/>
      <c r="F492" s="114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4"/>
      <c r="T492" s="114"/>
      <c r="U492" s="114"/>
      <c r="V492" s="114"/>
      <c r="W492" s="114"/>
      <c r="X492" s="114"/>
      <c r="Y492" s="114"/>
    </row>
    <row r="493">
      <c r="A493" s="114"/>
      <c r="B493" s="114"/>
      <c r="C493" s="114"/>
      <c r="D493" s="114"/>
      <c r="E493" s="114"/>
      <c r="F493" s="114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4"/>
      <c r="T493" s="114"/>
      <c r="U493" s="114"/>
      <c r="V493" s="114"/>
      <c r="W493" s="114"/>
      <c r="X493" s="114"/>
      <c r="Y493" s="114"/>
    </row>
    <row r="494">
      <c r="A494" s="114"/>
      <c r="B494" s="114"/>
      <c r="C494" s="114"/>
      <c r="D494" s="114"/>
      <c r="E494" s="114"/>
      <c r="F494" s="114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4"/>
      <c r="T494" s="114"/>
      <c r="U494" s="114"/>
      <c r="V494" s="114"/>
      <c r="W494" s="114"/>
      <c r="X494" s="114"/>
      <c r="Y494" s="114"/>
    </row>
    <row r="495">
      <c r="A495" s="114"/>
      <c r="B495" s="114"/>
      <c r="C495" s="114"/>
      <c r="D495" s="114"/>
      <c r="E495" s="114"/>
      <c r="F495" s="114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4"/>
      <c r="T495" s="114"/>
      <c r="U495" s="114"/>
      <c r="V495" s="114"/>
      <c r="W495" s="114"/>
      <c r="X495" s="114"/>
      <c r="Y495" s="114"/>
    </row>
    <row r="496">
      <c r="A496" s="114"/>
      <c r="B496" s="114"/>
      <c r="C496" s="114"/>
      <c r="D496" s="114"/>
      <c r="E496" s="114"/>
      <c r="F496" s="114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4"/>
      <c r="T496" s="114"/>
      <c r="U496" s="114"/>
      <c r="V496" s="114"/>
      <c r="W496" s="114"/>
      <c r="X496" s="114"/>
      <c r="Y496" s="114"/>
    </row>
    <row r="497">
      <c r="A497" s="114"/>
      <c r="B497" s="114"/>
      <c r="C497" s="114"/>
      <c r="D497" s="114"/>
      <c r="E497" s="114"/>
      <c r="F497" s="114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4"/>
      <c r="T497" s="114"/>
      <c r="U497" s="114"/>
      <c r="V497" s="114"/>
      <c r="W497" s="114"/>
      <c r="X497" s="114"/>
      <c r="Y497" s="114"/>
    </row>
    <row r="498">
      <c r="A498" s="114"/>
      <c r="B498" s="114"/>
      <c r="C498" s="114"/>
      <c r="D498" s="114"/>
      <c r="E498" s="114"/>
      <c r="F498" s="114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4"/>
      <c r="T498" s="114"/>
      <c r="U498" s="114"/>
      <c r="V498" s="114"/>
      <c r="W498" s="114"/>
      <c r="X498" s="114"/>
      <c r="Y498" s="114"/>
    </row>
    <row r="499">
      <c r="A499" s="114"/>
      <c r="B499" s="114"/>
      <c r="C499" s="114"/>
      <c r="D499" s="114"/>
      <c r="E499" s="114"/>
      <c r="F499" s="114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4"/>
      <c r="T499" s="114"/>
      <c r="U499" s="114"/>
      <c r="V499" s="114"/>
      <c r="W499" s="114"/>
      <c r="X499" s="114"/>
      <c r="Y499" s="114"/>
    </row>
    <row r="500">
      <c r="A500" s="114"/>
      <c r="B500" s="114"/>
      <c r="C500" s="114"/>
      <c r="D500" s="114"/>
      <c r="E500" s="114"/>
      <c r="F500" s="114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4"/>
      <c r="T500" s="114"/>
      <c r="U500" s="114"/>
      <c r="V500" s="114"/>
      <c r="W500" s="114"/>
      <c r="X500" s="114"/>
      <c r="Y500" s="114"/>
    </row>
    <row r="501">
      <c r="A501" s="114"/>
      <c r="B501" s="114"/>
      <c r="C501" s="114"/>
      <c r="D501" s="114"/>
      <c r="E501" s="114"/>
      <c r="F501" s="114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4"/>
      <c r="T501" s="114"/>
      <c r="U501" s="114"/>
      <c r="V501" s="114"/>
      <c r="W501" s="114"/>
      <c r="X501" s="114"/>
      <c r="Y501" s="114"/>
    </row>
    <row r="502">
      <c r="A502" s="114"/>
      <c r="B502" s="114"/>
      <c r="C502" s="114"/>
      <c r="D502" s="114"/>
      <c r="E502" s="114"/>
      <c r="F502" s="114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4"/>
      <c r="T502" s="114"/>
      <c r="U502" s="114"/>
      <c r="V502" s="114"/>
      <c r="W502" s="114"/>
      <c r="X502" s="114"/>
      <c r="Y502" s="114"/>
    </row>
    <row r="503">
      <c r="A503" s="114"/>
      <c r="B503" s="114"/>
      <c r="C503" s="114"/>
      <c r="D503" s="114"/>
      <c r="E503" s="114"/>
      <c r="F503" s="114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4"/>
      <c r="T503" s="114"/>
      <c r="U503" s="114"/>
      <c r="V503" s="114"/>
      <c r="W503" s="114"/>
      <c r="X503" s="114"/>
      <c r="Y503" s="114"/>
    </row>
    <row r="504">
      <c r="A504" s="114"/>
      <c r="B504" s="114"/>
      <c r="C504" s="114"/>
      <c r="D504" s="114"/>
      <c r="E504" s="114"/>
      <c r="F504" s="114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4"/>
      <c r="T504" s="114"/>
      <c r="U504" s="114"/>
      <c r="V504" s="114"/>
      <c r="W504" s="114"/>
      <c r="X504" s="114"/>
      <c r="Y504" s="114"/>
    </row>
    <row r="505">
      <c r="A505" s="114"/>
      <c r="B505" s="114"/>
      <c r="C505" s="114"/>
      <c r="D505" s="114"/>
      <c r="E505" s="114"/>
      <c r="F505" s="114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4"/>
      <c r="T505" s="114"/>
      <c r="U505" s="114"/>
      <c r="V505" s="114"/>
      <c r="W505" s="114"/>
      <c r="X505" s="114"/>
      <c r="Y505" s="114"/>
    </row>
    <row r="506">
      <c r="A506" s="114"/>
      <c r="B506" s="114"/>
      <c r="C506" s="114"/>
      <c r="D506" s="114"/>
      <c r="E506" s="114"/>
      <c r="F506" s="114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4"/>
      <c r="T506" s="114"/>
      <c r="U506" s="114"/>
      <c r="V506" s="114"/>
      <c r="W506" s="114"/>
      <c r="X506" s="114"/>
      <c r="Y506" s="114"/>
    </row>
    <row r="507">
      <c r="A507" s="114"/>
      <c r="B507" s="114"/>
      <c r="C507" s="114"/>
      <c r="D507" s="114"/>
      <c r="E507" s="114"/>
      <c r="F507" s="114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4"/>
      <c r="T507" s="114"/>
      <c r="U507" s="114"/>
      <c r="V507" s="114"/>
      <c r="W507" s="114"/>
      <c r="X507" s="114"/>
      <c r="Y507" s="114"/>
    </row>
    <row r="508">
      <c r="A508" s="114"/>
      <c r="B508" s="114"/>
      <c r="C508" s="114"/>
      <c r="D508" s="114"/>
      <c r="E508" s="114"/>
      <c r="F508" s="114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4"/>
      <c r="T508" s="114"/>
      <c r="U508" s="114"/>
      <c r="V508" s="114"/>
      <c r="W508" s="114"/>
      <c r="X508" s="114"/>
      <c r="Y508" s="114"/>
    </row>
    <row r="509">
      <c r="A509" s="114"/>
      <c r="B509" s="114"/>
      <c r="C509" s="114"/>
      <c r="D509" s="114"/>
      <c r="E509" s="114"/>
      <c r="F509" s="114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4"/>
      <c r="T509" s="114"/>
      <c r="U509" s="114"/>
      <c r="V509" s="114"/>
      <c r="W509" s="114"/>
      <c r="X509" s="114"/>
      <c r="Y509" s="114"/>
    </row>
    <row r="510">
      <c r="A510" s="114"/>
      <c r="B510" s="114"/>
      <c r="C510" s="114"/>
      <c r="D510" s="114"/>
      <c r="E510" s="114"/>
      <c r="F510" s="114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4"/>
      <c r="T510" s="114"/>
      <c r="U510" s="114"/>
      <c r="V510" s="114"/>
      <c r="W510" s="114"/>
      <c r="X510" s="114"/>
      <c r="Y510" s="114"/>
    </row>
    <row r="511">
      <c r="A511" s="114"/>
      <c r="B511" s="114"/>
      <c r="C511" s="114"/>
      <c r="D511" s="114"/>
      <c r="E511" s="114"/>
      <c r="F511" s="114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4"/>
      <c r="T511" s="114"/>
      <c r="U511" s="114"/>
      <c r="V511" s="114"/>
      <c r="W511" s="114"/>
      <c r="X511" s="114"/>
      <c r="Y511" s="114"/>
    </row>
    <row r="512">
      <c r="A512" s="114"/>
      <c r="B512" s="114"/>
      <c r="C512" s="114"/>
      <c r="D512" s="114"/>
      <c r="E512" s="114"/>
      <c r="F512" s="114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4"/>
      <c r="T512" s="114"/>
      <c r="U512" s="114"/>
      <c r="V512" s="114"/>
      <c r="W512" s="114"/>
      <c r="X512" s="114"/>
      <c r="Y512" s="114"/>
    </row>
    <row r="513">
      <c r="A513" s="114"/>
      <c r="B513" s="114"/>
      <c r="C513" s="114"/>
      <c r="D513" s="114"/>
      <c r="E513" s="114"/>
      <c r="F513" s="114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4"/>
      <c r="T513" s="114"/>
      <c r="U513" s="114"/>
      <c r="V513" s="114"/>
      <c r="W513" s="114"/>
      <c r="X513" s="114"/>
      <c r="Y513" s="114"/>
    </row>
    <row r="514">
      <c r="A514" s="114"/>
      <c r="B514" s="114"/>
      <c r="C514" s="114"/>
      <c r="D514" s="114"/>
      <c r="E514" s="114"/>
      <c r="F514" s="114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4"/>
      <c r="T514" s="114"/>
      <c r="U514" s="114"/>
      <c r="V514" s="114"/>
      <c r="W514" s="114"/>
      <c r="X514" s="114"/>
      <c r="Y514" s="114"/>
    </row>
    <row r="515">
      <c r="A515" s="114"/>
      <c r="B515" s="114"/>
      <c r="C515" s="114"/>
      <c r="D515" s="114"/>
      <c r="E515" s="114"/>
      <c r="F515" s="114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4"/>
      <c r="T515" s="114"/>
      <c r="U515" s="114"/>
      <c r="V515" s="114"/>
      <c r="W515" s="114"/>
      <c r="X515" s="114"/>
      <c r="Y515" s="114"/>
    </row>
    <row r="516">
      <c r="A516" s="114"/>
      <c r="B516" s="114"/>
      <c r="C516" s="114"/>
      <c r="D516" s="114"/>
      <c r="E516" s="114"/>
      <c r="F516" s="114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4"/>
      <c r="T516" s="114"/>
      <c r="U516" s="114"/>
      <c r="V516" s="114"/>
      <c r="W516" s="114"/>
      <c r="X516" s="114"/>
      <c r="Y516" s="114"/>
    </row>
    <row r="517">
      <c r="A517" s="114"/>
      <c r="B517" s="114"/>
      <c r="C517" s="114"/>
      <c r="D517" s="114"/>
      <c r="E517" s="114"/>
      <c r="F517" s="114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4"/>
      <c r="T517" s="114"/>
      <c r="U517" s="114"/>
      <c r="V517" s="114"/>
      <c r="W517" s="114"/>
      <c r="X517" s="114"/>
      <c r="Y517" s="114"/>
    </row>
    <row r="518">
      <c r="A518" s="114"/>
      <c r="B518" s="114"/>
      <c r="C518" s="114"/>
      <c r="D518" s="114"/>
      <c r="E518" s="114"/>
      <c r="F518" s="114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4"/>
      <c r="T518" s="114"/>
      <c r="U518" s="114"/>
      <c r="V518" s="114"/>
      <c r="W518" s="114"/>
      <c r="X518" s="114"/>
      <c r="Y518" s="114"/>
    </row>
    <row r="519">
      <c r="A519" s="114"/>
      <c r="B519" s="114"/>
      <c r="C519" s="114"/>
      <c r="D519" s="114"/>
      <c r="E519" s="114"/>
      <c r="F519" s="114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4"/>
      <c r="T519" s="114"/>
      <c r="U519" s="114"/>
      <c r="V519" s="114"/>
      <c r="W519" s="114"/>
      <c r="X519" s="114"/>
      <c r="Y519" s="114"/>
    </row>
    <row r="520">
      <c r="A520" s="114"/>
      <c r="B520" s="114"/>
      <c r="C520" s="114"/>
      <c r="D520" s="114"/>
      <c r="E520" s="114"/>
      <c r="F520" s="114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4"/>
      <c r="T520" s="114"/>
      <c r="U520" s="114"/>
      <c r="V520" s="114"/>
      <c r="W520" s="114"/>
      <c r="X520" s="114"/>
      <c r="Y520" s="114"/>
    </row>
    <row r="521">
      <c r="A521" s="114"/>
      <c r="B521" s="114"/>
      <c r="C521" s="114"/>
      <c r="D521" s="114"/>
      <c r="E521" s="114"/>
      <c r="F521" s="114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4"/>
      <c r="T521" s="114"/>
      <c r="U521" s="114"/>
      <c r="V521" s="114"/>
      <c r="W521" s="114"/>
      <c r="X521" s="114"/>
      <c r="Y521" s="114"/>
    </row>
    <row r="522">
      <c r="A522" s="114"/>
      <c r="B522" s="114"/>
      <c r="C522" s="114"/>
      <c r="D522" s="114"/>
      <c r="E522" s="114"/>
      <c r="F522" s="114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4"/>
      <c r="T522" s="114"/>
      <c r="U522" s="114"/>
      <c r="V522" s="114"/>
      <c r="W522" s="114"/>
      <c r="X522" s="114"/>
      <c r="Y522" s="114"/>
    </row>
    <row r="523">
      <c r="A523" s="114"/>
      <c r="B523" s="114"/>
      <c r="C523" s="114"/>
      <c r="D523" s="114"/>
      <c r="E523" s="114"/>
      <c r="F523" s="114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4"/>
      <c r="T523" s="114"/>
      <c r="U523" s="114"/>
      <c r="V523" s="114"/>
      <c r="W523" s="114"/>
      <c r="X523" s="114"/>
      <c r="Y523" s="114"/>
    </row>
    <row r="524">
      <c r="A524" s="114"/>
      <c r="B524" s="114"/>
      <c r="C524" s="114"/>
      <c r="D524" s="114"/>
      <c r="E524" s="114"/>
      <c r="F524" s="114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4"/>
      <c r="T524" s="114"/>
      <c r="U524" s="114"/>
      <c r="V524" s="114"/>
      <c r="W524" s="114"/>
      <c r="X524" s="114"/>
      <c r="Y524" s="114"/>
    </row>
    <row r="525">
      <c r="A525" s="114"/>
      <c r="B525" s="114"/>
      <c r="C525" s="114"/>
      <c r="D525" s="114"/>
      <c r="E525" s="114"/>
      <c r="F525" s="114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4"/>
      <c r="T525" s="114"/>
      <c r="U525" s="114"/>
      <c r="V525" s="114"/>
      <c r="W525" s="114"/>
      <c r="X525" s="114"/>
      <c r="Y525" s="114"/>
    </row>
    <row r="526">
      <c r="A526" s="114"/>
      <c r="B526" s="114"/>
      <c r="C526" s="114"/>
      <c r="D526" s="114"/>
      <c r="E526" s="114"/>
      <c r="F526" s="114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4"/>
      <c r="T526" s="114"/>
      <c r="U526" s="114"/>
      <c r="V526" s="114"/>
      <c r="W526" s="114"/>
      <c r="X526" s="114"/>
      <c r="Y526" s="114"/>
    </row>
    <row r="527">
      <c r="A527" s="114"/>
      <c r="B527" s="114"/>
      <c r="C527" s="114"/>
      <c r="D527" s="114"/>
      <c r="E527" s="114"/>
      <c r="F527" s="114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4"/>
      <c r="T527" s="114"/>
      <c r="U527" s="114"/>
      <c r="V527" s="114"/>
      <c r="W527" s="114"/>
      <c r="X527" s="114"/>
      <c r="Y527" s="114"/>
    </row>
    <row r="528">
      <c r="A528" s="114"/>
      <c r="B528" s="114"/>
      <c r="C528" s="114"/>
      <c r="D528" s="114"/>
      <c r="E528" s="114"/>
      <c r="F528" s="114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4"/>
      <c r="T528" s="114"/>
      <c r="U528" s="114"/>
      <c r="V528" s="114"/>
      <c r="W528" s="114"/>
      <c r="X528" s="114"/>
      <c r="Y528" s="114"/>
    </row>
    <row r="529">
      <c r="A529" s="114"/>
      <c r="B529" s="114"/>
      <c r="C529" s="114"/>
      <c r="D529" s="114"/>
      <c r="E529" s="114"/>
      <c r="F529" s="114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4"/>
      <c r="T529" s="114"/>
      <c r="U529" s="114"/>
      <c r="V529" s="114"/>
      <c r="W529" s="114"/>
      <c r="X529" s="114"/>
      <c r="Y529" s="114"/>
    </row>
    <row r="530">
      <c r="A530" s="114"/>
      <c r="B530" s="114"/>
      <c r="C530" s="114"/>
      <c r="D530" s="114"/>
      <c r="E530" s="114"/>
      <c r="F530" s="114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4"/>
      <c r="T530" s="114"/>
      <c r="U530" s="114"/>
      <c r="V530" s="114"/>
      <c r="W530" s="114"/>
      <c r="X530" s="114"/>
      <c r="Y530" s="114"/>
    </row>
    <row r="531">
      <c r="A531" s="114"/>
      <c r="B531" s="114"/>
      <c r="C531" s="114"/>
      <c r="D531" s="114"/>
      <c r="E531" s="114"/>
      <c r="F531" s="114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4"/>
      <c r="T531" s="114"/>
      <c r="U531" s="114"/>
      <c r="V531" s="114"/>
      <c r="W531" s="114"/>
      <c r="X531" s="114"/>
      <c r="Y531" s="114"/>
    </row>
    <row r="532">
      <c r="A532" s="114"/>
      <c r="B532" s="114"/>
      <c r="C532" s="114"/>
      <c r="D532" s="114"/>
      <c r="E532" s="114"/>
      <c r="F532" s="114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4"/>
      <c r="T532" s="114"/>
      <c r="U532" s="114"/>
      <c r="V532" s="114"/>
      <c r="W532" s="114"/>
      <c r="X532" s="114"/>
      <c r="Y532" s="114"/>
    </row>
    <row r="533">
      <c r="A533" s="114"/>
      <c r="B533" s="114"/>
      <c r="C533" s="114"/>
      <c r="D533" s="114"/>
      <c r="E533" s="114"/>
      <c r="F533" s="114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4"/>
      <c r="T533" s="114"/>
      <c r="U533" s="114"/>
      <c r="V533" s="114"/>
      <c r="W533" s="114"/>
      <c r="X533" s="114"/>
      <c r="Y533" s="114"/>
    </row>
    <row r="534">
      <c r="A534" s="114"/>
      <c r="B534" s="114"/>
      <c r="C534" s="114"/>
      <c r="D534" s="114"/>
      <c r="E534" s="114"/>
      <c r="F534" s="114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4"/>
      <c r="T534" s="114"/>
      <c r="U534" s="114"/>
      <c r="V534" s="114"/>
      <c r="W534" s="114"/>
      <c r="X534" s="114"/>
      <c r="Y534" s="114"/>
    </row>
    <row r="535">
      <c r="A535" s="114"/>
      <c r="B535" s="114"/>
      <c r="C535" s="114"/>
      <c r="D535" s="114"/>
      <c r="E535" s="114"/>
      <c r="F535" s="114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4"/>
      <c r="T535" s="114"/>
      <c r="U535" s="114"/>
      <c r="V535" s="114"/>
      <c r="W535" s="114"/>
      <c r="X535" s="114"/>
      <c r="Y535" s="114"/>
    </row>
    <row r="536">
      <c r="A536" s="114"/>
      <c r="B536" s="114"/>
      <c r="C536" s="114"/>
      <c r="D536" s="114"/>
      <c r="E536" s="114"/>
      <c r="F536" s="114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4"/>
      <c r="T536" s="114"/>
      <c r="U536" s="114"/>
      <c r="V536" s="114"/>
      <c r="W536" s="114"/>
      <c r="X536" s="114"/>
      <c r="Y536" s="114"/>
    </row>
    <row r="537">
      <c r="A537" s="114"/>
      <c r="B537" s="114"/>
      <c r="C537" s="114"/>
      <c r="D537" s="114"/>
      <c r="E537" s="114"/>
      <c r="F537" s="114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4"/>
      <c r="T537" s="114"/>
      <c r="U537" s="114"/>
      <c r="V537" s="114"/>
      <c r="W537" s="114"/>
      <c r="X537" s="114"/>
      <c r="Y537" s="114"/>
    </row>
    <row r="538">
      <c r="A538" s="114"/>
      <c r="B538" s="114"/>
      <c r="C538" s="114"/>
      <c r="D538" s="114"/>
      <c r="E538" s="114"/>
      <c r="F538" s="114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4"/>
      <c r="T538" s="114"/>
      <c r="U538" s="114"/>
      <c r="V538" s="114"/>
      <c r="W538" s="114"/>
      <c r="X538" s="114"/>
      <c r="Y538" s="114"/>
    </row>
    <row r="539">
      <c r="A539" s="114"/>
      <c r="B539" s="114"/>
      <c r="C539" s="114"/>
      <c r="D539" s="114"/>
      <c r="E539" s="114"/>
      <c r="F539" s="114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4"/>
      <c r="T539" s="114"/>
      <c r="U539" s="114"/>
      <c r="V539" s="114"/>
      <c r="W539" s="114"/>
      <c r="X539" s="114"/>
      <c r="Y539" s="114"/>
    </row>
    <row r="540">
      <c r="A540" s="114"/>
      <c r="B540" s="114"/>
      <c r="C540" s="114"/>
      <c r="D540" s="114"/>
      <c r="E540" s="114"/>
      <c r="F540" s="114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4"/>
      <c r="T540" s="114"/>
      <c r="U540" s="114"/>
      <c r="V540" s="114"/>
      <c r="W540" s="114"/>
      <c r="X540" s="114"/>
      <c r="Y540" s="114"/>
    </row>
    <row r="541">
      <c r="A541" s="114"/>
      <c r="B541" s="114"/>
      <c r="C541" s="114"/>
      <c r="D541" s="114"/>
      <c r="E541" s="114"/>
      <c r="F541" s="114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4"/>
      <c r="T541" s="114"/>
      <c r="U541" s="114"/>
      <c r="V541" s="114"/>
      <c r="W541" s="114"/>
      <c r="X541" s="114"/>
      <c r="Y541" s="114"/>
    </row>
    <row r="542">
      <c r="A542" s="114"/>
      <c r="B542" s="114"/>
      <c r="C542" s="114"/>
      <c r="D542" s="114"/>
      <c r="E542" s="114"/>
      <c r="F542" s="114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4"/>
      <c r="T542" s="114"/>
      <c r="U542" s="114"/>
      <c r="V542" s="114"/>
      <c r="W542" s="114"/>
      <c r="X542" s="114"/>
      <c r="Y542" s="114"/>
    </row>
    <row r="543">
      <c r="A543" s="114"/>
      <c r="B543" s="114"/>
      <c r="C543" s="114"/>
      <c r="D543" s="114"/>
      <c r="E543" s="114"/>
      <c r="F543" s="114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4"/>
      <c r="T543" s="114"/>
      <c r="U543" s="114"/>
      <c r="V543" s="114"/>
      <c r="W543" s="114"/>
      <c r="X543" s="114"/>
      <c r="Y543" s="114"/>
    </row>
    <row r="544">
      <c r="A544" s="114"/>
      <c r="B544" s="114"/>
      <c r="C544" s="114"/>
      <c r="D544" s="114"/>
      <c r="E544" s="114"/>
      <c r="F544" s="114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4"/>
      <c r="T544" s="114"/>
      <c r="U544" s="114"/>
      <c r="V544" s="114"/>
      <c r="W544" s="114"/>
      <c r="X544" s="114"/>
      <c r="Y544" s="114"/>
    </row>
    <row r="545">
      <c r="A545" s="114"/>
      <c r="B545" s="114"/>
      <c r="C545" s="114"/>
      <c r="D545" s="114"/>
      <c r="E545" s="114"/>
      <c r="F545" s="114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4"/>
      <c r="T545" s="114"/>
      <c r="U545" s="114"/>
      <c r="V545" s="114"/>
      <c r="W545" s="114"/>
      <c r="X545" s="114"/>
      <c r="Y545" s="114"/>
    </row>
    <row r="546">
      <c r="A546" s="114"/>
      <c r="B546" s="114"/>
      <c r="C546" s="114"/>
      <c r="D546" s="114"/>
      <c r="E546" s="114"/>
      <c r="F546" s="114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4"/>
      <c r="T546" s="114"/>
      <c r="U546" s="114"/>
      <c r="V546" s="114"/>
      <c r="W546" s="114"/>
      <c r="X546" s="114"/>
      <c r="Y546" s="114"/>
    </row>
    <row r="547">
      <c r="A547" s="114"/>
      <c r="B547" s="114"/>
      <c r="C547" s="114"/>
      <c r="D547" s="114"/>
      <c r="E547" s="114"/>
      <c r="F547" s="114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4"/>
      <c r="T547" s="114"/>
      <c r="U547" s="114"/>
      <c r="V547" s="114"/>
      <c r="W547" s="114"/>
      <c r="X547" s="114"/>
      <c r="Y547" s="114"/>
    </row>
    <row r="548">
      <c r="A548" s="114"/>
      <c r="B548" s="114"/>
      <c r="C548" s="114"/>
      <c r="D548" s="114"/>
      <c r="E548" s="114"/>
      <c r="F548" s="114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4"/>
      <c r="T548" s="114"/>
      <c r="U548" s="114"/>
      <c r="V548" s="114"/>
      <c r="W548" s="114"/>
      <c r="X548" s="114"/>
      <c r="Y548" s="114"/>
    </row>
    <row r="549">
      <c r="A549" s="114"/>
      <c r="B549" s="114"/>
      <c r="C549" s="114"/>
      <c r="D549" s="114"/>
      <c r="E549" s="114"/>
      <c r="F549" s="114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4"/>
      <c r="T549" s="114"/>
      <c r="U549" s="114"/>
      <c r="V549" s="114"/>
      <c r="W549" s="114"/>
      <c r="X549" s="114"/>
      <c r="Y549" s="114"/>
    </row>
    <row r="550">
      <c r="A550" s="114"/>
      <c r="B550" s="114"/>
      <c r="C550" s="114"/>
      <c r="D550" s="114"/>
      <c r="E550" s="114"/>
      <c r="F550" s="114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4"/>
      <c r="T550" s="114"/>
      <c r="U550" s="114"/>
      <c r="V550" s="114"/>
      <c r="W550" s="114"/>
      <c r="X550" s="114"/>
      <c r="Y550" s="114"/>
    </row>
    <row r="551">
      <c r="A551" s="114"/>
      <c r="B551" s="114"/>
      <c r="C551" s="114"/>
      <c r="D551" s="114"/>
      <c r="E551" s="114"/>
      <c r="F551" s="114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4"/>
      <c r="T551" s="114"/>
      <c r="U551" s="114"/>
      <c r="V551" s="114"/>
      <c r="W551" s="114"/>
      <c r="X551" s="114"/>
      <c r="Y551" s="114"/>
    </row>
    <row r="552">
      <c r="A552" s="114"/>
      <c r="B552" s="114"/>
      <c r="C552" s="114"/>
      <c r="D552" s="114"/>
      <c r="E552" s="114"/>
      <c r="F552" s="114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4"/>
      <c r="T552" s="114"/>
      <c r="U552" s="114"/>
      <c r="V552" s="114"/>
      <c r="W552" s="114"/>
      <c r="X552" s="114"/>
      <c r="Y552" s="114"/>
    </row>
    <row r="553">
      <c r="A553" s="114"/>
      <c r="B553" s="114"/>
      <c r="C553" s="114"/>
      <c r="D553" s="114"/>
      <c r="E553" s="114"/>
      <c r="F553" s="114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4"/>
      <c r="T553" s="114"/>
      <c r="U553" s="114"/>
      <c r="V553" s="114"/>
      <c r="W553" s="114"/>
      <c r="X553" s="114"/>
      <c r="Y553" s="114"/>
    </row>
    <row r="554">
      <c r="A554" s="114"/>
      <c r="B554" s="114"/>
      <c r="C554" s="114"/>
      <c r="D554" s="114"/>
      <c r="E554" s="114"/>
      <c r="F554" s="114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4"/>
      <c r="T554" s="114"/>
      <c r="U554" s="114"/>
      <c r="V554" s="114"/>
      <c r="W554" s="114"/>
      <c r="X554" s="114"/>
      <c r="Y554" s="114"/>
    </row>
    <row r="555">
      <c r="A555" s="114"/>
      <c r="B555" s="114"/>
      <c r="C555" s="114"/>
      <c r="D555" s="114"/>
      <c r="E555" s="114"/>
      <c r="F555" s="114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4"/>
      <c r="T555" s="114"/>
      <c r="U555" s="114"/>
      <c r="V555" s="114"/>
      <c r="W555" s="114"/>
      <c r="X555" s="114"/>
      <c r="Y555" s="114"/>
    </row>
    <row r="556">
      <c r="A556" s="114"/>
      <c r="B556" s="114"/>
      <c r="C556" s="114"/>
      <c r="D556" s="114"/>
      <c r="E556" s="114"/>
      <c r="F556" s="114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4"/>
      <c r="T556" s="114"/>
      <c r="U556" s="114"/>
      <c r="V556" s="114"/>
      <c r="W556" s="114"/>
      <c r="X556" s="114"/>
      <c r="Y556" s="114"/>
    </row>
    <row r="557">
      <c r="A557" s="114"/>
      <c r="B557" s="114"/>
      <c r="C557" s="114"/>
      <c r="D557" s="114"/>
      <c r="E557" s="114"/>
      <c r="F557" s="114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4"/>
      <c r="T557" s="114"/>
      <c r="U557" s="114"/>
      <c r="V557" s="114"/>
      <c r="W557" s="114"/>
      <c r="X557" s="114"/>
      <c r="Y557" s="114"/>
    </row>
    <row r="558">
      <c r="A558" s="114"/>
      <c r="B558" s="114"/>
      <c r="C558" s="114"/>
      <c r="D558" s="114"/>
      <c r="E558" s="114"/>
      <c r="F558" s="114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4"/>
      <c r="T558" s="114"/>
      <c r="U558" s="114"/>
      <c r="V558" s="114"/>
      <c r="W558" s="114"/>
      <c r="X558" s="114"/>
      <c r="Y558" s="114"/>
    </row>
    <row r="559">
      <c r="A559" s="114"/>
      <c r="B559" s="114"/>
      <c r="C559" s="114"/>
      <c r="D559" s="114"/>
      <c r="E559" s="114"/>
      <c r="F559" s="114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4"/>
      <c r="T559" s="114"/>
      <c r="U559" s="114"/>
      <c r="V559" s="114"/>
      <c r="W559" s="114"/>
      <c r="X559" s="114"/>
      <c r="Y559" s="114"/>
    </row>
    <row r="560">
      <c r="A560" s="114"/>
      <c r="B560" s="114"/>
      <c r="C560" s="114"/>
      <c r="D560" s="114"/>
      <c r="E560" s="114"/>
      <c r="F560" s="114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4"/>
      <c r="T560" s="114"/>
      <c r="U560" s="114"/>
      <c r="V560" s="114"/>
      <c r="W560" s="114"/>
      <c r="X560" s="114"/>
      <c r="Y560" s="114"/>
    </row>
    <row r="561">
      <c r="A561" s="114"/>
      <c r="B561" s="114"/>
      <c r="C561" s="114"/>
      <c r="D561" s="114"/>
      <c r="E561" s="114"/>
      <c r="F561" s="114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4"/>
      <c r="T561" s="114"/>
      <c r="U561" s="114"/>
      <c r="V561" s="114"/>
      <c r="W561" s="114"/>
      <c r="X561" s="114"/>
      <c r="Y561" s="114"/>
    </row>
    <row r="562">
      <c r="A562" s="114"/>
      <c r="B562" s="114"/>
      <c r="C562" s="114"/>
      <c r="D562" s="114"/>
      <c r="E562" s="114"/>
      <c r="F562" s="114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4"/>
      <c r="T562" s="114"/>
      <c r="U562" s="114"/>
      <c r="V562" s="114"/>
      <c r="W562" s="114"/>
      <c r="X562" s="114"/>
      <c r="Y562" s="114"/>
    </row>
    <row r="563">
      <c r="A563" s="114"/>
      <c r="B563" s="114"/>
      <c r="C563" s="114"/>
      <c r="D563" s="114"/>
      <c r="E563" s="114"/>
      <c r="F563" s="114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4"/>
      <c r="T563" s="114"/>
      <c r="U563" s="114"/>
      <c r="V563" s="114"/>
      <c r="W563" s="114"/>
      <c r="X563" s="114"/>
      <c r="Y563" s="114"/>
    </row>
    <row r="564">
      <c r="A564" s="114"/>
      <c r="B564" s="114"/>
      <c r="C564" s="114"/>
      <c r="D564" s="114"/>
      <c r="E564" s="114"/>
      <c r="F564" s="114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4"/>
      <c r="T564" s="114"/>
      <c r="U564" s="114"/>
      <c r="V564" s="114"/>
      <c r="W564" s="114"/>
      <c r="X564" s="114"/>
      <c r="Y564" s="114"/>
    </row>
    <row r="565">
      <c r="A565" s="114"/>
      <c r="B565" s="114"/>
      <c r="C565" s="114"/>
      <c r="D565" s="114"/>
      <c r="E565" s="114"/>
      <c r="F565" s="114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4"/>
      <c r="T565" s="114"/>
      <c r="U565" s="114"/>
      <c r="V565" s="114"/>
      <c r="W565" s="114"/>
      <c r="X565" s="114"/>
      <c r="Y565" s="114"/>
    </row>
    <row r="566">
      <c r="A566" s="114"/>
      <c r="B566" s="114"/>
      <c r="C566" s="114"/>
      <c r="D566" s="114"/>
      <c r="E566" s="114"/>
      <c r="F566" s="114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4"/>
      <c r="T566" s="114"/>
      <c r="U566" s="114"/>
      <c r="V566" s="114"/>
      <c r="W566" s="114"/>
      <c r="X566" s="114"/>
      <c r="Y566" s="114"/>
    </row>
    <row r="567">
      <c r="A567" s="114"/>
      <c r="B567" s="114"/>
      <c r="C567" s="114"/>
      <c r="D567" s="114"/>
      <c r="E567" s="114"/>
      <c r="F567" s="114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4"/>
      <c r="T567" s="114"/>
      <c r="U567" s="114"/>
      <c r="V567" s="114"/>
      <c r="W567" s="114"/>
      <c r="X567" s="114"/>
      <c r="Y567" s="114"/>
    </row>
    <row r="568">
      <c r="A568" s="114"/>
      <c r="B568" s="114"/>
      <c r="C568" s="114"/>
      <c r="D568" s="114"/>
      <c r="E568" s="114"/>
      <c r="F568" s="114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4"/>
      <c r="T568" s="114"/>
      <c r="U568" s="114"/>
      <c r="V568" s="114"/>
      <c r="W568" s="114"/>
      <c r="X568" s="114"/>
      <c r="Y568" s="114"/>
    </row>
    <row r="569">
      <c r="A569" s="114"/>
      <c r="B569" s="114"/>
      <c r="C569" s="114"/>
      <c r="D569" s="114"/>
      <c r="E569" s="114"/>
      <c r="F569" s="114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4"/>
      <c r="T569" s="114"/>
      <c r="U569" s="114"/>
      <c r="V569" s="114"/>
      <c r="W569" s="114"/>
      <c r="X569" s="114"/>
      <c r="Y569" s="114"/>
    </row>
    <row r="570">
      <c r="A570" s="114"/>
      <c r="B570" s="114"/>
      <c r="C570" s="114"/>
      <c r="D570" s="114"/>
      <c r="E570" s="114"/>
      <c r="F570" s="114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4"/>
      <c r="T570" s="114"/>
      <c r="U570" s="114"/>
      <c r="V570" s="114"/>
      <c r="W570" s="114"/>
      <c r="X570" s="114"/>
      <c r="Y570" s="114"/>
    </row>
    <row r="571">
      <c r="A571" s="114"/>
      <c r="B571" s="114"/>
      <c r="C571" s="114"/>
      <c r="D571" s="114"/>
      <c r="E571" s="114"/>
      <c r="F571" s="114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4"/>
      <c r="T571" s="114"/>
      <c r="U571" s="114"/>
      <c r="V571" s="114"/>
      <c r="W571" s="114"/>
      <c r="X571" s="114"/>
      <c r="Y571" s="114"/>
    </row>
    <row r="572">
      <c r="A572" s="114"/>
      <c r="B572" s="114"/>
      <c r="C572" s="114"/>
      <c r="D572" s="114"/>
      <c r="E572" s="114"/>
      <c r="F572" s="114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4"/>
      <c r="T572" s="114"/>
      <c r="U572" s="114"/>
      <c r="V572" s="114"/>
      <c r="W572" s="114"/>
      <c r="X572" s="114"/>
      <c r="Y572" s="114"/>
    </row>
    <row r="573">
      <c r="A573" s="114"/>
      <c r="B573" s="114"/>
      <c r="C573" s="114"/>
      <c r="D573" s="114"/>
      <c r="E573" s="114"/>
      <c r="F573" s="114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4"/>
      <c r="T573" s="114"/>
      <c r="U573" s="114"/>
      <c r="V573" s="114"/>
      <c r="W573" s="114"/>
      <c r="X573" s="114"/>
      <c r="Y573" s="114"/>
    </row>
    <row r="574">
      <c r="A574" s="114"/>
      <c r="B574" s="114"/>
      <c r="C574" s="114"/>
      <c r="D574" s="114"/>
      <c r="E574" s="114"/>
      <c r="F574" s="114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4"/>
      <c r="T574" s="114"/>
      <c r="U574" s="114"/>
      <c r="V574" s="114"/>
      <c r="W574" s="114"/>
      <c r="X574" s="114"/>
      <c r="Y574" s="114"/>
    </row>
    <row r="575">
      <c r="A575" s="114"/>
      <c r="B575" s="114"/>
      <c r="C575" s="114"/>
      <c r="D575" s="114"/>
      <c r="E575" s="114"/>
      <c r="F575" s="114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4"/>
      <c r="T575" s="114"/>
      <c r="U575" s="114"/>
      <c r="V575" s="114"/>
      <c r="W575" s="114"/>
      <c r="X575" s="114"/>
      <c r="Y575" s="114"/>
    </row>
    <row r="576">
      <c r="A576" s="114"/>
      <c r="B576" s="114"/>
      <c r="C576" s="114"/>
      <c r="D576" s="114"/>
      <c r="E576" s="114"/>
      <c r="F576" s="114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4"/>
      <c r="T576" s="114"/>
      <c r="U576" s="114"/>
      <c r="V576" s="114"/>
      <c r="W576" s="114"/>
      <c r="X576" s="114"/>
      <c r="Y576" s="114"/>
    </row>
    <row r="577">
      <c r="A577" s="114"/>
      <c r="B577" s="114"/>
      <c r="C577" s="114"/>
      <c r="D577" s="114"/>
      <c r="E577" s="114"/>
      <c r="F577" s="114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4"/>
      <c r="T577" s="114"/>
      <c r="U577" s="114"/>
      <c r="V577" s="114"/>
      <c r="W577" s="114"/>
      <c r="X577" s="114"/>
      <c r="Y577" s="114"/>
    </row>
    <row r="578">
      <c r="A578" s="114"/>
      <c r="B578" s="114"/>
      <c r="C578" s="114"/>
      <c r="D578" s="114"/>
      <c r="E578" s="114"/>
      <c r="F578" s="114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4"/>
      <c r="T578" s="114"/>
      <c r="U578" s="114"/>
      <c r="V578" s="114"/>
      <c r="W578" s="114"/>
      <c r="X578" s="114"/>
      <c r="Y578" s="114"/>
    </row>
    <row r="579">
      <c r="A579" s="114"/>
      <c r="B579" s="114"/>
      <c r="C579" s="114"/>
      <c r="D579" s="114"/>
      <c r="E579" s="114"/>
      <c r="F579" s="114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4"/>
      <c r="T579" s="114"/>
      <c r="U579" s="114"/>
      <c r="V579" s="114"/>
      <c r="W579" s="114"/>
      <c r="X579" s="114"/>
      <c r="Y579" s="114"/>
    </row>
    <row r="580">
      <c r="A580" s="114"/>
      <c r="B580" s="114"/>
      <c r="C580" s="114"/>
      <c r="D580" s="114"/>
      <c r="E580" s="114"/>
      <c r="F580" s="114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4"/>
      <c r="T580" s="114"/>
      <c r="U580" s="114"/>
      <c r="V580" s="114"/>
      <c r="W580" s="114"/>
      <c r="X580" s="114"/>
      <c r="Y580" s="114"/>
    </row>
    <row r="581">
      <c r="A581" s="114"/>
      <c r="B581" s="114"/>
      <c r="C581" s="114"/>
      <c r="D581" s="114"/>
      <c r="E581" s="114"/>
      <c r="F581" s="114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4"/>
      <c r="T581" s="114"/>
      <c r="U581" s="114"/>
      <c r="V581" s="114"/>
      <c r="W581" s="114"/>
      <c r="X581" s="114"/>
      <c r="Y581" s="114"/>
    </row>
    <row r="582">
      <c r="A582" s="114"/>
      <c r="B582" s="114"/>
      <c r="C582" s="114"/>
      <c r="D582" s="114"/>
      <c r="E582" s="114"/>
      <c r="F582" s="114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4"/>
      <c r="T582" s="114"/>
      <c r="U582" s="114"/>
      <c r="V582" s="114"/>
      <c r="W582" s="114"/>
      <c r="X582" s="114"/>
      <c r="Y582" s="114"/>
    </row>
    <row r="583">
      <c r="A583" s="114"/>
      <c r="B583" s="114"/>
      <c r="C583" s="114"/>
      <c r="D583" s="114"/>
      <c r="E583" s="114"/>
      <c r="F583" s="114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4"/>
      <c r="T583" s="114"/>
      <c r="U583" s="114"/>
      <c r="V583" s="114"/>
      <c r="W583" s="114"/>
      <c r="X583" s="114"/>
      <c r="Y583" s="114"/>
    </row>
    <row r="584">
      <c r="A584" s="114"/>
      <c r="B584" s="114"/>
      <c r="C584" s="114"/>
      <c r="D584" s="114"/>
      <c r="E584" s="114"/>
      <c r="F584" s="114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4"/>
      <c r="T584" s="114"/>
      <c r="U584" s="114"/>
      <c r="V584" s="114"/>
      <c r="W584" s="114"/>
      <c r="X584" s="114"/>
      <c r="Y584" s="114"/>
    </row>
    <row r="585">
      <c r="A585" s="114"/>
      <c r="B585" s="114"/>
      <c r="C585" s="114"/>
      <c r="D585" s="114"/>
      <c r="E585" s="114"/>
      <c r="F585" s="114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4"/>
      <c r="T585" s="114"/>
      <c r="U585" s="114"/>
      <c r="V585" s="114"/>
      <c r="W585" s="114"/>
      <c r="X585" s="114"/>
      <c r="Y585" s="114"/>
    </row>
    <row r="586">
      <c r="A586" s="114"/>
      <c r="B586" s="114"/>
      <c r="C586" s="114"/>
      <c r="D586" s="114"/>
      <c r="E586" s="114"/>
      <c r="F586" s="114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4"/>
      <c r="T586" s="114"/>
      <c r="U586" s="114"/>
      <c r="V586" s="114"/>
      <c r="W586" s="114"/>
      <c r="X586" s="114"/>
      <c r="Y586" s="114"/>
    </row>
    <row r="587">
      <c r="A587" s="114"/>
      <c r="B587" s="114"/>
      <c r="C587" s="114"/>
      <c r="D587" s="114"/>
      <c r="E587" s="114"/>
      <c r="F587" s="114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4"/>
      <c r="T587" s="114"/>
      <c r="U587" s="114"/>
      <c r="V587" s="114"/>
      <c r="W587" s="114"/>
      <c r="X587" s="114"/>
      <c r="Y587" s="114"/>
    </row>
    <row r="588">
      <c r="A588" s="114"/>
      <c r="B588" s="114"/>
      <c r="C588" s="114"/>
      <c r="D588" s="114"/>
      <c r="E588" s="114"/>
      <c r="F588" s="114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4"/>
      <c r="T588" s="114"/>
      <c r="U588" s="114"/>
      <c r="V588" s="114"/>
      <c r="W588" s="114"/>
      <c r="X588" s="114"/>
      <c r="Y588" s="114"/>
    </row>
    <row r="589">
      <c r="A589" s="114"/>
      <c r="B589" s="114"/>
      <c r="C589" s="114"/>
      <c r="D589" s="114"/>
      <c r="E589" s="114"/>
      <c r="F589" s="114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4"/>
      <c r="T589" s="114"/>
      <c r="U589" s="114"/>
      <c r="V589" s="114"/>
      <c r="W589" s="114"/>
      <c r="X589" s="114"/>
      <c r="Y589" s="114"/>
    </row>
    <row r="590">
      <c r="A590" s="114"/>
      <c r="B590" s="114"/>
      <c r="C590" s="114"/>
      <c r="D590" s="114"/>
      <c r="E590" s="114"/>
      <c r="F590" s="114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4"/>
      <c r="T590" s="114"/>
      <c r="U590" s="114"/>
      <c r="V590" s="114"/>
      <c r="W590" s="114"/>
      <c r="X590" s="114"/>
      <c r="Y590" s="114"/>
    </row>
    <row r="591">
      <c r="A591" s="114"/>
      <c r="B591" s="114"/>
      <c r="C591" s="114"/>
      <c r="D591" s="114"/>
      <c r="E591" s="114"/>
      <c r="F591" s="114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4"/>
      <c r="T591" s="114"/>
      <c r="U591" s="114"/>
      <c r="V591" s="114"/>
      <c r="W591" s="114"/>
      <c r="X591" s="114"/>
      <c r="Y591" s="114"/>
    </row>
    <row r="592">
      <c r="A592" s="114"/>
      <c r="B592" s="114"/>
      <c r="C592" s="114"/>
      <c r="D592" s="114"/>
      <c r="E592" s="114"/>
      <c r="F592" s="114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4"/>
      <c r="T592" s="114"/>
      <c r="U592" s="114"/>
      <c r="V592" s="114"/>
      <c r="W592" s="114"/>
      <c r="X592" s="114"/>
      <c r="Y592" s="114"/>
    </row>
    <row r="593">
      <c r="A593" s="114"/>
      <c r="B593" s="114"/>
      <c r="C593" s="114"/>
      <c r="D593" s="114"/>
      <c r="E593" s="114"/>
      <c r="F593" s="114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4"/>
      <c r="T593" s="114"/>
      <c r="U593" s="114"/>
      <c r="V593" s="114"/>
      <c r="W593" s="114"/>
      <c r="X593" s="114"/>
      <c r="Y593" s="114"/>
    </row>
    <row r="594">
      <c r="A594" s="114"/>
      <c r="B594" s="114"/>
      <c r="C594" s="114"/>
      <c r="D594" s="114"/>
      <c r="E594" s="114"/>
      <c r="F594" s="114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4"/>
      <c r="T594" s="114"/>
      <c r="U594" s="114"/>
      <c r="V594" s="114"/>
      <c r="W594" s="114"/>
      <c r="X594" s="114"/>
      <c r="Y594" s="114"/>
    </row>
    <row r="595">
      <c r="A595" s="114"/>
      <c r="B595" s="114"/>
      <c r="C595" s="114"/>
      <c r="D595" s="114"/>
      <c r="E595" s="114"/>
      <c r="F595" s="114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4"/>
      <c r="T595" s="114"/>
      <c r="U595" s="114"/>
      <c r="V595" s="114"/>
      <c r="W595" s="114"/>
      <c r="X595" s="114"/>
      <c r="Y595" s="114"/>
    </row>
    <row r="596">
      <c r="A596" s="114"/>
      <c r="B596" s="114"/>
      <c r="C596" s="114"/>
      <c r="D596" s="114"/>
      <c r="E596" s="114"/>
      <c r="F596" s="114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4"/>
      <c r="T596" s="114"/>
      <c r="U596" s="114"/>
      <c r="V596" s="114"/>
      <c r="W596" s="114"/>
      <c r="X596" s="114"/>
      <c r="Y596" s="114"/>
    </row>
    <row r="597">
      <c r="A597" s="114"/>
      <c r="B597" s="114"/>
      <c r="C597" s="114"/>
      <c r="D597" s="114"/>
      <c r="E597" s="114"/>
      <c r="F597" s="114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4"/>
      <c r="T597" s="114"/>
      <c r="U597" s="114"/>
      <c r="V597" s="114"/>
      <c r="W597" s="114"/>
      <c r="X597" s="114"/>
      <c r="Y597" s="114"/>
    </row>
    <row r="598">
      <c r="A598" s="114"/>
      <c r="B598" s="114"/>
      <c r="C598" s="114"/>
      <c r="D598" s="114"/>
      <c r="E598" s="114"/>
      <c r="F598" s="114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4"/>
      <c r="T598" s="114"/>
      <c r="U598" s="114"/>
      <c r="V598" s="114"/>
      <c r="W598" s="114"/>
      <c r="X598" s="114"/>
      <c r="Y598" s="114"/>
    </row>
    <row r="599">
      <c r="A599" s="114"/>
      <c r="B599" s="114"/>
      <c r="C599" s="114"/>
      <c r="D599" s="114"/>
      <c r="E599" s="114"/>
      <c r="F599" s="114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4"/>
      <c r="T599" s="114"/>
      <c r="U599" s="114"/>
      <c r="V599" s="114"/>
      <c r="W599" s="114"/>
      <c r="X599" s="114"/>
      <c r="Y599" s="114"/>
    </row>
    <row r="600">
      <c r="A600" s="114"/>
      <c r="B600" s="114"/>
      <c r="C600" s="114"/>
      <c r="D600" s="114"/>
      <c r="E600" s="114"/>
      <c r="F600" s="114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4"/>
      <c r="T600" s="114"/>
      <c r="U600" s="114"/>
      <c r="V600" s="114"/>
      <c r="W600" s="114"/>
      <c r="X600" s="114"/>
      <c r="Y600" s="114"/>
    </row>
    <row r="601">
      <c r="A601" s="114"/>
      <c r="B601" s="114"/>
      <c r="C601" s="114"/>
      <c r="D601" s="114"/>
      <c r="E601" s="114"/>
      <c r="F601" s="114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4"/>
      <c r="T601" s="114"/>
      <c r="U601" s="114"/>
      <c r="V601" s="114"/>
      <c r="W601" s="114"/>
      <c r="X601" s="114"/>
      <c r="Y601" s="114"/>
    </row>
    <row r="602">
      <c r="A602" s="114"/>
      <c r="B602" s="114"/>
      <c r="C602" s="114"/>
      <c r="D602" s="114"/>
      <c r="E602" s="114"/>
      <c r="F602" s="114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4"/>
      <c r="T602" s="114"/>
      <c r="U602" s="114"/>
      <c r="V602" s="114"/>
      <c r="W602" s="114"/>
      <c r="X602" s="114"/>
      <c r="Y602" s="114"/>
    </row>
    <row r="603">
      <c r="A603" s="114"/>
      <c r="B603" s="114"/>
      <c r="C603" s="114"/>
      <c r="D603" s="114"/>
      <c r="E603" s="114"/>
      <c r="F603" s="114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4"/>
      <c r="T603" s="114"/>
      <c r="U603" s="114"/>
      <c r="V603" s="114"/>
      <c r="W603" s="114"/>
      <c r="X603" s="114"/>
      <c r="Y603" s="114"/>
    </row>
    <row r="604">
      <c r="A604" s="114"/>
      <c r="B604" s="114"/>
      <c r="C604" s="114"/>
      <c r="D604" s="114"/>
      <c r="E604" s="114"/>
      <c r="F604" s="114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4"/>
      <c r="T604" s="114"/>
      <c r="U604" s="114"/>
      <c r="V604" s="114"/>
      <c r="W604" s="114"/>
      <c r="X604" s="114"/>
      <c r="Y604" s="114"/>
    </row>
    <row r="605">
      <c r="A605" s="114"/>
      <c r="B605" s="114"/>
      <c r="C605" s="114"/>
      <c r="D605" s="114"/>
      <c r="E605" s="114"/>
      <c r="F605" s="114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4"/>
      <c r="T605" s="114"/>
      <c r="U605" s="114"/>
      <c r="V605" s="114"/>
      <c r="W605" s="114"/>
      <c r="X605" s="114"/>
      <c r="Y605" s="114"/>
    </row>
    <row r="606">
      <c r="A606" s="114"/>
      <c r="B606" s="114"/>
      <c r="C606" s="114"/>
      <c r="D606" s="114"/>
      <c r="E606" s="114"/>
      <c r="F606" s="114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4"/>
      <c r="T606" s="114"/>
      <c r="U606" s="114"/>
      <c r="V606" s="114"/>
      <c r="W606" s="114"/>
      <c r="X606" s="114"/>
      <c r="Y606" s="114"/>
    </row>
    <row r="607">
      <c r="A607" s="114"/>
      <c r="B607" s="114"/>
      <c r="C607" s="114"/>
      <c r="D607" s="114"/>
      <c r="E607" s="114"/>
      <c r="F607" s="114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4"/>
      <c r="T607" s="114"/>
      <c r="U607" s="114"/>
      <c r="V607" s="114"/>
      <c r="W607" s="114"/>
      <c r="X607" s="114"/>
      <c r="Y607" s="114"/>
    </row>
    <row r="608">
      <c r="A608" s="114"/>
      <c r="B608" s="114"/>
      <c r="C608" s="114"/>
      <c r="D608" s="114"/>
      <c r="E608" s="114"/>
      <c r="F608" s="114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4"/>
      <c r="T608" s="114"/>
      <c r="U608" s="114"/>
      <c r="V608" s="114"/>
      <c r="W608" s="114"/>
      <c r="X608" s="114"/>
      <c r="Y608" s="114"/>
    </row>
    <row r="609">
      <c r="A609" s="114"/>
      <c r="B609" s="114"/>
      <c r="C609" s="114"/>
      <c r="D609" s="114"/>
      <c r="E609" s="114"/>
      <c r="F609" s="114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4"/>
      <c r="T609" s="114"/>
      <c r="U609" s="114"/>
      <c r="V609" s="114"/>
      <c r="W609" s="114"/>
      <c r="X609" s="114"/>
      <c r="Y609" s="114"/>
    </row>
    <row r="610">
      <c r="A610" s="114"/>
      <c r="B610" s="114"/>
      <c r="C610" s="114"/>
      <c r="D610" s="114"/>
      <c r="E610" s="114"/>
      <c r="F610" s="114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4"/>
      <c r="T610" s="114"/>
      <c r="U610" s="114"/>
      <c r="V610" s="114"/>
      <c r="W610" s="114"/>
      <c r="X610" s="114"/>
      <c r="Y610" s="114"/>
    </row>
    <row r="611">
      <c r="A611" s="114"/>
      <c r="B611" s="114"/>
      <c r="C611" s="114"/>
      <c r="D611" s="114"/>
      <c r="E611" s="114"/>
      <c r="F611" s="114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4"/>
      <c r="T611" s="114"/>
      <c r="U611" s="114"/>
      <c r="V611" s="114"/>
      <c r="W611" s="114"/>
      <c r="X611" s="114"/>
      <c r="Y611" s="114"/>
    </row>
    <row r="612">
      <c r="A612" s="114"/>
      <c r="B612" s="114"/>
      <c r="C612" s="114"/>
      <c r="D612" s="114"/>
      <c r="E612" s="114"/>
      <c r="F612" s="114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4"/>
      <c r="T612" s="114"/>
      <c r="U612" s="114"/>
      <c r="V612" s="114"/>
      <c r="W612" s="114"/>
      <c r="X612" s="114"/>
      <c r="Y612" s="114"/>
    </row>
    <row r="613">
      <c r="A613" s="114"/>
      <c r="B613" s="114"/>
      <c r="C613" s="114"/>
      <c r="D613" s="114"/>
      <c r="E613" s="114"/>
      <c r="F613" s="114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4"/>
      <c r="T613" s="114"/>
      <c r="U613" s="114"/>
      <c r="V613" s="114"/>
      <c r="W613" s="114"/>
      <c r="X613" s="114"/>
      <c r="Y613" s="114"/>
    </row>
    <row r="614">
      <c r="A614" s="114"/>
      <c r="B614" s="114"/>
      <c r="C614" s="114"/>
      <c r="D614" s="114"/>
      <c r="E614" s="114"/>
      <c r="F614" s="114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4"/>
      <c r="T614" s="114"/>
      <c r="U614" s="114"/>
      <c r="V614" s="114"/>
      <c r="W614" s="114"/>
      <c r="X614" s="114"/>
      <c r="Y614" s="114"/>
    </row>
    <row r="615">
      <c r="A615" s="114"/>
      <c r="B615" s="114"/>
      <c r="C615" s="114"/>
      <c r="D615" s="114"/>
      <c r="E615" s="114"/>
      <c r="F615" s="114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4"/>
      <c r="T615" s="114"/>
      <c r="U615" s="114"/>
      <c r="V615" s="114"/>
      <c r="W615" s="114"/>
      <c r="X615" s="114"/>
      <c r="Y615" s="114"/>
    </row>
    <row r="616">
      <c r="A616" s="114"/>
      <c r="B616" s="114"/>
      <c r="C616" s="114"/>
      <c r="D616" s="114"/>
      <c r="E616" s="114"/>
      <c r="F616" s="114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4"/>
      <c r="T616" s="114"/>
      <c r="U616" s="114"/>
      <c r="V616" s="114"/>
      <c r="W616" s="114"/>
      <c r="X616" s="114"/>
      <c r="Y616" s="114"/>
    </row>
    <row r="617">
      <c r="A617" s="114"/>
      <c r="B617" s="114"/>
      <c r="C617" s="114"/>
      <c r="D617" s="114"/>
      <c r="E617" s="114"/>
      <c r="F617" s="114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4"/>
      <c r="T617" s="114"/>
      <c r="U617" s="114"/>
      <c r="V617" s="114"/>
      <c r="W617" s="114"/>
      <c r="X617" s="114"/>
      <c r="Y617" s="114"/>
    </row>
    <row r="618">
      <c r="A618" s="114"/>
      <c r="B618" s="114"/>
      <c r="C618" s="114"/>
      <c r="D618" s="114"/>
      <c r="E618" s="114"/>
      <c r="F618" s="114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4"/>
      <c r="T618" s="114"/>
      <c r="U618" s="114"/>
      <c r="V618" s="114"/>
      <c r="W618" s="114"/>
      <c r="X618" s="114"/>
      <c r="Y618" s="114"/>
    </row>
    <row r="619">
      <c r="A619" s="114"/>
      <c r="B619" s="114"/>
      <c r="C619" s="114"/>
      <c r="D619" s="114"/>
      <c r="E619" s="114"/>
      <c r="F619" s="114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4"/>
      <c r="T619" s="114"/>
      <c r="U619" s="114"/>
      <c r="V619" s="114"/>
      <c r="W619" s="114"/>
      <c r="X619" s="114"/>
      <c r="Y619" s="114"/>
    </row>
    <row r="620">
      <c r="A620" s="114"/>
      <c r="B620" s="114"/>
      <c r="C620" s="114"/>
      <c r="D620" s="114"/>
      <c r="E620" s="114"/>
      <c r="F620" s="114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4"/>
      <c r="T620" s="114"/>
      <c r="U620" s="114"/>
      <c r="V620" s="114"/>
      <c r="W620" s="114"/>
      <c r="X620" s="114"/>
      <c r="Y620" s="114"/>
    </row>
    <row r="621">
      <c r="A621" s="114"/>
      <c r="B621" s="114"/>
      <c r="C621" s="114"/>
      <c r="D621" s="114"/>
      <c r="E621" s="114"/>
      <c r="F621" s="114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4"/>
      <c r="T621" s="114"/>
      <c r="U621" s="114"/>
      <c r="V621" s="114"/>
      <c r="W621" s="114"/>
      <c r="X621" s="114"/>
      <c r="Y621" s="114"/>
    </row>
    <row r="622">
      <c r="A622" s="114"/>
      <c r="B622" s="114"/>
      <c r="C622" s="114"/>
      <c r="D622" s="114"/>
      <c r="E622" s="114"/>
      <c r="F622" s="114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4"/>
      <c r="T622" s="114"/>
      <c r="U622" s="114"/>
      <c r="V622" s="114"/>
      <c r="W622" s="114"/>
      <c r="X622" s="114"/>
      <c r="Y622" s="114"/>
    </row>
    <row r="623">
      <c r="A623" s="114"/>
      <c r="B623" s="114"/>
      <c r="C623" s="114"/>
      <c r="D623" s="114"/>
      <c r="E623" s="114"/>
      <c r="F623" s="114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4"/>
      <c r="T623" s="114"/>
      <c r="U623" s="114"/>
      <c r="V623" s="114"/>
      <c r="W623" s="114"/>
      <c r="X623" s="114"/>
      <c r="Y623" s="114"/>
    </row>
    <row r="624">
      <c r="A624" s="114"/>
      <c r="B624" s="114"/>
      <c r="C624" s="114"/>
      <c r="D624" s="114"/>
      <c r="E624" s="114"/>
      <c r="F624" s="114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4"/>
      <c r="T624" s="114"/>
      <c r="U624" s="114"/>
      <c r="V624" s="114"/>
      <c r="W624" s="114"/>
      <c r="X624" s="114"/>
      <c r="Y624" s="114"/>
    </row>
    <row r="625">
      <c r="A625" s="114"/>
      <c r="B625" s="114"/>
      <c r="C625" s="114"/>
      <c r="D625" s="114"/>
      <c r="E625" s="114"/>
      <c r="F625" s="114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4"/>
      <c r="T625" s="114"/>
      <c r="U625" s="114"/>
      <c r="V625" s="114"/>
      <c r="W625" s="114"/>
      <c r="X625" s="114"/>
      <c r="Y625" s="114"/>
    </row>
    <row r="626">
      <c r="A626" s="114"/>
      <c r="B626" s="114"/>
      <c r="C626" s="114"/>
      <c r="D626" s="114"/>
      <c r="E626" s="114"/>
      <c r="F626" s="114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4"/>
      <c r="T626" s="114"/>
      <c r="U626" s="114"/>
      <c r="V626" s="114"/>
      <c r="W626" s="114"/>
      <c r="X626" s="114"/>
      <c r="Y626" s="114"/>
    </row>
    <row r="627">
      <c r="A627" s="114"/>
      <c r="B627" s="114"/>
      <c r="C627" s="114"/>
      <c r="D627" s="114"/>
      <c r="E627" s="114"/>
      <c r="F627" s="114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4"/>
      <c r="T627" s="114"/>
      <c r="U627" s="114"/>
      <c r="V627" s="114"/>
      <c r="W627" s="114"/>
      <c r="X627" s="114"/>
      <c r="Y627" s="114"/>
    </row>
    <row r="628">
      <c r="A628" s="114"/>
      <c r="B628" s="114"/>
      <c r="C628" s="114"/>
      <c r="D628" s="114"/>
      <c r="E628" s="114"/>
      <c r="F628" s="114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4"/>
      <c r="T628" s="114"/>
      <c r="U628" s="114"/>
      <c r="V628" s="114"/>
      <c r="W628" s="114"/>
      <c r="X628" s="114"/>
      <c r="Y628" s="114"/>
    </row>
    <row r="629">
      <c r="A629" s="114"/>
      <c r="B629" s="114"/>
      <c r="C629" s="114"/>
      <c r="D629" s="114"/>
      <c r="E629" s="114"/>
      <c r="F629" s="114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4"/>
      <c r="T629" s="114"/>
      <c r="U629" s="114"/>
      <c r="V629" s="114"/>
      <c r="W629" s="114"/>
      <c r="X629" s="114"/>
      <c r="Y629" s="114"/>
    </row>
    <row r="630">
      <c r="A630" s="114"/>
      <c r="B630" s="114"/>
      <c r="C630" s="114"/>
      <c r="D630" s="114"/>
      <c r="E630" s="114"/>
      <c r="F630" s="114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4"/>
      <c r="T630" s="114"/>
      <c r="U630" s="114"/>
      <c r="V630" s="114"/>
      <c r="W630" s="114"/>
      <c r="X630" s="114"/>
      <c r="Y630" s="114"/>
    </row>
    <row r="631">
      <c r="A631" s="114"/>
      <c r="B631" s="114"/>
      <c r="C631" s="114"/>
      <c r="D631" s="114"/>
      <c r="E631" s="114"/>
      <c r="F631" s="114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4"/>
      <c r="T631" s="114"/>
      <c r="U631" s="114"/>
      <c r="V631" s="114"/>
      <c r="W631" s="114"/>
      <c r="X631" s="114"/>
      <c r="Y631" s="114"/>
    </row>
    <row r="632">
      <c r="A632" s="114"/>
      <c r="B632" s="114"/>
      <c r="C632" s="114"/>
      <c r="D632" s="114"/>
      <c r="E632" s="114"/>
      <c r="F632" s="114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4"/>
      <c r="T632" s="114"/>
      <c r="U632" s="114"/>
      <c r="V632" s="114"/>
      <c r="W632" s="114"/>
      <c r="X632" s="114"/>
      <c r="Y632" s="114"/>
    </row>
    <row r="633">
      <c r="A633" s="114"/>
      <c r="B633" s="114"/>
      <c r="C633" s="114"/>
      <c r="D633" s="114"/>
      <c r="E633" s="114"/>
      <c r="F633" s="114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4"/>
      <c r="T633" s="114"/>
      <c r="U633" s="114"/>
      <c r="V633" s="114"/>
      <c r="W633" s="114"/>
      <c r="X633" s="114"/>
      <c r="Y633" s="114"/>
    </row>
    <row r="634">
      <c r="A634" s="114"/>
      <c r="B634" s="114"/>
      <c r="C634" s="114"/>
      <c r="D634" s="114"/>
      <c r="E634" s="114"/>
      <c r="F634" s="114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4"/>
      <c r="T634" s="114"/>
      <c r="U634" s="114"/>
      <c r="V634" s="114"/>
      <c r="W634" s="114"/>
      <c r="X634" s="114"/>
      <c r="Y634" s="114"/>
    </row>
    <row r="635">
      <c r="A635" s="114"/>
      <c r="B635" s="114"/>
      <c r="C635" s="114"/>
      <c r="D635" s="114"/>
      <c r="E635" s="114"/>
      <c r="F635" s="114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4"/>
      <c r="T635" s="114"/>
      <c r="U635" s="114"/>
      <c r="V635" s="114"/>
      <c r="W635" s="114"/>
      <c r="X635" s="114"/>
      <c r="Y635" s="114"/>
    </row>
    <row r="636">
      <c r="A636" s="114"/>
      <c r="B636" s="114"/>
      <c r="C636" s="114"/>
      <c r="D636" s="114"/>
      <c r="E636" s="114"/>
      <c r="F636" s="114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4"/>
      <c r="T636" s="114"/>
      <c r="U636" s="114"/>
      <c r="V636" s="114"/>
      <c r="W636" s="114"/>
      <c r="X636" s="114"/>
      <c r="Y636" s="114"/>
    </row>
    <row r="637">
      <c r="A637" s="114"/>
      <c r="B637" s="114"/>
      <c r="C637" s="114"/>
      <c r="D637" s="114"/>
      <c r="E637" s="114"/>
      <c r="F637" s="114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4"/>
      <c r="T637" s="114"/>
      <c r="U637" s="114"/>
      <c r="V637" s="114"/>
      <c r="W637" s="114"/>
      <c r="X637" s="114"/>
      <c r="Y637" s="114"/>
    </row>
    <row r="638">
      <c r="A638" s="114"/>
      <c r="B638" s="114"/>
      <c r="C638" s="114"/>
      <c r="D638" s="114"/>
      <c r="E638" s="114"/>
      <c r="F638" s="114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4"/>
      <c r="T638" s="114"/>
      <c r="U638" s="114"/>
      <c r="V638" s="114"/>
      <c r="W638" s="114"/>
      <c r="X638" s="114"/>
      <c r="Y638" s="114"/>
    </row>
    <row r="639">
      <c r="A639" s="114"/>
      <c r="B639" s="114"/>
      <c r="C639" s="114"/>
      <c r="D639" s="114"/>
      <c r="E639" s="114"/>
      <c r="F639" s="114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4"/>
      <c r="T639" s="114"/>
      <c r="U639" s="114"/>
      <c r="V639" s="114"/>
      <c r="W639" s="114"/>
      <c r="X639" s="114"/>
      <c r="Y639" s="114"/>
    </row>
    <row r="640">
      <c r="A640" s="114"/>
      <c r="B640" s="114"/>
      <c r="C640" s="114"/>
      <c r="D640" s="114"/>
      <c r="E640" s="114"/>
      <c r="F640" s="114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4"/>
      <c r="T640" s="114"/>
      <c r="U640" s="114"/>
      <c r="V640" s="114"/>
      <c r="W640" s="114"/>
      <c r="X640" s="114"/>
      <c r="Y640" s="114"/>
    </row>
    <row r="641">
      <c r="A641" s="114"/>
      <c r="B641" s="114"/>
      <c r="C641" s="114"/>
      <c r="D641" s="114"/>
      <c r="E641" s="114"/>
      <c r="F641" s="114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4"/>
      <c r="T641" s="114"/>
      <c r="U641" s="114"/>
      <c r="V641" s="114"/>
      <c r="W641" s="114"/>
      <c r="X641" s="114"/>
      <c r="Y641" s="114"/>
    </row>
    <row r="642">
      <c r="A642" s="114"/>
      <c r="B642" s="114"/>
      <c r="C642" s="114"/>
      <c r="D642" s="114"/>
      <c r="E642" s="114"/>
      <c r="F642" s="114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4"/>
      <c r="T642" s="114"/>
      <c r="U642" s="114"/>
      <c r="V642" s="114"/>
      <c r="W642" s="114"/>
      <c r="X642" s="114"/>
      <c r="Y642" s="114"/>
    </row>
  </sheetData>
  <dataValidations>
    <dataValidation type="list" allowBlank="1" sqref="D74">
      <formula1>Menu!$B$20:$B$24</formula1>
    </dataValidation>
    <dataValidation type="list" allowBlank="1" sqref="E5:E7 E10 E15:E17 E19 E29 E31:E37 E41 E44:E45 E47:E48 E50 E52:E55 E57:E59 E61 E75:E76 E89 E119:E121">
      <formula1>Menu!$B$36:$B$60</formula1>
    </dataValidation>
    <dataValidation type="list" allowBlank="1" sqref="D126:D127">
      <formula1>#REF!</formula1>
    </dataValidation>
    <dataValidation type="list" allowBlank="1" sqref="F6:F7 F12 F15:F16 F31:F32 F41 F49 F58 F90 F121">
      <formula1>Menu!$B$74:$B$84</formula1>
    </dataValidation>
    <dataValidation type="list" allowBlank="1" sqref="C10 C17:C18 C20 C22:C23 C26 C29 C33:C38 C43:C45 C47:C50 C52:C57 C59:C70 C72:C76 C89:C91 C114 C119 C122">
      <formula1>Menu!$B$2:$B$16</formula1>
    </dataValidation>
    <dataValidation type="list" allowBlank="1" sqref="C5:C9 C11:C16 C19 C21 C24:C25 C27:C28 C30:C32 C39:C42 C46 C51 C58 C71 C120:C121">
      <formula1>Menu!$B$2:$B$15</formula1>
    </dataValidation>
    <dataValidation type="list" allowBlank="1" sqref="F8:F11 F13:F14 F17:F30 F33:F40 F42:F48 F50:F57 F59:F70 C77:C81 F72:F81 F89 F119:F120">
      <formula1>Menu!$B$74:$B$86</formula1>
    </dataValidation>
    <dataValidation type="list" allowBlank="1" sqref="E18 E43 E65:E66 E122">
      <formula1>Menu!$B$36:$B$60</formula1>
    </dataValidation>
    <dataValidation type="list" allowBlank="1" sqref="D20 D63:D64 D90">
      <formula1>Menu!$B$20:$B$28</formula1>
    </dataValidation>
    <dataValidation type="list" allowBlank="1" sqref="C126:C127">
      <formula1>#REF!</formula1>
    </dataValidation>
    <dataValidation type="list" allowBlank="1" sqref="D5:D10 D12:D17 D19 D21 D23:D32 D34:D42 D44:D53 D55:D56 D58:D62 D67:D73 D75:D76 D89 D91 D114 D119:D121">
      <formula1>Menu!$B$20:$B$27</formula1>
    </dataValidation>
    <dataValidation type="list" allowBlank="1" sqref="D11 D18 D43 D65:D66 D122">
      <formula1>Menu!$B$17:$B$27</formula1>
    </dataValidation>
    <dataValidation type="list" allowBlank="1" sqref="H5:H76">
      <formula1>Menu!$A$1</formula1>
    </dataValidation>
    <dataValidation type="list" allowBlank="1" sqref="E126:E127">
      <formula1>#REF!</formula1>
    </dataValidation>
    <dataValidation type="list" allowBlank="1" sqref="E8:E9 E11:E14 E20:E28 E30 E38:E40 E42 E46 E49 E51 E56 E60 E62:E64 E67:E74 E90:E91 E114">
      <formula1>Menu!$B$36:$B$61</formula1>
    </dataValidation>
    <dataValidation type="list" allowBlank="1" sqref="D22 D33 D54 D57">
      <formula1>Menu!$B$21:$B$27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5.38"/>
    <col customWidth="1" min="3" max="3" width="15.5"/>
    <col customWidth="1" min="4" max="4" width="16.5"/>
    <col customWidth="1" min="5" max="5" width="17.75"/>
    <col customWidth="1" min="6" max="6" width="15.88"/>
    <col customWidth="1" min="7" max="7" width="25.5"/>
    <col customWidth="1" min="9" max="9" width="21.13"/>
    <col customWidth="1" min="10" max="10" width="5.0"/>
    <col customWidth="1" min="11" max="11" width="9.25"/>
    <col customWidth="1" min="12" max="12" width="10.13"/>
    <col customWidth="1" min="14" max="14" width="16.63"/>
  </cols>
  <sheetData>
    <row r="1" ht="30.0" customHeight="1">
      <c r="A1" s="9" t="s">
        <v>2</v>
      </c>
      <c r="B1" s="9"/>
      <c r="C1" s="9"/>
      <c r="D1" s="9"/>
      <c r="E1" s="9"/>
      <c r="F1" s="9"/>
      <c r="G1" s="111"/>
      <c r="H1" s="111"/>
      <c r="I1" s="112"/>
      <c r="J1" s="112"/>
      <c r="K1" s="112"/>
      <c r="L1" s="112"/>
      <c r="M1" s="112"/>
      <c r="N1" s="112"/>
      <c r="O1" s="112"/>
      <c r="P1" s="112"/>
      <c r="Q1" s="114"/>
      <c r="R1" s="114"/>
      <c r="S1" s="114"/>
      <c r="T1" s="114"/>
      <c r="U1" s="114"/>
      <c r="V1" s="114"/>
      <c r="W1" s="114"/>
      <c r="X1" s="114"/>
      <c r="Y1" s="114"/>
    </row>
    <row r="2" ht="30.0" customHeight="1">
      <c r="A2" s="115" t="s">
        <v>43</v>
      </c>
      <c r="B2" s="116"/>
      <c r="C2" s="116"/>
      <c r="D2" s="9"/>
      <c r="E2" s="9"/>
      <c r="F2" s="9"/>
      <c r="G2" s="111"/>
      <c r="H2" s="111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4"/>
    </row>
    <row r="3" ht="30.0" customHeight="1">
      <c r="A3" s="24" t="s">
        <v>28</v>
      </c>
      <c r="B3" s="6"/>
      <c r="C3" s="6"/>
      <c r="D3" s="6"/>
      <c r="E3" s="6"/>
      <c r="F3" s="6"/>
      <c r="G3" s="111"/>
      <c r="H3" s="111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</row>
    <row r="4" ht="30.0" customHeight="1">
      <c r="A4" s="29" t="s">
        <v>38</v>
      </c>
      <c r="B4" s="29"/>
      <c r="C4" s="29" t="s">
        <v>50</v>
      </c>
      <c r="D4" s="120" t="s">
        <v>42</v>
      </c>
      <c r="E4" s="30" t="s">
        <v>45</v>
      </c>
      <c r="F4" s="30" t="s">
        <v>53</v>
      </c>
      <c r="G4" s="160"/>
      <c r="H4" s="160"/>
      <c r="I4" s="161" t="str">
        <f>IFERROR(__xludf.DUMMYFUNCTION("QUERY(A5:H105, ""Select C, count(A), H group by C, H order by H"")"),"")</f>
        <v/>
      </c>
      <c r="J4" s="162" t="str">
        <f>IFERROR(__xludf.DUMMYFUNCTION("""COMPUTED_VALUE"""),"count ")</f>
        <v>count </v>
      </c>
      <c r="K4" s="162" t="str">
        <f>IFERROR(__xludf.DUMMYFUNCTION("""COMPUTED_VALUE"""),"")</f>
        <v/>
      </c>
      <c r="L4" s="161" t="str">
        <f>IFERROR(__xludf.DUMMYFUNCTION("QUERY(A5:H105, ""Select D, count(A), H group by D, H order by H"")"),"")</f>
        <v/>
      </c>
      <c r="M4" s="162" t="str">
        <f>IFERROR(__xludf.DUMMYFUNCTION("""COMPUTED_VALUE"""),"count ")</f>
        <v>count </v>
      </c>
      <c r="N4" s="162" t="str">
        <f>IFERROR(__xludf.DUMMYFUNCTION("""COMPUTED_VALUE"""),"")</f>
        <v/>
      </c>
      <c r="O4" s="162"/>
      <c r="P4" s="162"/>
      <c r="Q4" s="163"/>
      <c r="R4" s="163"/>
      <c r="S4" s="163"/>
      <c r="T4" s="163"/>
      <c r="U4" s="163"/>
      <c r="V4" s="163"/>
      <c r="W4" s="163"/>
      <c r="X4" s="163"/>
      <c r="Y4" s="163"/>
    </row>
    <row r="5" ht="30.0" customHeight="1">
      <c r="A5" s="43" t="s">
        <v>60</v>
      </c>
      <c r="B5" s="43">
        <v>1.0</v>
      </c>
      <c r="C5" s="129" t="s">
        <v>32</v>
      </c>
      <c r="D5" s="47" t="s">
        <v>105</v>
      </c>
      <c r="E5" s="47" t="s">
        <v>79</v>
      </c>
      <c r="F5" s="47" t="s">
        <v>98</v>
      </c>
      <c r="G5" s="121" t="str">
        <f t="shared" ref="G5:G93" si="1"> CONCATENATE(E5," ", F5)</f>
        <v>Чалахач Картошка</v>
      </c>
      <c r="H5" s="128" t="s">
        <v>1</v>
      </c>
      <c r="I5" s="112"/>
      <c r="J5" s="112">
        <f>IFERROR(__xludf.DUMMYFUNCTION("""COMPUTED_VALUE"""),0.0)</f>
        <v>0</v>
      </c>
      <c r="K5" s="112"/>
      <c r="L5" s="112"/>
      <c r="M5" s="112">
        <f>IFERROR(__xludf.DUMMYFUNCTION("""COMPUTED_VALUE"""),0.0)</f>
        <v>0</v>
      </c>
      <c r="N5" s="112"/>
      <c r="O5" s="112"/>
      <c r="P5" s="112"/>
      <c r="Q5" s="114"/>
      <c r="R5" s="114"/>
      <c r="S5" s="114"/>
      <c r="T5" s="114"/>
      <c r="U5" s="114"/>
      <c r="V5" s="114"/>
      <c r="W5" s="114"/>
      <c r="X5" s="114"/>
      <c r="Y5" s="114"/>
    </row>
    <row r="6" ht="30.0" customHeight="1">
      <c r="A6" s="43" t="s">
        <v>575</v>
      </c>
      <c r="B6" s="43">
        <v>2.0</v>
      </c>
      <c r="C6" s="47" t="s">
        <v>16</v>
      </c>
      <c r="D6" s="47" t="s">
        <v>78</v>
      </c>
      <c r="E6" s="47" t="s">
        <v>79</v>
      </c>
      <c r="F6" s="47" t="s">
        <v>80</v>
      </c>
      <c r="G6" s="121" t="str">
        <f t="shared" si="1"/>
        <v>Чалахач Гр  </v>
      </c>
      <c r="H6" s="128" t="s">
        <v>1</v>
      </c>
      <c r="I6" s="112"/>
      <c r="J6" s="112">
        <f>IFERROR(__xludf.DUMMYFUNCTION("""COMPUTED_VALUE"""),2.0)</f>
        <v>2</v>
      </c>
      <c r="K6" s="112" t="str">
        <f>IFERROR(__xludf.DUMMYFUNCTION("""COMPUTED_VALUE"""),"Олимп")</f>
        <v>Олимп</v>
      </c>
      <c r="L6" s="112"/>
      <c r="M6" s="112">
        <f>IFERROR(__xludf.DUMMYFUNCTION("""COMPUTED_VALUE"""),2.0)</f>
        <v>2</v>
      </c>
      <c r="N6" s="112" t="str">
        <f>IFERROR(__xludf.DUMMYFUNCTION("""COMPUTED_VALUE"""),"Олимп")</f>
        <v>Олимп</v>
      </c>
      <c r="O6" s="112"/>
      <c r="P6" s="112"/>
      <c r="Q6" s="114"/>
      <c r="R6" s="114"/>
      <c r="S6" s="114"/>
      <c r="T6" s="114"/>
      <c r="U6" s="114"/>
      <c r="V6" s="114"/>
      <c r="W6" s="114"/>
      <c r="X6" s="114"/>
      <c r="Y6" s="114"/>
    </row>
    <row r="7" ht="30.0" customHeight="1">
      <c r="A7" s="43" t="s">
        <v>111</v>
      </c>
      <c r="B7" s="43">
        <v>3.0</v>
      </c>
      <c r="C7" s="47" t="s">
        <v>16</v>
      </c>
      <c r="D7" s="47" t="s">
        <v>105</v>
      </c>
      <c r="E7" s="47" t="s">
        <v>126</v>
      </c>
      <c r="F7" s="47" t="s">
        <v>80</v>
      </c>
      <c r="G7" s="121" t="str">
        <f t="shared" si="1"/>
        <v>S   Гр  </v>
      </c>
      <c r="H7" s="128" t="s">
        <v>1</v>
      </c>
      <c r="I7" s="112" t="str">
        <f>IFERROR(__xludf.DUMMYFUNCTION("""COMPUTED_VALUE"""),"Весна")</f>
        <v>Весна</v>
      </c>
      <c r="J7" s="112">
        <f>IFERROR(__xludf.DUMMYFUNCTION("""COMPUTED_VALUE"""),6.0)</f>
        <v>6</v>
      </c>
      <c r="K7" s="112" t="str">
        <f>IFERROR(__xludf.DUMMYFUNCTION("""COMPUTED_VALUE"""),"Олимп")</f>
        <v>Олимп</v>
      </c>
      <c r="L7" s="112" t="str">
        <f>IFERROR(__xludf.DUMMYFUNCTION("""COMPUTED_VALUE"""),"3.Б")</f>
        <v>3.Б</v>
      </c>
      <c r="M7" s="112">
        <f>IFERROR(__xludf.DUMMYFUNCTION("""COMPUTED_VALUE"""),16.0)</f>
        <v>16</v>
      </c>
      <c r="N7" s="112" t="str">
        <f>IFERROR(__xludf.DUMMYFUNCTION("""COMPUTED_VALUE"""),"Олимп")</f>
        <v>Олимп</v>
      </c>
      <c r="O7" s="112"/>
      <c r="P7" s="112"/>
      <c r="Q7" s="114"/>
      <c r="R7" s="114"/>
      <c r="S7" s="114"/>
      <c r="T7" s="114"/>
      <c r="U7" s="114"/>
      <c r="V7" s="114"/>
      <c r="W7" s="114"/>
      <c r="X7" s="114"/>
      <c r="Y7" s="114"/>
    </row>
    <row r="8" ht="30.0" customHeight="1">
      <c r="A8" s="43" t="s">
        <v>131</v>
      </c>
      <c r="B8" s="43">
        <v>4.0</v>
      </c>
      <c r="C8" s="47" t="s">
        <v>47</v>
      </c>
      <c r="D8" s="47" t="s">
        <v>85</v>
      </c>
      <c r="E8" s="47" t="s">
        <v>126</v>
      </c>
      <c r="F8" s="47" t="s">
        <v>113</v>
      </c>
      <c r="G8" s="121" t="str">
        <f t="shared" si="1"/>
        <v>S    FF</v>
      </c>
      <c r="H8" s="128" t="s">
        <v>1</v>
      </c>
      <c r="I8" s="112" t="str">
        <f>IFERROR(__xludf.DUMMYFUNCTION("""COMPUTED_VALUE"""),"Вин")</f>
        <v>Вин</v>
      </c>
      <c r="J8" s="112">
        <f>IFERROR(__xludf.DUMMYFUNCTION("""COMPUTED_VALUE"""),25.0)</f>
        <v>25</v>
      </c>
      <c r="K8" s="112" t="str">
        <f>IFERROR(__xludf.DUMMYFUNCTION("""COMPUTED_VALUE"""),"Олимп")</f>
        <v>Олимп</v>
      </c>
      <c r="L8" s="112" t="str">
        <f>IFERROR(__xludf.DUMMYFUNCTION("""COMPUTED_VALUE"""),"Б ")</f>
        <v>Б </v>
      </c>
      <c r="M8" s="112">
        <f>IFERROR(__xludf.DUMMYFUNCTION("""COMPUTED_VALUE"""),23.0)</f>
        <v>23</v>
      </c>
      <c r="N8" s="112" t="str">
        <f>IFERROR(__xludf.DUMMYFUNCTION("""COMPUTED_VALUE"""),"Олимп")</f>
        <v>Олимп</v>
      </c>
      <c r="O8" s="112"/>
      <c r="P8" s="112"/>
      <c r="Q8" s="114"/>
      <c r="R8" s="114"/>
      <c r="S8" s="114"/>
      <c r="T8" s="114"/>
      <c r="U8" s="114"/>
      <c r="V8" s="114"/>
      <c r="W8" s="114"/>
      <c r="X8" s="114"/>
      <c r="Y8" s="114"/>
    </row>
    <row r="9" ht="30.0" customHeight="1">
      <c r="A9" s="43" t="s">
        <v>139</v>
      </c>
      <c r="B9" s="43">
        <v>5.0</v>
      </c>
      <c r="C9" s="47" t="s">
        <v>62</v>
      </c>
      <c r="D9" s="47" t="s">
        <v>105</v>
      </c>
      <c r="E9" s="47" t="s">
        <v>187</v>
      </c>
      <c r="F9" s="47" t="s">
        <v>80</v>
      </c>
      <c r="G9" s="121" t="str">
        <f t="shared" si="1"/>
        <v>Котл. кур Гр  </v>
      </c>
      <c r="H9" s="128" t="s">
        <v>1</v>
      </c>
      <c r="I9" s="112" t="str">
        <f>IFERROR(__xludf.DUMMYFUNCTION("""COMPUTED_VALUE"""),"Днестр")</f>
        <v>Днестр</v>
      </c>
      <c r="J9" s="112">
        <f>IFERROR(__xludf.DUMMYFUNCTION("""COMPUTED_VALUE"""),4.0)</f>
        <v>4</v>
      </c>
      <c r="K9" s="112" t="str">
        <f>IFERROR(__xludf.DUMMYFUNCTION("""COMPUTED_VALUE"""),"Олимп")</f>
        <v>Олимп</v>
      </c>
      <c r="L9" s="112" t="str">
        <f>IFERROR(__xludf.DUMMYFUNCTION("""COMPUTED_VALUE"""),"Горох")</f>
        <v>Горох</v>
      </c>
      <c r="M9" s="112">
        <f>IFERROR(__xludf.DUMMYFUNCTION("""COMPUTED_VALUE"""),7.0)</f>
        <v>7</v>
      </c>
      <c r="N9" s="112" t="str">
        <f>IFERROR(__xludf.DUMMYFUNCTION("""COMPUTED_VALUE"""),"Олимп")</f>
        <v>Олимп</v>
      </c>
      <c r="O9" s="112"/>
      <c r="P9" s="112"/>
      <c r="Q9" s="114"/>
      <c r="R9" s="114"/>
      <c r="S9" s="114"/>
      <c r="T9" s="114"/>
      <c r="U9" s="114"/>
      <c r="V9" s="114"/>
      <c r="W9" s="114"/>
      <c r="X9" s="114"/>
      <c r="Y9" s="114"/>
    </row>
    <row r="10" ht="30.0" customHeight="1">
      <c r="A10" s="43" t="s">
        <v>578</v>
      </c>
      <c r="B10" s="43">
        <v>6.0</v>
      </c>
      <c r="C10" s="47" t="s">
        <v>16</v>
      </c>
      <c r="D10" s="47" t="s">
        <v>105</v>
      </c>
      <c r="E10" s="47" t="s">
        <v>191</v>
      </c>
      <c r="F10" s="47" t="s">
        <v>80</v>
      </c>
      <c r="G10" s="121" t="str">
        <f t="shared" si="1"/>
        <v>крылья Гр  </v>
      </c>
      <c r="H10" s="128" t="s">
        <v>1</v>
      </c>
      <c r="I10" s="112" t="str">
        <f>IFERROR(__xludf.DUMMYFUNCTION("""COMPUTED_VALUE"""),"Ол ")</f>
        <v>Ол </v>
      </c>
      <c r="J10" s="112">
        <f>IFERROR(__xludf.DUMMYFUNCTION("""COMPUTED_VALUE"""),9.0)</f>
        <v>9</v>
      </c>
      <c r="K10" s="112" t="str">
        <f>IFERROR(__xludf.DUMMYFUNCTION("""COMPUTED_VALUE"""),"Олимп")</f>
        <v>Олимп</v>
      </c>
      <c r="L10" s="112" t="str">
        <f>IFERROR(__xludf.DUMMYFUNCTION("""COMPUTED_VALUE"""),"Гриб")</f>
        <v>Гриб</v>
      </c>
      <c r="M10" s="112">
        <f>IFERROR(__xludf.DUMMYFUNCTION("""COMPUTED_VALUE"""),12.0)</f>
        <v>12</v>
      </c>
      <c r="N10" s="112" t="str">
        <f>IFERROR(__xludf.DUMMYFUNCTION("""COMPUTED_VALUE"""),"Олимп")</f>
        <v>Олимп</v>
      </c>
      <c r="O10" s="112"/>
      <c r="P10" s="112"/>
      <c r="Q10" s="114"/>
      <c r="R10" s="114"/>
      <c r="S10" s="114"/>
      <c r="T10" s="114"/>
      <c r="U10" s="114"/>
      <c r="V10" s="114"/>
      <c r="W10" s="114"/>
      <c r="X10" s="114"/>
      <c r="Y10" s="114"/>
    </row>
    <row r="11" ht="30.0" customHeight="1">
      <c r="A11" s="43" t="s">
        <v>184</v>
      </c>
      <c r="B11" s="43">
        <v>7.0</v>
      </c>
      <c r="C11" s="47" t="s">
        <v>47</v>
      </c>
      <c r="D11" s="47" t="s">
        <v>78</v>
      </c>
      <c r="E11" s="47" t="s">
        <v>79</v>
      </c>
      <c r="F11" s="47" t="s">
        <v>127</v>
      </c>
      <c r="G11" s="121" t="str">
        <f t="shared" si="1"/>
        <v>Чалахач MP </v>
      </c>
      <c r="H11" s="128" t="s">
        <v>1</v>
      </c>
      <c r="I11" s="112" t="str">
        <f>IFERROR(__xludf.DUMMYFUNCTION("""COMPUTED_VALUE"""),"Сало")</f>
        <v>Сало</v>
      </c>
      <c r="J11" s="112">
        <f>IFERROR(__xludf.DUMMYFUNCTION("""COMPUTED_VALUE"""),8.0)</f>
        <v>8</v>
      </c>
      <c r="K11" s="112" t="str">
        <f>IFERROR(__xludf.DUMMYFUNCTION("""COMPUTED_VALUE"""),"Олимп")</f>
        <v>Олимп</v>
      </c>
      <c r="L11" s="112" t="str">
        <f>IFERROR(__xludf.DUMMYFUNCTION("""COMPUTED_VALUE"""),"Кур ")</f>
        <v>Кур </v>
      </c>
      <c r="M11" s="112">
        <f>IFERROR(__xludf.DUMMYFUNCTION("""COMPUTED_VALUE"""),21.0)</f>
        <v>21</v>
      </c>
      <c r="N11" s="112" t="str">
        <f>IFERROR(__xludf.DUMMYFUNCTION("""COMPUTED_VALUE"""),"Олимп")</f>
        <v>Олимп</v>
      </c>
      <c r="O11" s="112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 ht="30.0" customHeight="1">
      <c r="A12" s="80" t="s">
        <v>369</v>
      </c>
      <c r="B12" s="43">
        <v>8.0</v>
      </c>
      <c r="C12" s="47" t="s">
        <v>16</v>
      </c>
      <c r="D12" s="47" t="s">
        <v>65</v>
      </c>
      <c r="E12" s="47" t="s">
        <v>204</v>
      </c>
      <c r="F12" s="47" t="s">
        <v>80</v>
      </c>
      <c r="G12" s="121" t="str">
        <f t="shared" si="1"/>
        <v>Св. отбив   Гр  </v>
      </c>
      <c r="H12" s="128" t="s">
        <v>1</v>
      </c>
      <c r="I12" s="112" t="str">
        <f>IFERROR(__xludf.DUMMYFUNCTION("""COMPUTED_VALUE"""),"Свкл")</f>
        <v>Свкл</v>
      </c>
      <c r="J12" s="112">
        <f>IFERROR(__xludf.DUMMYFUNCTION("""COMPUTED_VALUE"""),12.0)</f>
        <v>12</v>
      </c>
      <c r="K12" s="112" t="str">
        <f>IFERROR(__xludf.DUMMYFUNCTION("""COMPUTED_VALUE"""),"Олимп")</f>
        <v>Олимп</v>
      </c>
      <c r="L12" s="112" t="str">
        <f>IFERROR(__xludf.DUMMYFUNCTION("""COMPUTED_VALUE"""),"Овощ")</f>
        <v>Овощ</v>
      </c>
      <c r="M12" s="112">
        <f>IFERROR(__xludf.DUMMYFUNCTION("""COMPUTED_VALUE"""),3.0)</f>
        <v>3</v>
      </c>
      <c r="N12" s="112" t="str">
        <f>IFERROR(__xludf.DUMMYFUNCTION("""COMPUTED_VALUE"""),"Олимп")</f>
        <v>Олимп</v>
      </c>
      <c r="O12" s="112"/>
      <c r="P12" s="112"/>
      <c r="Q12" s="114"/>
      <c r="R12" s="114"/>
      <c r="S12" s="114"/>
      <c r="T12" s="114"/>
      <c r="U12" s="114"/>
      <c r="V12" s="114"/>
      <c r="W12" s="114"/>
      <c r="X12" s="114"/>
      <c r="Y12" s="114"/>
    </row>
    <row r="13" ht="30.0" customHeight="1">
      <c r="A13" s="68" t="s">
        <v>579</v>
      </c>
      <c r="B13" s="43">
        <v>9.0</v>
      </c>
      <c r="C13" s="47" t="s">
        <v>62</v>
      </c>
      <c r="D13" s="47" t="s">
        <v>87</v>
      </c>
      <c r="E13" s="47" t="s">
        <v>187</v>
      </c>
      <c r="F13" s="47" t="s">
        <v>127</v>
      </c>
      <c r="G13" s="121" t="str">
        <f t="shared" si="1"/>
        <v>Котл. кур MP </v>
      </c>
      <c r="H13" s="128" t="s">
        <v>1</v>
      </c>
      <c r="I13" s="112" t="str">
        <f>IFERROR(__xludf.DUMMYFUNCTION("""COMPUTED_VALUE"""),"Селедка")</f>
        <v>Селедка</v>
      </c>
      <c r="J13" s="112">
        <f>IFERROR(__xludf.DUMMYFUNCTION("""COMPUTED_VALUE"""),7.0)</f>
        <v>7</v>
      </c>
      <c r="K13" s="112" t="str">
        <f>IFERROR(__xludf.DUMMYFUNCTION("""COMPUTED_VALUE"""),"Олимп")</f>
        <v>Олимп</v>
      </c>
      <c r="L13" s="112" t="str">
        <f>IFERROR(__xludf.DUMMYFUNCTION("""COMPUTED_VALUE"""),"Харчо ")</f>
        <v>Харчо </v>
      </c>
      <c r="M13" s="112">
        <f>IFERROR(__xludf.DUMMYFUNCTION("""COMPUTED_VALUE"""),5.0)</f>
        <v>5</v>
      </c>
      <c r="N13" s="112" t="str">
        <f>IFERROR(__xludf.DUMMYFUNCTION("""COMPUTED_VALUE"""),"Олимп")</f>
        <v>Олимп</v>
      </c>
      <c r="O13" s="112"/>
      <c r="P13" s="112"/>
      <c r="Q13" s="114"/>
      <c r="R13" s="114"/>
      <c r="S13" s="114"/>
      <c r="T13" s="114"/>
      <c r="U13" s="114"/>
      <c r="V13" s="114"/>
      <c r="W13" s="114"/>
      <c r="X13" s="114"/>
      <c r="Y13" s="114"/>
    </row>
    <row r="14" ht="30.0" customHeight="1">
      <c r="A14" s="43" t="s">
        <v>205</v>
      </c>
      <c r="B14" s="43">
        <v>10.0</v>
      </c>
      <c r="C14" s="47" t="s">
        <v>16</v>
      </c>
      <c r="D14" s="47" t="s">
        <v>105</v>
      </c>
      <c r="E14" s="47" t="s">
        <v>209</v>
      </c>
      <c r="F14" s="47" t="s">
        <v>80</v>
      </c>
      <c r="G14" s="121" t="str">
        <f t="shared" si="1"/>
        <v>Шницель Гр  </v>
      </c>
      <c r="H14" s="128" t="s">
        <v>1</v>
      </c>
      <c r="I14" s="112" t="str">
        <f>IFERROR(__xludf.DUMMYFUNCTION("""COMPUTED_VALUE"""),"баклаж")</f>
        <v>баклаж</v>
      </c>
      <c r="J14" s="112">
        <f>IFERROR(__xludf.DUMMYFUNCTION("""COMPUTED_VALUE"""),9.0)</f>
        <v>9</v>
      </c>
      <c r="K14" s="112" t="str">
        <f>IFERROR(__xludf.DUMMYFUNCTION("""COMPUTED_VALUE"""),"Олимп")</f>
        <v>Олимп</v>
      </c>
      <c r="L14" s="112"/>
      <c r="M14" s="112"/>
      <c r="N14" s="112"/>
      <c r="O14" s="112"/>
      <c r="P14" s="112"/>
      <c r="Q14" s="114"/>
      <c r="R14" s="114"/>
      <c r="S14" s="114"/>
      <c r="T14" s="114"/>
      <c r="U14" s="114"/>
      <c r="V14" s="114"/>
      <c r="W14" s="114"/>
      <c r="X14" s="114"/>
      <c r="Y14" s="114"/>
    </row>
    <row r="15" ht="30.0" customHeight="1">
      <c r="A15" s="132" t="s">
        <v>387</v>
      </c>
      <c r="B15" s="43">
        <v>11.0</v>
      </c>
      <c r="C15" s="129" t="s">
        <v>57</v>
      </c>
      <c r="D15" s="47" t="s">
        <v>87</v>
      </c>
      <c r="E15" s="129" t="s">
        <v>126</v>
      </c>
      <c r="F15" s="97" t="s">
        <v>127</v>
      </c>
      <c r="G15" s="121" t="str">
        <f t="shared" si="1"/>
        <v>S   MP </v>
      </c>
      <c r="H15" s="128" t="s">
        <v>1</v>
      </c>
      <c r="I15" s="112" t="str">
        <f>IFERROR(__xludf.DUMMYFUNCTION("""COMPUTED_VALUE"""),"капуста")</f>
        <v>капуста</v>
      </c>
      <c r="J15" s="112">
        <f>IFERROR(__xludf.DUMMYFUNCTION("""COMPUTED_VALUE"""),7.0)</f>
        <v>7</v>
      </c>
      <c r="K15" s="112" t="str">
        <f>IFERROR(__xludf.DUMMYFUNCTION("""COMPUTED_VALUE"""),"Олимп")</f>
        <v>Олимп</v>
      </c>
      <c r="L15" s="112"/>
      <c r="M15" s="112"/>
      <c r="N15" s="112"/>
      <c r="O15" s="112"/>
      <c r="P15" s="112"/>
      <c r="Q15" s="114"/>
      <c r="R15" s="114"/>
      <c r="S15" s="114"/>
      <c r="T15" s="114"/>
      <c r="U15" s="114"/>
      <c r="V15" s="114"/>
      <c r="W15" s="114"/>
      <c r="X15" s="114"/>
      <c r="Y15" s="114"/>
    </row>
    <row r="16" ht="30.0" customHeight="1">
      <c r="A16" s="43" t="s">
        <v>202</v>
      </c>
      <c r="B16" s="43">
        <v>12.0</v>
      </c>
      <c r="C16" s="47" t="s">
        <v>62</v>
      </c>
      <c r="D16" s="47" t="s">
        <v>117</v>
      </c>
      <c r="E16" s="47" t="s">
        <v>191</v>
      </c>
      <c r="F16" s="47"/>
      <c r="G16" s="121" t="str">
        <f t="shared" si="1"/>
        <v>крылья </v>
      </c>
      <c r="H16" s="128" t="s">
        <v>1</v>
      </c>
      <c r="I16" s="112"/>
      <c r="J16" s="112"/>
      <c r="K16" s="112"/>
      <c r="L16" s="112"/>
      <c r="M16" s="112"/>
      <c r="N16" s="112"/>
      <c r="O16" s="112"/>
      <c r="P16" s="112"/>
      <c r="Q16" s="114"/>
      <c r="R16" s="114"/>
      <c r="S16" s="114"/>
      <c r="T16" s="114"/>
      <c r="U16" s="114"/>
      <c r="V16" s="114"/>
      <c r="W16" s="114"/>
      <c r="X16" s="114"/>
      <c r="Y16" s="114"/>
    </row>
    <row r="17" ht="30.0" customHeight="1">
      <c r="A17" s="43" t="s">
        <v>395</v>
      </c>
      <c r="B17" s="43">
        <v>13.0</v>
      </c>
      <c r="C17" s="47" t="s">
        <v>12</v>
      </c>
      <c r="D17" s="47" t="s">
        <v>85</v>
      </c>
      <c r="E17" s="47" t="s">
        <v>79</v>
      </c>
      <c r="F17" s="47" t="s">
        <v>272</v>
      </c>
      <c r="G17" s="121" t="str">
        <f t="shared" si="1"/>
        <v>Чалахач Паста  </v>
      </c>
      <c r="H17" s="128" t="s">
        <v>1</v>
      </c>
      <c r="I17" s="112"/>
      <c r="J17" s="112"/>
      <c r="K17" s="112"/>
      <c r="L17" s="112"/>
      <c r="M17" s="112"/>
      <c r="N17" s="112"/>
      <c r="O17" s="112"/>
      <c r="P17" s="112"/>
      <c r="Q17" s="114"/>
      <c r="R17" s="114"/>
      <c r="S17" s="114"/>
      <c r="T17" s="114"/>
      <c r="U17" s="114"/>
      <c r="V17" s="114"/>
      <c r="W17" s="114"/>
      <c r="X17" s="114"/>
      <c r="Y17" s="114"/>
    </row>
    <row r="18" ht="30.0" customHeight="1">
      <c r="A18" s="43" t="s">
        <v>407</v>
      </c>
      <c r="B18" s="43">
        <v>14.0</v>
      </c>
      <c r="C18" s="47" t="s">
        <v>57</v>
      </c>
      <c r="D18" s="47" t="s">
        <v>85</v>
      </c>
      <c r="E18" s="47" t="s">
        <v>173</v>
      </c>
      <c r="F18" s="47" t="s">
        <v>127</v>
      </c>
      <c r="G18" s="121" t="str">
        <f t="shared" si="1"/>
        <v>Дорадо MP </v>
      </c>
      <c r="H18" s="128" t="s">
        <v>1</v>
      </c>
      <c r="I18" s="112"/>
      <c r="J18" s="112"/>
      <c r="K18" s="112"/>
      <c r="L18" s="112"/>
      <c r="M18" s="112"/>
      <c r="N18" s="112"/>
      <c r="O18" s="112"/>
      <c r="P18" s="112"/>
      <c r="Q18" s="114"/>
      <c r="R18" s="114"/>
      <c r="S18" s="114"/>
      <c r="T18" s="114"/>
      <c r="U18" s="114"/>
      <c r="V18" s="114"/>
      <c r="W18" s="114"/>
      <c r="X18" s="114"/>
      <c r="Y18" s="114"/>
    </row>
    <row r="19" ht="30.0" customHeight="1">
      <c r="A19" s="43" t="s">
        <v>213</v>
      </c>
      <c r="B19" s="43">
        <v>15.0</v>
      </c>
      <c r="C19" s="47" t="s">
        <v>16</v>
      </c>
      <c r="D19" s="129" t="s">
        <v>78</v>
      </c>
      <c r="E19" s="47" t="s">
        <v>222</v>
      </c>
      <c r="F19" s="47"/>
      <c r="G19" s="121" t="str">
        <f t="shared" si="1"/>
        <v>Чебуреки  </v>
      </c>
      <c r="H19" s="128" t="s">
        <v>1</v>
      </c>
      <c r="I19" s="112"/>
      <c r="J19" s="112"/>
      <c r="K19" s="112"/>
      <c r="L19" s="112"/>
      <c r="M19" s="112"/>
      <c r="N19" s="112"/>
      <c r="O19" s="112"/>
      <c r="P19" s="112"/>
      <c r="Q19" s="114"/>
      <c r="R19" s="114"/>
      <c r="S19" s="114"/>
      <c r="T19" s="114"/>
      <c r="U19" s="114"/>
      <c r="V19" s="114"/>
      <c r="W19" s="114"/>
      <c r="X19" s="114"/>
      <c r="Y19" s="114"/>
    </row>
    <row r="20" ht="30.0" customHeight="1">
      <c r="A20" s="43" t="s">
        <v>424</v>
      </c>
      <c r="B20" s="43">
        <v>16.0</v>
      </c>
      <c r="C20" s="47" t="s">
        <v>57</v>
      </c>
      <c r="D20" s="47" t="s">
        <v>87</v>
      </c>
      <c r="E20" s="47" t="s">
        <v>173</v>
      </c>
      <c r="F20" s="47" t="s">
        <v>122</v>
      </c>
      <c r="G20" s="121" t="str">
        <f t="shared" si="1"/>
        <v>Дорадо Туш. кап.</v>
      </c>
      <c r="H20" s="128" t="s">
        <v>1</v>
      </c>
      <c r="I20" s="19"/>
      <c r="J20" s="152"/>
      <c r="K20" s="112"/>
      <c r="L20" s="112"/>
      <c r="M20" s="112"/>
      <c r="N20" s="112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</row>
    <row r="21" ht="30.0" customHeight="1">
      <c r="A21" s="43" t="s">
        <v>427</v>
      </c>
      <c r="B21" s="43">
        <v>17.0</v>
      </c>
      <c r="C21" s="47" t="s">
        <v>57</v>
      </c>
      <c r="D21" s="47" t="s">
        <v>85</v>
      </c>
      <c r="E21" s="47" t="s">
        <v>97</v>
      </c>
      <c r="F21" s="47" t="s">
        <v>272</v>
      </c>
      <c r="G21" s="121" t="str">
        <f t="shared" si="1"/>
        <v>Терияки Паста  </v>
      </c>
      <c r="H21" s="128" t="s">
        <v>1</v>
      </c>
      <c r="I21" s="19"/>
      <c r="J21" s="152"/>
      <c r="K21" s="112"/>
      <c r="L21" s="112"/>
      <c r="M21" s="112"/>
      <c r="N21" s="112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</row>
    <row r="22" ht="30.0" customHeight="1">
      <c r="A22" s="43" t="s">
        <v>435</v>
      </c>
      <c r="B22" s="43">
        <v>18.0</v>
      </c>
      <c r="C22" s="47" t="s">
        <v>16</v>
      </c>
      <c r="D22" s="47" t="s">
        <v>87</v>
      </c>
      <c r="E22" s="47" t="s">
        <v>161</v>
      </c>
      <c r="F22" s="47"/>
      <c r="G22" s="121" t="str">
        <f t="shared" si="1"/>
        <v>Вар.Кар </v>
      </c>
      <c r="H22" s="128" t="s">
        <v>1</v>
      </c>
      <c r="I22" s="19"/>
      <c r="J22" s="112"/>
      <c r="K22" s="112"/>
      <c r="L22" s="112"/>
      <c r="M22" s="112"/>
      <c r="N22" s="112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</row>
    <row r="23" ht="30.0" customHeight="1">
      <c r="A23" s="43" t="s">
        <v>239</v>
      </c>
      <c r="B23" s="43">
        <v>19.0</v>
      </c>
      <c r="C23" s="47" t="s">
        <v>16</v>
      </c>
      <c r="D23" s="47" t="s">
        <v>117</v>
      </c>
      <c r="E23" s="47" t="s">
        <v>126</v>
      </c>
      <c r="F23" s="47" t="s">
        <v>80</v>
      </c>
      <c r="G23" s="121" t="str">
        <f t="shared" si="1"/>
        <v>S   Гр  </v>
      </c>
      <c r="H23" s="128" t="s">
        <v>1</v>
      </c>
      <c r="I23" s="19"/>
      <c r="J23" s="112"/>
      <c r="K23" s="112"/>
      <c r="L23" s="112"/>
      <c r="M23" s="112"/>
      <c r="N23" s="112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</row>
    <row r="24" ht="30.0" customHeight="1">
      <c r="A24" s="55" t="s">
        <v>439</v>
      </c>
      <c r="B24" s="43">
        <v>20.0</v>
      </c>
      <c r="C24" s="47" t="s">
        <v>62</v>
      </c>
      <c r="D24" s="47" t="s">
        <v>87</v>
      </c>
      <c r="E24" s="47" t="s">
        <v>187</v>
      </c>
      <c r="F24" s="47" t="s">
        <v>272</v>
      </c>
      <c r="G24" s="121" t="str">
        <f t="shared" si="1"/>
        <v>Котл. кур Паста  </v>
      </c>
      <c r="H24" s="128" t="s">
        <v>1</v>
      </c>
      <c r="I24" s="123"/>
      <c r="J24" s="112"/>
      <c r="K24" s="112"/>
      <c r="L24" s="112"/>
      <c r="M24" s="112"/>
      <c r="N24" s="112"/>
      <c r="O24" s="112"/>
      <c r="P24" s="112"/>
      <c r="Q24" s="114"/>
      <c r="R24" s="114"/>
      <c r="S24" s="114"/>
      <c r="T24" s="114"/>
      <c r="U24" s="114"/>
      <c r="V24" s="114"/>
      <c r="W24" s="114"/>
      <c r="X24" s="114"/>
      <c r="Y24" s="114"/>
    </row>
    <row r="25" ht="30.0" customHeight="1">
      <c r="A25" s="142" t="s">
        <v>249</v>
      </c>
      <c r="B25" s="43">
        <v>21.0</v>
      </c>
      <c r="C25" s="47" t="s">
        <v>55</v>
      </c>
      <c r="D25" s="47" t="s">
        <v>117</v>
      </c>
      <c r="E25" s="47" t="s">
        <v>173</v>
      </c>
      <c r="F25" s="47" t="s">
        <v>80</v>
      </c>
      <c r="G25" s="121" t="str">
        <f t="shared" si="1"/>
        <v>Дорадо Гр  </v>
      </c>
      <c r="H25" s="128" t="s">
        <v>1</v>
      </c>
      <c r="I25" s="123"/>
      <c r="J25" s="112"/>
      <c r="K25" s="112"/>
      <c r="L25" s="112"/>
      <c r="M25" s="112"/>
      <c r="N25" s="112"/>
      <c r="O25" s="112"/>
      <c r="P25" s="112"/>
      <c r="Q25" s="114"/>
      <c r="R25" s="114"/>
      <c r="S25" s="114"/>
      <c r="T25" s="114"/>
      <c r="U25" s="114"/>
      <c r="V25" s="114"/>
      <c r="W25" s="114"/>
      <c r="X25" s="114"/>
      <c r="Y25" s="114"/>
    </row>
    <row r="26" ht="30.0" customHeight="1">
      <c r="A26" s="142" t="s">
        <v>245</v>
      </c>
      <c r="B26" s="43">
        <v>22.0</v>
      </c>
      <c r="C26" s="47" t="s">
        <v>32</v>
      </c>
      <c r="D26" s="47" t="s">
        <v>95</v>
      </c>
      <c r="E26" s="47" t="s">
        <v>173</v>
      </c>
      <c r="F26" s="47" t="s">
        <v>80</v>
      </c>
      <c r="G26" s="121" t="str">
        <f t="shared" si="1"/>
        <v>Дорадо Гр  </v>
      </c>
      <c r="H26" s="128" t="s">
        <v>1</v>
      </c>
      <c r="I26" s="123" t="str">
        <f>IFERROR(__xludf.DUMMYFUNCTION("QUERY(A5:H105, ""Select G, count(A), H group by G, H order by H"")"),"")</f>
        <v/>
      </c>
      <c r="J26" s="112" t="str">
        <f>IFERROR(__xludf.DUMMYFUNCTION("""COMPUTED_VALUE"""),"count ")</f>
        <v>count </v>
      </c>
      <c r="K26" s="112" t="str">
        <f>IFERROR(__xludf.DUMMYFUNCTION("""COMPUTED_VALUE"""),"")</f>
        <v/>
      </c>
      <c r="L26" s="112"/>
      <c r="M26" s="112"/>
      <c r="N26" s="112"/>
      <c r="O26" s="112"/>
      <c r="P26" s="112"/>
      <c r="Q26" s="114"/>
      <c r="R26" s="114"/>
      <c r="S26" s="114"/>
      <c r="T26" s="114"/>
      <c r="U26" s="114"/>
      <c r="V26" s="114"/>
      <c r="W26" s="114"/>
      <c r="X26" s="114"/>
      <c r="Y26" s="114"/>
    </row>
    <row r="27" ht="30.0" customHeight="1">
      <c r="A27" s="43" t="s">
        <v>254</v>
      </c>
      <c r="B27" s="43">
        <v>23.0</v>
      </c>
      <c r="C27" s="47" t="s">
        <v>16</v>
      </c>
      <c r="D27" s="47" t="s">
        <v>85</v>
      </c>
      <c r="E27" s="47" t="s">
        <v>150</v>
      </c>
      <c r="F27" s="47" t="s">
        <v>80</v>
      </c>
      <c r="G27" s="121" t="str">
        <f t="shared" si="1"/>
        <v>Бл. мясо Гр  </v>
      </c>
      <c r="H27" s="128" t="s">
        <v>1</v>
      </c>
      <c r="I27" s="112"/>
      <c r="J27" s="112">
        <f>IFERROR(__xludf.DUMMYFUNCTION("""COMPUTED_VALUE"""),0.0)</f>
        <v>0</v>
      </c>
      <c r="K27" s="112"/>
      <c r="L27" s="112"/>
      <c r="M27" s="112"/>
      <c r="N27" s="112"/>
      <c r="O27" s="111"/>
      <c r="P27" s="112"/>
      <c r="Q27" s="112"/>
      <c r="R27" s="112"/>
      <c r="S27" s="112"/>
      <c r="T27" s="114"/>
      <c r="U27" s="114"/>
      <c r="V27" s="114"/>
      <c r="W27" s="114"/>
      <c r="X27" s="114"/>
      <c r="Y27" s="114"/>
    </row>
    <row r="28" ht="30.0" customHeight="1">
      <c r="A28" s="80" t="s">
        <v>328</v>
      </c>
      <c r="B28" s="43">
        <v>24.0</v>
      </c>
      <c r="C28" s="47" t="s">
        <v>5</v>
      </c>
      <c r="D28" s="47" t="s">
        <v>105</v>
      </c>
      <c r="E28" s="47" t="s">
        <v>209</v>
      </c>
      <c r="F28" s="47" t="s">
        <v>113</v>
      </c>
      <c r="G28" s="121" t="str">
        <f t="shared" si="1"/>
        <v>Шницель  FF</v>
      </c>
      <c r="H28" s="128" t="s">
        <v>1</v>
      </c>
      <c r="I28" s="112" t="str">
        <f>IFERROR(__xludf.DUMMYFUNCTION("""COMPUTED_VALUE"""),"S   ")</f>
        <v>S   </v>
      </c>
      <c r="J28" s="112">
        <f>IFERROR(__xludf.DUMMYFUNCTION("""COMPUTED_VALUE"""),2.0)</f>
        <v>2</v>
      </c>
      <c r="K28" s="112" t="str">
        <f>IFERROR(__xludf.DUMMYFUNCTION("""COMPUTED_VALUE"""),"Олимп")</f>
        <v>Олимп</v>
      </c>
      <c r="L28" s="112"/>
      <c r="M28" s="112"/>
      <c r="N28" s="112"/>
      <c r="O28" s="111"/>
      <c r="P28" s="112"/>
      <c r="Q28" s="112"/>
      <c r="R28" s="112"/>
      <c r="S28" s="112"/>
      <c r="T28" s="114"/>
      <c r="U28" s="114"/>
      <c r="V28" s="114"/>
      <c r="W28" s="114"/>
      <c r="X28" s="114"/>
      <c r="Y28" s="114"/>
    </row>
    <row r="29" ht="30.0" customHeight="1">
      <c r="A29" s="136" t="s">
        <v>258</v>
      </c>
      <c r="B29" s="43">
        <v>25.0</v>
      </c>
      <c r="C29" s="47" t="s">
        <v>57</v>
      </c>
      <c r="D29" s="47" t="s">
        <v>65</v>
      </c>
      <c r="E29" s="47" t="s">
        <v>209</v>
      </c>
      <c r="F29" s="47" t="s">
        <v>276</v>
      </c>
      <c r="G29" s="121" t="str">
        <f t="shared" si="1"/>
        <v>Шницель Фасоль</v>
      </c>
      <c r="H29" s="128" t="s">
        <v>1</v>
      </c>
      <c r="I29" s="112" t="str">
        <f>IFERROR(__xludf.DUMMYFUNCTION("""COMPUTED_VALUE"""),"S    FF")</f>
        <v>S    FF</v>
      </c>
      <c r="J29" s="112">
        <f>IFERROR(__xludf.DUMMYFUNCTION("""COMPUTED_VALUE"""),2.0)</f>
        <v>2</v>
      </c>
      <c r="K29" s="112" t="str">
        <f>IFERROR(__xludf.DUMMYFUNCTION("""COMPUTED_VALUE"""),"Олимп")</f>
        <v>Олимп</v>
      </c>
      <c r="L29" s="112"/>
      <c r="M29" s="112"/>
      <c r="N29" s="112"/>
      <c r="O29" s="111"/>
      <c r="P29" s="112"/>
      <c r="Q29" s="112"/>
      <c r="R29" s="112"/>
      <c r="S29" s="112"/>
      <c r="T29" s="114"/>
      <c r="U29" s="114"/>
      <c r="V29" s="114"/>
      <c r="W29" s="114"/>
      <c r="X29" s="114"/>
      <c r="Y29" s="114"/>
    </row>
    <row r="30" ht="30.0" customHeight="1">
      <c r="A30" s="136" t="s">
        <v>268</v>
      </c>
      <c r="B30" s="43">
        <v>26.0</v>
      </c>
      <c r="C30" s="47" t="s">
        <v>47</v>
      </c>
      <c r="D30" s="47" t="s">
        <v>95</v>
      </c>
      <c r="E30" s="47" t="s">
        <v>173</v>
      </c>
      <c r="F30" s="47" t="s">
        <v>80</v>
      </c>
      <c r="G30" s="121" t="str">
        <f t="shared" si="1"/>
        <v>Дорадо Гр  </v>
      </c>
      <c r="H30" s="128" t="s">
        <v>1</v>
      </c>
      <c r="I30" s="19" t="str">
        <f>IFERROR(__xludf.DUMMYFUNCTION("""COMPUTED_VALUE"""),"S   MP ")</f>
        <v>S   MP </v>
      </c>
      <c r="J30" s="112">
        <f>IFERROR(__xludf.DUMMYFUNCTION("""COMPUTED_VALUE"""),3.0)</f>
        <v>3</v>
      </c>
      <c r="K30" s="112" t="str">
        <f>IFERROR(__xludf.DUMMYFUNCTION("""COMPUTED_VALUE"""),"Олимп")</f>
        <v>Олимп</v>
      </c>
      <c r="L30" s="112"/>
      <c r="M30" s="112"/>
      <c r="N30" s="112"/>
      <c r="O30" s="112"/>
      <c r="P30" s="114"/>
      <c r="Q30" s="114"/>
      <c r="R30" s="114"/>
      <c r="S30" s="114"/>
      <c r="T30" s="114"/>
      <c r="U30" s="114"/>
      <c r="V30" s="114"/>
      <c r="W30" s="114"/>
      <c r="X30" s="114"/>
      <c r="Y30" s="114"/>
    </row>
    <row r="31" ht="30.0" customHeight="1">
      <c r="A31" s="132" t="s">
        <v>404</v>
      </c>
      <c r="B31" s="43">
        <v>27.0</v>
      </c>
      <c r="C31" s="47" t="s">
        <v>55</v>
      </c>
      <c r="D31" s="47"/>
      <c r="E31" s="47" t="s">
        <v>126</v>
      </c>
      <c r="F31" s="47"/>
      <c r="G31" s="121" t="str">
        <f t="shared" si="1"/>
        <v>S   </v>
      </c>
      <c r="H31" s="128" t="s">
        <v>1</v>
      </c>
      <c r="I31" s="19" t="str">
        <f>IFERROR(__xludf.DUMMYFUNCTION("""COMPUTED_VALUE"""),"S   Гр  ")</f>
        <v>S   Гр  </v>
      </c>
      <c r="J31" s="112">
        <f>IFERROR(__xludf.DUMMYFUNCTION("""COMPUTED_VALUE"""),5.0)</f>
        <v>5</v>
      </c>
      <c r="K31" s="112" t="str">
        <f>IFERROR(__xludf.DUMMYFUNCTION("""COMPUTED_VALUE"""),"Олимп")</f>
        <v>Олимп</v>
      </c>
      <c r="L31" s="112"/>
      <c r="M31" s="112"/>
      <c r="N31" s="112"/>
      <c r="O31" s="112"/>
      <c r="P31" s="114"/>
      <c r="Q31" s="114"/>
      <c r="R31" s="114"/>
      <c r="S31" s="114"/>
      <c r="T31" s="114"/>
      <c r="U31" s="114"/>
      <c r="V31" s="114"/>
      <c r="W31" s="114"/>
      <c r="X31" s="114"/>
      <c r="Y31" s="114"/>
    </row>
    <row r="32" ht="30.0" customHeight="1">
      <c r="A32" s="55" t="s">
        <v>274</v>
      </c>
      <c r="B32" s="43">
        <v>28.0</v>
      </c>
      <c r="C32" s="47" t="s">
        <v>23</v>
      </c>
      <c r="D32" s="47" t="s">
        <v>105</v>
      </c>
      <c r="E32" s="47" t="s">
        <v>126</v>
      </c>
      <c r="F32" s="47" t="s">
        <v>276</v>
      </c>
      <c r="G32" s="121" t="str">
        <f t="shared" si="1"/>
        <v>S   Фасоль</v>
      </c>
      <c r="H32" s="128" t="s">
        <v>1</v>
      </c>
      <c r="I32" s="112" t="str">
        <f>IFERROR(__xludf.DUMMYFUNCTION("""COMPUTED_VALUE"""),"S   Картошка")</f>
        <v>S   Картошка</v>
      </c>
      <c r="J32" s="112">
        <f>IFERROR(__xludf.DUMMYFUNCTION("""COMPUTED_VALUE"""),1.0)</f>
        <v>1</v>
      </c>
      <c r="K32" s="112" t="str">
        <f>IFERROR(__xludf.DUMMYFUNCTION("""COMPUTED_VALUE"""),"Олимп")</f>
        <v>Олимп</v>
      </c>
      <c r="L32" s="112"/>
      <c r="M32" s="112"/>
      <c r="N32" s="112"/>
      <c r="O32" s="112"/>
      <c r="P32" s="112"/>
      <c r="Q32" s="114"/>
      <c r="R32" s="114"/>
      <c r="S32" s="114"/>
      <c r="T32" s="114"/>
      <c r="U32" s="114"/>
      <c r="V32" s="114"/>
      <c r="W32" s="114"/>
      <c r="X32" s="114"/>
      <c r="Y32" s="114"/>
    </row>
    <row r="33" ht="30.0" customHeight="1">
      <c r="A33" s="68" t="s">
        <v>238</v>
      </c>
      <c r="B33" s="43">
        <v>29.0</v>
      </c>
      <c r="C33" s="47" t="s">
        <v>57</v>
      </c>
      <c r="D33" s="47" t="s">
        <v>65</v>
      </c>
      <c r="E33" s="47" t="s">
        <v>79</v>
      </c>
      <c r="F33" s="47" t="s">
        <v>98</v>
      </c>
      <c r="G33" s="121" t="str">
        <f t="shared" si="1"/>
        <v>Чалахач Картошка</v>
      </c>
      <c r="H33" s="128" t="s">
        <v>1</v>
      </c>
      <c r="I33" s="112" t="str">
        <f>IFERROR(__xludf.DUMMYFUNCTION("""COMPUTED_VALUE"""),"S   Туш. кап.")</f>
        <v>S   Туш. кап.</v>
      </c>
      <c r="J33" s="112">
        <f>IFERROR(__xludf.DUMMYFUNCTION("""COMPUTED_VALUE"""),3.0)</f>
        <v>3</v>
      </c>
      <c r="K33" s="112" t="str">
        <f>IFERROR(__xludf.DUMMYFUNCTION("""COMPUTED_VALUE"""),"Олимп")</f>
        <v>Олимп</v>
      </c>
      <c r="L33" s="112"/>
      <c r="M33" s="112"/>
      <c r="N33" s="112"/>
      <c r="O33" s="112"/>
      <c r="P33" s="112"/>
      <c r="Q33" s="114"/>
      <c r="R33" s="114"/>
      <c r="S33" s="114"/>
      <c r="T33" s="114"/>
      <c r="U33" s="114"/>
      <c r="V33" s="114"/>
      <c r="W33" s="114"/>
      <c r="X33" s="114"/>
      <c r="Y33" s="114"/>
    </row>
    <row r="34" ht="30.0" customHeight="1">
      <c r="A34" s="150" t="s">
        <v>466</v>
      </c>
      <c r="B34" s="43">
        <v>30.0</v>
      </c>
      <c r="C34" s="47" t="s">
        <v>12</v>
      </c>
      <c r="D34" s="47" t="s">
        <v>78</v>
      </c>
      <c r="E34" s="47" t="s">
        <v>181</v>
      </c>
      <c r="F34" s="47"/>
      <c r="G34" s="121" t="str">
        <f t="shared" si="1"/>
        <v>Жульен </v>
      </c>
      <c r="H34" s="128" t="s">
        <v>1</v>
      </c>
      <c r="I34" s="112" t="str">
        <f>IFERROR(__xludf.DUMMYFUNCTION("""COMPUTED_VALUE"""),"S   Фасоль")</f>
        <v>S   Фасоль</v>
      </c>
      <c r="J34" s="112">
        <f>IFERROR(__xludf.DUMMYFUNCTION("""COMPUTED_VALUE"""),4.0)</f>
        <v>4</v>
      </c>
      <c r="K34" s="112" t="str">
        <f>IFERROR(__xludf.DUMMYFUNCTION("""COMPUTED_VALUE"""),"Олимп")</f>
        <v>Олимп</v>
      </c>
      <c r="L34" s="112"/>
      <c r="M34" s="112"/>
      <c r="N34" s="112"/>
      <c r="O34" s="112"/>
      <c r="P34" s="112"/>
      <c r="Q34" s="114"/>
      <c r="R34" s="114"/>
      <c r="S34" s="114"/>
      <c r="T34" s="114"/>
      <c r="U34" s="114"/>
      <c r="V34" s="114"/>
      <c r="W34" s="114"/>
      <c r="X34" s="114"/>
      <c r="Y34" s="114"/>
    </row>
    <row r="35" ht="30.0" customHeight="1">
      <c r="A35" s="80" t="s">
        <v>300</v>
      </c>
      <c r="B35" s="43">
        <v>31.0</v>
      </c>
      <c r="C35" s="47" t="s">
        <v>16</v>
      </c>
      <c r="D35" s="47" t="s">
        <v>87</v>
      </c>
      <c r="E35" s="47" t="s">
        <v>79</v>
      </c>
      <c r="F35" s="47"/>
      <c r="G35" s="121" t="str">
        <f t="shared" si="1"/>
        <v>Чалахач </v>
      </c>
      <c r="H35" s="128" t="s">
        <v>1</v>
      </c>
      <c r="I35" s="112" t="str">
        <f>IFERROR(__xludf.DUMMYFUNCTION("""COMPUTED_VALUE"""),"Баса Картошка")</f>
        <v>Баса Картошка</v>
      </c>
      <c r="J35" s="112">
        <f>IFERROR(__xludf.DUMMYFUNCTION("""COMPUTED_VALUE"""),1.0)</f>
        <v>1</v>
      </c>
      <c r="K35" s="112" t="str">
        <f>IFERROR(__xludf.DUMMYFUNCTION("""COMPUTED_VALUE"""),"Олимп")</f>
        <v>Олимп</v>
      </c>
      <c r="L35" s="112"/>
      <c r="M35" s="112"/>
      <c r="N35" s="112"/>
      <c r="O35" s="112"/>
      <c r="P35" s="112"/>
      <c r="Q35" s="114"/>
      <c r="R35" s="114"/>
      <c r="S35" s="114"/>
      <c r="T35" s="114"/>
      <c r="U35" s="114"/>
      <c r="V35" s="114"/>
      <c r="W35" s="114"/>
      <c r="X35" s="114"/>
      <c r="Y35" s="114"/>
    </row>
    <row r="36" ht="30.0" customHeight="1">
      <c r="A36" s="55" t="s">
        <v>246</v>
      </c>
      <c r="B36" s="43">
        <v>32.0</v>
      </c>
      <c r="C36" s="47" t="s">
        <v>16</v>
      </c>
      <c r="D36" s="47" t="s">
        <v>78</v>
      </c>
      <c r="E36" s="47" t="s">
        <v>126</v>
      </c>
      <c r="F36" s="47" t="s">
        <v>80</v>
      </c>
      <c r="G36" s="121" t="str">
        <f t="shared" si="1"/>
        <v>S   Гр  </v>
      </c>
      <c r="H36" s="128" t="s">
        <v>1</v>
      </c>
      <c r="I36" s="112" t="str">
        <f>IFERROR(__xludf.DUMMYFUNCTION("""COMPUTED_VALUE"""),"Баса Фасоль")</f>
        <v>Баса Фасоль</v>
      </c>
      <c r="J36" s="112">
        <f>IFERROR(__xludf.DUMMYFUNCTION("""COMPUTED_VALUE"""),1.0)</f>
        <v>1</v>
      </c>
      <c r="K36" s="112" t="str">
        <f>IFERROR(__xludf.DUMMYFUNCTION("""COMPUTED_VALUE"""),"Олимп")</f>
        <v>Олимп</v>
      </c>
      <c r="L36" s="112"/>
      <c r="M36" s="112"/>
      <c r="N36" s="112"/>
      <c r="O36" s="112"/>
      <c r="P36" s="112"/>
      <c r="Q36" s="114"/>
      <c r="R36" s="114"/>
      <c r="S36" s="114"/>
      <c r="T36" s="114"/>
      <c r="U36" s="114"/>
      <c r="V36" s="114"/>
      <c r="W36" s="114"/>
      <c r="X36" s="114"/>
      <c r="Y36" s="114"/>
    </row>
    <row r="37" ht="30.0" customHeight="1">
      <c r="A37" s="6" t="s">
        <v>248</v>
      </c>
      <c r="B37" s="43">
        <v>33.0</v>
      </c>
      <c r="C37" s="47" t="s">
        <v>5</v>
      </c>
      <c r="D37" s="47" t="s">
        <v>65</v>
      </c>
      <c r="E37" s="47" t="s">
        <v>112</v>
      </c>
      <c r="F37" s="47" t="s">
        <v>113</v>
      </c>
      <c r="G37" s="121" t="str">
        <f t="shared" si="1"/>
        <v>Поперечка  FF</v>
      </c>
      <c r="H37" s="128" t="s">
        <v>1</v>
      </c>
      <c r="I37" s="112" t="str">
        <f>IFERROR(__xludf.DUMMYFUNCTION("""COMPUTED_VALUE"""),"Бл. мясо ")</f>
        <v>Бл. мясо </v>
      </c>
      <c r="J37" s="112">
        <f>IFERROR(__xludf.DUMMYFUNCTION("""COMPUTED_VALUE"""),1.0)</f>
        <v>1</v>
      </c>
      <c r="K37" s="112" t="str">
        <f>IFERROR(__xludf.DUMMYFUNCTION("""COMPUTED_VALUE"""),"Олимп")</f>
        <v>Олимп</v>
      </c>
      <c r="L37" s="112"/>
      <c r="M37" s="112"/>
      <c r="N37" s="112"/>
      <c r="O37" s="112"/>
      <c r="P37" s="112"/>
      <c r="Q37" s="114"/>
      <c r="R37" s="114"/>
      <c r="S37" s="114"/>
      <c r="T37" s="114"/>
      <c r="U37" s="114"/>
      <c r="V37" s="114"/>
      <c r="W37" s="114"/>
      <c r="X37" s="114"/>
      <c r="Y37" s="114"/>
    </row>
    <row r="38" ht="30.0" customHeight="1">
      <c r="A38" s="80" t="s">
        <v>474</v>
      </c>
      <c r="B38" s="43">
        <v>34.0</v>
      </c>
      <c r="C38" s="47" t="s">
        <v>32</v>
      </c>
      <c r="D38" s="47" t="s">
        <v>87</v>
      </c>
      <c r="E38" s="47" t="s">
        <v>211</v>
      </c>
      <c r="F38" s="47" t="s">
        <v>80</v>
      </c>
      <c r="G38" s="121" t="str">
        <f t="shared" si="1"/>
        <v>табака  Гр  </v>
      </c>
      <c r="H38" s="128" t="s">
        <v>1</v>
      </c>
      <c r="I38" s="112" t="str">
        <f>IFERROR(__xludf.DUMMYFUNCTION("""COMPUTED_VALUE"""),"Бл. мясо Гр  ")</f>
        <v>Бл. мясо Гр  </v>
      </c>
      <c r="J38" s="112">
        <f>IFERROR(__xludf.DUMMYFUNCTION("""COMPUTED_VALUE"""),1.0)</f>
        <v>1</v>
      </c>
      <c r="K38" s="112" t="str">
        <f>IFERROR(__xludf.DUMMYFUNCTION("""COMPUTED_VALUE"""),"Олимп")</f>
        <v>Олимп</v>
      </c>
      <c r="L38" s="112"/>
      <c r="M38" s="112"/>
      <c r="N38" s="112"/>
      <c r="O38" s="112"/>
      <c r="P38" s="112"/>
      <c r="Q38" s="114"/>
      <c r="R38" s="114"/>
      <c r="S38" s="114"/>
      <c r="T38" s="114"/>
      <c r="U38" s="114"/>
      <c r="V38" s="114"/>
      <c r="W38" s="114"/>
      <c r="X38" s="114"/>
      <c r="Y38" s="114"/>
    </row>
    <row r="39" ht="30.0" customHeight="1">
      <c r="A39" s="43" t="s">
        <v>308</v>
      </c>
      <c r="B39" s="43">
        <v>35.0</v>
      </c>
      <c r="C39" s="47" t="s">
        <v>16</v>
      </c>
      <c r="D39" s="47" t="s">
        <v>85</v>
      </c>
      <c r="E39" s="47" t="s">
        <v>67</v>
      </c>
      <c r="F39" s="47" t="s">
        <v>276</v>
      </c>
      <c r="G39" s="130" t="str">
        <f t="shared" si="1"/>
        <v>Баса Фасоль</v>
      </c>
      <c r="H39" s="130" t="s">
        <v>1</v>
      </c>
      <c r="I39" s="112" t="str">
        <f>IFERROR(__xludf.DUMMYFUNCTION("""COMPUTED_VALUE"""),"Бл. твор ")</f>
        <v>Бл. твор </v>
      </c>
      <c r="J39" s="112">
        <f>IFERROR(__xludf.DUMMYFUNCTION("""COMPUTED_VALUE"""),1.0)</f>
        <v>1</v>
      </c>
      <c r="K39" s="112" t="str">
        <f>IFERROR(__xludf.DUMMYFUNCTION("""COMPUTED_VALUE"""),"Олимп")</f>
        <v>Олимп</v>
      </c>
      <c r="L39" s="112"/>
      <c r="M39" s="112"/>
      <c r="N39" s="112"/>
      <c r="O39" s="112"/>
      <c r="P39" s="112"/>
      <c r="Q39" s="114"/>
      <c r="R39" s="114"/>
      <c r="S39" s="114"/>
      <c r="T39" s="114"/>
      <c r="U39" s="114"/>
      <c r="V39" s="114"/>
      <c r="W39" s="114"/>
      <c r="X39" s="114"/>
      <c r="Y39" s="114"/>
    </row>
    <row r="40" ht="30.0" customHeight="1">
      <c r="A40" s="80" t="s">
        <v>485</v>
      </c>
      <c r="B40" s="43">
        <v>36.0</v>
      </c>
      <c r="C40" s="47" t="s">
        <v>55</v>
      </c>
      <c r="D40" s="47" t="s">
        <v>78</v>
      </c>
      <c r="E40" s="47" t="s">
        <v>79</v>
      </c>
      <c r="F40" s="47"/>
      <c r="G40" s="121" t="str">
        <f t="shared" si="1"/>
        <v>Чалахач </v>
      </c>
      <c r="H40" s="128" t="s">
        <v>1</v>
      </c>
      <c r="I40" s="112" t="str">
        <f>IFERROR(__xludf.DUMMYFUNCTION("""COMPUTED_VALUE"""),"Вар.Кар ")</f>
        <v>Вар.Кар </v>
      </c>
      <c r="J40" s="112">
        <f>IFERROR(__xludf.DUMMYFUNCTION("""COMPUTED_VALUE"""),3.0)</f>
        <v>3</v>
      </c>
      <c r="K40" s="112" t="str">
        <f>IFERROR(__xludf.DUMMYFUNCTION("""COMPUTED_VALUE"""),"Олимп")</f>
        <v>Олимп</v>
      </c>
      <c r="L40" s="112"/>
      <c r="M40" s="112"/>
      <c r="N40" s="112"/>
      <c r="O40" s="112"/>
      <c r="P40" s="112"/>
      <c r="Q40" s="114"/>
      <c r="R40" s="114"/>
      <c r="S40" s="114"/>
      <c r="T40" s="114"/>
      <c r="U40" s="114"/>
      <c r="V40" s="114"/>
      <c r="W40" s="114"/>
      <c r="X40" s="114"/>
      <c r="Y40" s="114"/>
    </row>
    <row r="41" ht="30.0" customHeight="1">
      <c r="A41" s="6" t="s">
        <v>490</v>
      </c>
      <c r="B41" s="43">
        <v>37.0</v>
      </c>
      <c r="C41" s="47" t="s">
        <v>16</v>
      </c>
      <c r="D41" s="47" t="s">
        <v>105</v>
      </c>
      <c r="E41" s="47" t="s">
        <v>211</v>
      </c>
      <c r="F41" s="97" t="s">
        <v>127</v>
      </c>
      <c r="G41" s="121" t="str">
        <f t="shared" si="1"/>
        <v>табака  MP </v>
      </c>
      <c r="H41" s="128" t="s">
        <v>1</v>
      </c>
      <c r="I41" s="123" t="str">
        <f>IFERROR(__xludf.DUMMYFUNCTION("""COMPUTED_VALUE"""),"Голубцы ")</f>
        <v>Голубцы </v>
      </c>
      <c r="J41" s="112">
        <f>IFERROR(__xludf.DUMMYFUNCTION("""COMPUTED_VALUE"""),1.0)</f>
        <v>1</v>
      </c>
      <c r="K41" s="112" t="str">
        <f>IFERROR(__xludf.DUMMYFUNCTION("""COMPUTED_VALUE"""),"Олимп")</f>
        <v>Олимп</v>
      </c>
      <c r="L41" s="112"/>
      <c r="M41" s="112"/>
      <c r="N41" s="112"/>
      <c r="O41" s="112"/>
      <c r="P41" s="112"/>
      <c r="Q41" s="114"/>
      <c r="R41" s="114"/>
      <c r="S41" s="114"/>
      <c r="T41" s="114"/>
      <c r="U41" s="114"/>
      <c r="V41" s="114"/>
      <c r="W41" s="114"/>
      <c r="X41" s="114"/>
      <c r="Y41" s="114"/>
    </row>
    <row r="42" ht="30.0" customHeight="1">
      <c r="A42" s="43" t="s">
        <v>598</v>
      </c>
      <c r="B42" s="43">
        <v>38.0</v>
      </c>
      <c r="C42" s="47" t="s">
        <v>47</v>
      </c>
      <c r="D42" s="47" t="s">
        <v>78</v>
      </c>
      <c r="E42" s="47" t="s">
        <v>112</v>
      </c>
      <c r="F42" s="129" t="s">
        <v>127</v>
      </c>
      <c r="G42" s="121" t="str">
        <f t="shared" si="1"/>
        <v>Поперечка MP </v>
      </c>
      <c r="H42" s="128" t="s">
        <v>1</v>
      </c>
      <c r="I42" s="123" t="str">
        <f>IFERROR(__xludf.DUMMYFUNCTION("""COMPUTED_VALUE"""),"Голубцы Туш. кап.")</f>
        <v>Голубцы Туш. кап.</v>
      </c>
      <c r="J42" s="112">
        <f>IFERROR(__xludf.DUMMYFUNCTION("""COMPUTED_VALUE"""),1.0)</f>
        <v>1</v>
      </c>
      <c r="K42" s="112" t="str">
        <f>IFERROR(__xludf.DUMMYFUNCTION("""COMPUTED_VALUE"""),"Олимп")</f>
        <v>Олимп</v>
      </c>
      <c r="L42" s="112"/>
      <c r="M42" s="112"/>
      <c r="N42" s="112"/>
      <c r="O42" s="112"/>
      <c r="P42" s="112"/>
      <c r="Q42" s="114"/>
      <c r="R42" s="114"/>
      <c r="S42" s="114"/>
      <c r="T42" s="114"/>
      <c r="U42" s="114"/>
      <c r="V42" s="114"/>
      <c r="W42" s="114"/>
      <c r="X42" s="114"/>
      <c r="Y42" s="114"/>
    </row>
    <row r="43" ht="30.0" customHeight="1">
      <c r="A43" s="80" t="s">
        <v>499</v>
      </c>
      <c r="B43" s="43">
        <v>39.0</v>
      </c>
      <c r="C43" s="47" t="s">
        <v>23</v>
      </c>
      <c r="D43" s="47" t="s">
        <v>87</v>
      </c>
      <c r="E43" s="47" t="s">
        <v>187</v>
      </c>
      <c r="F43" s="47" t="s">
        <v>113</v>
      </c>
      <c r="G43" s="121" t="str">
        <f t="shared" si="1"/>
        <v>Котл. кур  FF</v>
      </c>
      <c r="H43" s="128" t="s">
        <v>1</v>
      </c>
      <c r="I43" s="123" t="str">
        <f>IFERROR(__xludf.DUMMYFUNCTION("""COMPUTED_VALUE"""),"Гуляш MP ")</f>
        <v>Гуляш MP </v>
      </c>
      <c r="J43" s="112">
        <f>IFERROR(__xludf.DUMMYFUNCTION("""COMPUTED_VALUE"""),1.0)</f>
        <v>1</v>
      </c>
      <c r="K43" s="112" t="str">
        <f>IFERROR(__xludf.DUMMYFUNCTION("""COMPUTED_VALUE"""),"Олимп")</f>
        <v>Олимп</v>
      </c>
      <c r="L43" s="112"/>
      <c r="M43" s="112"/>
      <c r="N43" s="112"/>
      <c r="O43" s="112"/>
      <c r="P43" s="112"/>
      <c r="Q43" s="114"/>
      <c r="R43" s="114"/>
      <c r="S43" s="114"/>
      <c r="T43" s="114"/>
      <c r="U43" s="114"/>
      <c r="V43" s="114"/>
      <c r="W43" s="114"/>
      <c r="X43" s="114"/>
      <c r="Y43" s="114"/>
    </row>
    <row r="44" ht="30.0" customHeight="1">
      <c r="A44" s="55" t="s">
        <v>505</v>
      </c>
      <c r="B44" s="43">
        <v>40.0</v>
      </c>
      <c r="C44" s="47" t="s">
        <v>16</v>
      </c>
      <c r="D44" s="47" t="s">
        <v>105</v>
      </c>
      <c r="E44" s="129" t="s">
        <v>157</v>
      </c>
      <c r="F44" s="154"/>
      <c r="G44" s="133" t="str">
        <f t="shared" si="1"/>
        <v>Бл. твор </v>
      </c>
      <c r="H44" s="128" t="s">
        <v>1</v>
      </c>
      <c r="I44" s="123" t="str">
        <f>IFERROR(__xludf.DUMMYFUNCTION("""COMPUTED_VALUE"""),"Дорадо MP ")</f>
        <v>Дорадо MP </v>
      </c>
      <c r="J44" s="112">
        <f>IFERROR(__xludf.DUMMYFUNCTION("""COMPUTED_VALUE"""),2.0)</f>
        <v>2</v>
      </c>
      <c r="K44" s="112" t="str">
        <f>IFERROR(__xludf.DUMMYFUNCTION("""COMPUTED_VALUE"""),"Олимп")</f>
        <v>Олимп</v>
      </c>
      <c r="L44" s="112"/>
      <c r="M44" s="112"/>
      <c r="N44" s="112"/>
      <c r="O44" s="112"/>
      <c r="P44" s="112"/>
      <c r="Q44" s="114"/>
      <c r="R44" s="114"/>
      <c r="S44" s="114"/>
      <c r="T44" s="114"/>
      <c r="U44" s="114"/>
      <c r="V44" s="114"/>
      <c r="W44" s="114"/>
      <c r="X44" s="114"/>
      <c r="Y44" s="114"/>
    </row>
    <row r="45" ht="30.0" customHeight="1">
      <c r="A45" s="80" t="s">
        <v>599</v>
      </c>
      <c r="B45" s="43">
        <v>41.0</v>
      </c>
      <c r="C45" s="47" t="s">
        <v>23</v>
      </c>
      <c r="D45" s="47" t="s">
        <v>65</v>
      </c>
      <c r="E45" s="129" t="s">
        <v>204</v>
      </c>
      <c r="F45" s="47" t="s">
        <v>276</v>
      </c>
      <c r="G45" s="121" t="str">
        <f t="shared" si="1"/>
        <v>Св. отбив   Фасоль</v>
      </c>
      <c r="H45" s="128" t="s">
        <v>1</v>
      </c>
      <c r="I45" s="123" t="str">
        <f>IFERROR(__xludf.DUMMYFUNCTION("""COMPUTED_VALUE"""),"Дорадо Гр  ")</f>
        <v>Дорадо Гр  </v>
      </c>
      <c r="J45" s="112">
        <f>IFERROR(__xludf.DUMMYFUNCTION("""COMPUTED_VALUE"""),3.0)</f>
        <v>3</v>
      </c>
      <c r="K45" s="112" t="str">
        <f>IFERROR(__xludf.DUMMYFUNCTION("""COMPUTED_VALUE"""),"Олимп")</f>
        <v>Олимп</v>
      </c>
      <c r="L45" s="112"/>
      <c r="M45" s="112"/>
      <c r="N45" s="112"/>
      <c r="O45" s="112"/>
      <c r="P45" s="112"/>
      <c r="Q45" s="114"/>
      <c r="R45" s="114"/>
      <c r="S45" s="114"/>
      <c r="T45" s="114"/>
      <c r="U45" s="114"/>
      <c r="V45" s="114"/>
      <c r="W45" s="114"/>
      <c r="X45" s="114"/>
      <c r="Y45" s="114"/>
    </row>
    <row r="46" ht="30.0" customHeight="1">
      <c r="A46" s="43" t="s">
        <v>600</v>
      </c>
      <c r="B46" s="43">
        <v>42.0</v>
      </c>
      <c r="C46" s="47" t="s">
        <v>16</v>
      </c>
      <c r="D46" s="47" t="s">
        <v>87</v>
      </c>
      <c r="E46" s="47" t="s">
        <v>126</v>
      </c>
      <c r="F46" s="47" t="s">
        <v>122</v>
      </c>
      <c r="G46" s="121" t="str">
        <f t="shared" si="1"/>
        <v>S   Туш. кап.</v>
      </c>
      <c r="H46" s="128" t="s">
        <v>1</v>
      </c>
      <c r="I46" s="112" t="str">
        <f>IFERROR(__xludf.DUMMYFUNCTION("""COMPUTED_VALUE"""),"Дорадо Туш. кап.")</f>
        <v>Дорадо Туш. кап.</v>
      </c>
      <c r="J46" s="112">
        <f>IFERROR(__xludf.DUMMYFUNCTION("""COMPUTED_VALUE"""),1.0)</f>
        <v>1</v>
      </c>
      <c r="K46" s="112" t="str">
        <f>IFERROR(__xludf.DUMMYFUNCTION("""COMPUTED_VALUE"""),"Олимп")</f>
        <v>Олимп</v>
      </c>
      <c r="L46" s="112"/>
      <c r="M46" s="112"/>
      <c r="N46" s="112"/>
      <c r="O46" s="112"/>
      <c r="P46" s="112"/>
      <c r="Q46" s="114"/>
      <c r="R46" s="114"/>
      <c r="S46" s="114"/>
      <c r="T46" s="114"/>
      <c r="U46" s="114"/>
      <c r="V46" s="114"/>
      <c r="W46" s="114"/>
      <c r="X46" s="114"/>
      <c r="Y46" s="114"/>
    </row>
    <row r="47" ht="30.0" customHeight="1">
      <c r="A47" s="80" t="s">
        <v>260</v>
      </c>
      <c r="B47" s="43">
        <v>43.0</v>
      </c>
      <c r="C47" s="47" t="s">
        <v>32</v>
      </c>
      <c r="D47" s="47" t="s">
        <v>78</v>
      </c>
      <c r="E47" s="47" t="s">
        <v>126</v>
      </c>
      <c r="F47" s="47" t="s">
        <v>98</v>
      </c>
      <c r="G47" s="121" t="str">
        <f t="shared" si="1"/>
        <v>S   Картошка</v>
      </c>
      <c r="H47" s="128" t="s">
        <v>1</v>
      </c>
      <c r="I47" s="112" t="str">
        <f>IFERROR(__xludf.DUMMYFUNCTION("""COMPUTED_VALUE"""),"Жульен ")</f>
        <v>Жульен </v>
      </c>
      <c r="J47" s="112">
        <f>IFERROR(__xludf.DUMMYFUNCTION("""COMPUTED_VALUE"""),1.0)</f>
        <v>1</v>
      </c>
      <c r="K47" s="112" t="str">
        <f>IFERROR(__xludf.DUMMYFUNCTION("""COMPUTED_VALUE"""),"Олимп")</f>
        <v>Олимп</v>
      </c>
      <c r="L47" s="112"/>
      <c r="M47" s="112"/>
      <c r="N47" s="112"/>
      <c r="O47" s="112"/>
      <c r="P47" s="112"/>
      <c r="Q47" s="114"/>
      <c r="R47" s="114"/>
      <c r="S47" s="114"/>
      <c r="T47" s="114"/>
      <c r="U47" s="114"/>
      <c r="V47" s="114"/>
      <c r="W47" s="114"/>
      <c r="X47" s="114"/>
      <c r="Y47" s="114"/>
    </row>
    <row r="48" ht="30.0" customHeight="1">
      <c r="A48" s="6" t="s">
        <v>520</v>
      </c>
      <c r="B48" s="43">
        <v>44.0</v>
      </c>
      <c r="C48" s="129"/>
      <c r="D48" s="129" t="s">
        <v>87</v>
      </c>
      <c r="E48" s="129" t="s">
        <v>97</v>
      </c>
      <c r="F48" s="47" t="s">
        <v>113</v>
      </c>
      <c r="G48" s="121" t="str">
        <f t="shared" si="1"/>
        <v>Терияки  FF</v>
      </c>
      <c r="H48" s="128" t="s">
        <v>1</v>
      </c>
      <c r="I48" s="112" t="str">
        <f>IFERROR(__xludf.DUMMYFUNCTION("""COMPUTED_VALUE"""),"Котл. кур  FF")</f>
        <v>Котл. кур  FF</v>
      </c>
      <c r="J48" s="112">
        <f>IFERROR(__xludf.DUMMYFUNCTION("""COMPUTED_VALUE"""),1.0)</f>
        <v>1</v>
      </c>
      <c r="K48" s="112" t="str">
        <f>IFERROR(__xludf.DUMMYFUNCTION("""COMPUTED_VALUE"""),"Олимп")</f>
        <v>Олимп</v>
      </c>
      <c r="L48" s="112"/>
      <c r="M48" s="112"/>
      <c r="N48" s="112"/>
      <c r="O48" s="112"/>
      <c r="P48" s="112"/>
      <c r="Q48" s="114"/>
      <c r="R48" s="114"/>
      <c r="S48" s="114"/>
      <c r="T48" s="114"/>
      <c r="U48" s="114"/>
      <c r="V48" s="114"/>
      <c r="W48" s="114"/>
      <c r="X48" s="114"/>
      <c r="Y48" s="114"/>
    </row>
    <row r="49" ht="30.0" customHeight="1">
      <c r="A49" s="80" t="s">
        <v>522</v>
      </c>
      <c r="B49" s="43">
        <v>45.0</v>
      </c>
      <c r="C49" s="47" t="s">
        <v>55</v>
      </c>
      <c r="D49" s="47" t="s">
        <v>105</v>
      </c>
      <c r="E49" s="47" t="s">
        <v>67</v>
      </c>
      <c r="F49" s="47" t="s">
        <v>98</v>
      </c>
      <c r="G49" s="121" t="str">
        <f t="shared" si="1"/>
        <v>Баса Картошка</v>
      </c>
      <c r="H49" s="128" t="s">
        <v>1</v>
      </c>
      <c r="I49" s="112" t="str">
        <f>IFERROR(__xludf.DUMMYFUNCTION("""COMPUTED_VALUE"""),"Котл. кур MP ")</f>
        <v>Котл. кур MP </v>
      </c>
      <c r="J49" s="112">
        <f>IFERROR(__xludf.DUMMYFUNCTION("""COMPUTED_VALUE"""),3.0)</f>
        <v>3</v>
      </c>
      <c r="K49" s="112" t="str">
        <f>IFERROR(__xludf.DUMMYFUNCTION("""COMPUTED_VALUE"""),"Олимп")</f>
        <v>Олимп</v>
      </c>
      <c r="L49" s="112"/>
      <c r="M49" s="112"/>
      <c r="N49" s="112"/>
      <c r="O49" s="112"/>
      <c r="P49" s="112"/>
      <c r="Q49" s="114"/>
      <c r="R49" s="114"/>
      <c r="S49" s="114"/>
      <c r="T49" s="114"/>
      <c r="U49" s="114"/>
      <c r="V49" s="114"/>
      <c r="W49" s="114"/>
      <c r="X49" s="114"/>
      <c r="Y49" s="114"/>
    </row>
    <row r="50" ht="30.0" customHeight="1">
      <c r="A50" s="132" t="s">
        <v>524</v>
      </c>
      <c r="B50" s="43">
        <v>46.0</v>
      </c>
      <c r="C50" s="47" t="s">
        <v>47</v>
      </c>
      <c r="D50" s="47" t="s">
        <v>87</v>
      </c>
      <c r="E50" s="47" t="s">
        <v>79</v>
      </c>
      <c r="F50" s="139" t="s">
        <v>80</v>
      </c>
      <c r="G50" s="121" t="str">
        <f t="shared" si="1"/>
        <v>Чалахач Гр  </v>
      </c>
      <c r="H50" s="128" t="s">
        <v>1</v>
      </c>
      <c r="I50" s="112" t="str">
        <f>IFERROR(__xludf.DUMMYFUNCTION("""COMPUTED_VALUE"""),"Котл. кур Гр  ")</f>
        <v>Котл. кур Гр  </v>
      </c>
      <c r="J50" s="112">
        <f>IFERROR(__xludf.DUMMYFUNCTION("""COMPUTED_VALUE"""),2.0)</f>
        <v>2</v>
      </c>
      <c r="K50" s="112" t="str">
        <f>IFERROR(__xludf.DUMMYFUNCTION("""COMPUTED_VALUE"""),"Олимп")</f>
        <v>Олимп</v>
      </c>
      <c r="L50" s="112"/>
      <c r="M50" s="112"/>
      <c r="N50" s="112"/>
      <c r="O50" s="112"/>
      <c r="P50" s="112"/>
      <c r="Q50" s="114"/>
      <c r="R50" s="114"/>
      <c r="S50" s="114"/>
      <c r="T50" s="114"/>
      <c r="U50" s="114"/>
      <c r="V50" s="114"/>
      <c r="W50" s="114"/>
      <c r="X50" s="114"/>
      <c r="Y50" s="114"/>
    </row>
    <row r="51" ht="30.0" customHeight="1">
      <c r="A51" s="132" t="s">
        <v>529</v>
      </c>
      <c r="B51" s="43">
        <v>47.0</v>
      </c>
      <c r="C51" s="47" t="s">
        <v>12</v>
      </c>
      <c r="D51" s="47" t="s">
        <v>105</v>
      </c>
      <c r="E51" s="47" t="s">
        <v>79</v>
      </c>
      <c r="F51" s="47" t="s">
        <v>98</v>
      </c>
      <c r="G51" s="121" t="str">
        <f t="shared" si="1"/>
        <v>Чалахач Картошка</v>
      </c>
      <c r="H51" s="128" t="s">
        <v>1</v>
      </c>
      <c r="I51" s="112" t="str">
        <f>IFERROR(__xludf.DUMMYFUNCTION("""COMPUTED_VALUE"""),"Котл. кур Паста  ")</f>
        <v>Котл. кур Паста  </v>
      </c>
      <c r="J51" s="112">
        <f>IFERROR(__xludf.DUMMYFUNCTION("""COMPUTED_VALUE"""),2.0)</f>
        <v>2</v>
      </c>
      <c r="K51" s="112" t="str">
        <f>IFERROR(__xludf.DUMMYFUNCTION("""COMPUTED_VALUE"""),"Олимп")</f>
        <v>Олимп</v>
      </c>
      <c r="L51" s="112"/>
      <c r="M51" s="112"/>
      <c r="N51" s="112"/>
      <c r="O51" s="112"/>
      <c r="P51" s="112"/>
      <c r="Q51" s="114"/>
      <c r="R51" s="114"/>
      <c r="S51" s="114"/>
      <c r="T51" s="114"/>
      <c r="U51" s="114"/>
      <c r="V51" s="114"/>
      <c r="W51" s="114"/>
      <c r="X51" s="114"/>
      <c r="Y51" s="114"/>
    </row>
    <row r="52" ht="30.0" customHeight="1">
      <c r="A52" s="80" t="s">
        <v>458</v>
      </c>
      <c r="B52" s="43">
        <v>48.0</v>
      </c>
      <c r="C52" s="47" t="s">
        <v>16</v>
      </c>
      <c r="D52" s="47"/>
      <c r="E52" s="47" t="s">
        <v>161</v>
      </c>
      <c r="F52" s="47"/>
      <c r="G52" s="121" t="str">
        <f t="shared" si="1"/>
        <v>Вар.Кар </v>
      </c>
      <c r="H52" s="128" t="s">
        <v>1</v>
      </c>
      <c r="I52" s="112" t="str">
        <f>IFERROR(__xludf.DUMMYFUNCTION("""COMPUTED_VALUE"""),"Пельмени ")</f>
        <v>Пельмени </v>
      </c>
      <c r="J52" s="112">
        <f>IFERROR(__xludf.DUMMYFUNCTION("""COMPUTED_VALUE"""),2.0)</f>
        <v>2</v>
      </c>
      <c r="K52" s="112" t="str">
        <f>IFERROR(__xludf.DUMMYFUNCTION("""COMPUTED_VALUE"""),"Олимп")</f>
        <v>Олимп</v>
      </c>
      <c r="L52" s="112"/>
      <c r="M52" s="112"/>
      <c r="N52" s="112"/>
      <c r="O52" s="112"/>
      <c r="P52" s="112"/>
      <c r="Q52" s="114"/>
      <c r="R52" s="114"/>
      <c r="S52" s="114"/>
      <c r="T52" s="114"/>
      <c r="U52" s="114"/>
      <c r="V52" s="114"/>
      <c r="W52" s="114"/>
      <c r="X52" s="114"/>
      <c r="Y52" s="114"/>
    </row>
    <row r="53" ht="30.75" customHeight="1">
      <c r="A53" s="80" t="s">
        <v>534</v>
      </c>
      <c r="B53" s="43">
        <v>49.0</v>
      </c>
      <c r="C53" s="47" t="s">
        <v>62</v>
      </c>
      <c r="D53" s="47" t="s">
        <v>87</v>
      </c>
      <c r="E53" s="47" t="s">
        <v>209</v>
      </c>
      <c r="F53" s="47" t="s">
        <v>276</v>
      </c>
      <c r="G53" s="121" t="str">
        <f t="shared" si="1"/>
        <v>Шницель Фасоль</v>
      </c>
      <c r="H53" s="128" t="s">
        <v>1</v>
      </c>
      <c r="I53" s="112" t="str">
        <f>IFERROR(__xludf.DUMMYFUNCTION("""COMPUTED_VALUE"""),"Поперечка  FF")</f>
        <v>Поперечка  FF</v>
      </c>
      <c r="J53" s="112">
        <f>IFERROR(__xludf.DUMMYFUNCTION("""COMPUTED_VALUE"""),1.0)</f>
        <v>1</v>
      </c>
      <c r="K53" s="112" t="str">
        <f>IFERROR(__xludf.DUMMYFUNCTION("""COMPUTED_VALUE"""),"Олимп")</f>
        <v>Олимп</v>
      </c>
      <c r="L53" s="112"/>
      <c r="M53" s="112"/>
      <c r="N53" s="112"/>
      <c r="O53" s="112"/>
      <c r="P53" s="112"/>
      <c r="Q53" s="114"/>
      <c r="R53" s="114"/>
      <c r="S53" s="114"/>
      <c r="T53" s="114"/>
      <c r="U53" s="114"/>
      <c r="V53" s="114"/>
      <c r="W53" s="114"/>
      <c r="X53" s="114"/>
      <c r="Y53" s="114"/>
    </row>
    <row r="54" ht="30.75" customHeight="1">
      <c r="A54" s="80" t="s">
        <v>538</v>
      </c>
      <c r="B54" s="43">
        <v>50.0</v>
      </c>
      <c r="C54" s="47" t="s">
        <v>47</v>
      </c>
      <c r="D54" s="47" t="s">
        <v>87</v>
      </c>
      <c r="E54" s="47" t="s">
        <v>161</v>
      </c>
      <c r="F54" s="47"/>
      <c r="G54" s="121" t="str">
        <f t="shared" si="1"/>
        <v>Вар.Кар </v>
      </c>
      <c r="H54" s="128" t="s">
        <v>1</v>
      </c>
      <c r="I54" s="112" t="str">
        <f>IFERROR(__xludf.DUMMYFUNCTION("""COMPUTED_VALUE"""),"Поперечка MP ")</f>
        <v>Поперечка MP </v>
      </c>
      <c r="J54" s="112">
        <f>IFERROR(__xludf.DUMMYFUNCTION("""COMPUTED_VALUE"""),1.0)</f>
        <v>1</v>
      </c>
      <c r="K54" s="112" t="str">
        <f>IFERROR(__xludf.DUMMYFUNCTION("""COMPUTED_VALUE"""),"Олимп")</f>
        <v>Олимп</v>
      </c>
      <c r="L54" s="112"/>
      <c r="M54" s="112"/>
      <c r="N54" s="112"/>
      <c r="O54" s="112"/>
      <c r="P54" s="112"/>
      <c r="Q54" s="114"/>
      <c r="R54" s="114"/>
      <c r="S54" s="114"/>
      <c r="T54" s="114"/>
      <c r="U54" s="114"/>
      <c r="V54" s="114"/>
      <c r="W54" s="114"/>
      <c r="X54" s="114"/>
      <c r="Y54" s="114"/>
    </row>
    <row r="55" ht="30.0" customHeight="1">
      <c r="A55" s="80" t="s">
        <v>339</v>
      </c>
      <c r="B55" s="43">
        <v>51.0</v>
      </c>
      <c r="C55" s="47" t="s">
        <v>16</v>
      </c>
      <c r="D55" s="47" t="s">
        <v>117</v>
      </c>
      <c r="E55" s="47" t="s">
        <v>211</v>
      </c>
      <c r="F55" s="47" t="s">
        <v>80</v>
      </c>
      <c r="G55" s="121" t="str">
        <f t="shared" si="1"/>
        <v>табака  Гр  </v>
      </c>
      <c r="H55" s="128" t="s">
        <v>1</v>
      </c>
      <c r="I55" s="112" t="str">
        <f>IFERROR(__xludf.DUMMYFUNCTION("""COMPUTED_VALUE"""),"Св. отбив   Гр  ")</f>
        <v>Св. отбив   Гр  </v>
      </c>
      <c r="J55" s="112">
        <f>IFERROR(__xludf.DUMMYFUNCTION("""COMPUTED_VALUE"""),1.0)</f>
        <v>1</v>
      </c>
      <c r="K55" s="112" t="str">
        <f>IFERROR(__xludf.DUMMYFUNCTION("""COMPUTED_VALUE"""),"Олимп")</f>
        <v>Олимп</v>
      </c>
      <c r="L55" s="112"/>
      <c r="M55" s="112"/>
      <c r="N55" s="112"/>
      <c r="O55" s="112"/>
      <c r="P55" s="112"/>
      <c r="Q55" s="114"/>
      <c r="R55" s="114"/>
      <c r="S55" s="114"/>
      <c r="T55" s="114"/>
      <c r="U55" s="114"/>
      <c r="V55" s="114"/>
      <c r="W55" s="114"/>
      <c r="X55" s="114"/>
      <c r="Y55" s="114"/>
    </row>
    <row r="56" ht="30.0" customHeight="1">
      <c r="A56" s="80" t="s">
        <v>341</v>
      </c>
      <c r="B56" s="43">
        <v>52.0</v>
      </c>
      <c r="C56" s="47" t="s">
        <v>57</v>
      </c>
      <c r="D56" s="47" t="s">
        <v>105</v>
      </c>
      <c r="E56" s="47" t="s">
        <v>191</v>
      </c>
      <c r="F56" s="47" t="s">
        <v>127</v>
      </c>
      <c r="G56" s="121" t="str">
        <f t="shared" si="1"/>
        <v>крылья MP </v>
      </c>
      <c r="H56" s="128" t="s">
        <v>1</v>
      </c>
      <c r="I56" s="112" t="str">
        <f>IFERROR(__xludf.DUMMYFUNCTION("""COMPUTED_VALUE"""),"Св. отбив   Фасоль")</f>
        <v>Св. отбив   Фасоль</v>
      </c>
      <c r="J56" s="112">
        <f>IFERROR(__xludf.DUMMYFUNCTION("""COMPUTED_VALUE"""),1.0)</f>
        <v>1</v>
      </c>
      <c r="K56" s="112" t="str">
        <f>IFERROR(__xludf.DUMMYFUNCTION("""COMPUTED_VALUE"""),"Олимп")</f>
        <v>Олимп</v>
      </c>
      <c r="L56" s="112"/>
      <c r="M56" s="112"/>
      <c r="N56" s="112"/>
      <c r="O56" s="112"/>
      <c r="P56" s="112"/>
      <c r="Q56" s="114"/>
      <c r="R56" s="114"/>
      <c r="S56" s="114"/>
      <c r="T56" s="114"/>
      <c r="U56" s="114"/>
      <c r="V56" s="114"/>
      <c r="W56" s="114"/>
      <c r="X56" s="114"/>
      <c r="Y56" s="114"/>
    </row>
    <row r="57" ht="30.0" customHeight="1">
      <c r="A57" s="80" t="s">
        <v>470</v>
      </c>
      <c r="B57" s="43">
        <v>53.0</v>
      </c>
      <c r="C57" s="47" t="s">
        <v>5</v>
      </c>
      <c r="D57" s="47" t="s">
        <v>85</v>
      </c>
      <c r="E57" s="47" t="s">
        <v>165</v>
      </c>
      <c r="F57" s="47"/>
      <c r="G57" s="121" t="str">
        <f t="shared" si="1"/>
        <v>Пельмени </v>
      </c>
      <c r="H57" s="128" t="s">
        <v>1</v>
      </c>
      <c r="I57" s="112" t="str">
        <f>IFERROR(__xludf.DUMMYFUNCTION("""COMPUTED_VALUE"""),"Терияки  FF")</f>
        <v>Терияки  FF</v>
      </c>
      <c r="J57" s="112">
        <f>IFERROR(__xludf.DUMMYFUNCTION("""COMPUTED_VALUE"""),1.0)</f>
        <v>1</v>
      </c>
      <c r="K57" s="112" t="str">
        <f>IFERROR(__xludf.DUMMYFUNCTION("""COMPUTED_VALUE"""),"Олимп")</f>
        <v>Олимп</v>
      </c>
      <c r="L57" s="112"/>
      <c r="M57" s="112"/>
      <c r="N57" s="112"/>
      <c r="O57" s="112"/>
      <c r="P57" s="112"/>
      <c r="Q57" s="114"/>
      <c r="R57" s="114"/>
      <c r="S57" s="114"/>
      <c r="T57" s="114"/>
      <c r="U57" s="114"/>
      <c r="V57" s="114"/>
      <c r="W57" s="114"/>
      <c r="X57" s="114"/>
      <c r="Y57" s="114"/>
    </row>
    <row r="58" ht="30.0" customHeight="1">
      <c r="A58" s="80" t="s">
        <v>350</v>
      </c>
      <c r="B58" s="43">
        <v>54.0</v>
      </c>
      <c r="C58" s="47" t="s">
        <v>47</v>
      </c>
      <c r="D58" s="47" t="s">
        <v>78</v>
      </c>
      <c r="E58" s="47" t="s">
        <v>191</v>
      </c>
      <c r="F58" s="47" t="s">
        <v>122</v>
      </c>
      <c r="G58" s="121" t="str">
        <f t="shared" si="1"/>
        <v>крылья Туш. кап.</v>
      </c>
      <c r="H58" s="128" t="s">
        <v>1</v>
      </c>
      <c r="I58" s="112" t="str">
        <f>IFERROR(__xludf.DUMMYFUNCTION("""COMPUTED_VALUE"""),"Терияки Картошка")</f>
        <v>Терияки Картошка</v>
      </c>
      <c r="J58" s="112">
        <f>IFERROR(__xludf.DUMMYFUNCTION("""COMPUTED_VALUE"""),1.0)</f>
        <v>1</v>
      </c>
      <c r="K58" s="112" t="str">
        <f>IFERROR(__xludf.DUMMYFUNCTION("""COMPUTED_VALUE"""),"Олимп")</f>
        <v>Олимп</v>
      </c>
      <c r="L58" s="112"/>
      <c r="M58" s="112"/>
      <c r="N58" s="112"/>
      <c r="O58" s="112"/>
      <c r="P58" s="112"/>
      <c r="Q58" s="114"/>
      <c r="R58" s="114"/>
      <c r="S58" s="114"/>
      <c r="T58" s="114"/>
      <c r="U58" s="114"/>
      <c r="V58" s="114"/>
      <c r="W58" s="114"/>
      <c r="X58" s="114"/>
      <c r="Y58" s="114"/>
    </row>
    <row r="59" ht="30.0" customHeight="1">
      <c r="A59" s="80" t="s">
        <v>549</v>
      </c>
      <c r="B59" s="43">
        <v>55.0</v>
      </c>
      <c r="C59" s="47" t="s">
        <v>16</v>
      </c>
      <c r="D59" s="47" t="s">
        <v>105</v>
      </c>
      <c r="E59" s="47" t="s">
        <v>209</v>
      </c>
      <c r="F59" s="47" t="s">
        <v>113</v>
      </c>
      <c r="G59" s="121" t="str">
        <f t="shared" si="1"/>
        <v>Шницель  FF</v>
      </c>
      <c r="H59" s="128" t="s">
        <v>1</v>
      </c>
      <c r="I59" s="112" t="str">
        <f>IFERROR(__xludf.DUMMYFUNCTION("""COMPUTED_VALUE"""),"Терияки Паста  ")</f>
        <v>Терияки Паста  </v>
      </c>
      <c r="J59" s="112">
        <f>IFERROR(__xludf.DUMMYFUNCTION("""COMPUTED_VALUE"""),1.0)</f>
        <v>1</v>
      </c>
      <c r="K59" s="112" t="str">
        <f>IFERROR(__xludf.DUMMYFUNCTION("""COMPUTED_VALUE"""),"Олимп")</f>
        <v>Олимп</v>
      </c>
      <c r="L59" s="112"/>
      <c r="M59" s="112"/>
      <c r="N59" s="112"/>
      <c r="O59" s="112"/>
      <c r="P59" s="112"/>
      <c r="Q59" s="114"/>
      <c r="R59" s="114"/>
      <c r="S59" s="114"/>
      <c r="T59" s="114"/>
      <c r="U59" s="114"/>
      <c r="V59" s="114"/>
      <c r="W59" s="114"/>
      <c r="X59" s="114"/>
      <c r="Y59" s="114"/>
    </row>
    <row r="60" ht="30.0" customHeight="1">
      <c r="A60" s="80" t="s">
        <v>550</v>
      </c>
      <c r="B60" s="43">
        <v>56.0</v>
      </c>
      <c r="C60" s="47" t="s">
        <v>57</v>
      </c>
      <c r="D60" s="47" t="s">
        <v>105</v>
      </c>
      <c r="E60" s="47" t="s">
        <v>126</v>
      </c>
      <c r="F60" s="47" t="s">
        <v>276</v>
      </c>
      <c r="G60" s="121" t="str">
        <f t="shared" si="1"/>
        <v>S   Фасоль</v>
      </c>
      <c r="H60" s="128" t="s">
        <v>1</v>
      </c>
      <c r="I60" s="112" t="str">
        <f>IFERROR(__xludf.DUMMYFUNCTION("""COMPUTED_VALUE"""),"Чалахач ")</f>
        <v>Чалахач </v>
      </c>
      <c r="J60" s="112">
        <f>IFERROR(__xludf.DUMMYFUNCTION("""COMPUTED_VALUE"""),3.0)</f>
        <v>3</v>
      </c>
      <c r="K60" s="112" t="str">
        <f>IFERROR(__xludf.DUMMYFUNCTION("""COMPUTED_VALUE"""),"Олимп")</f>
        <v>Олимп</v>
      </c>
      <c r="L60" s="112"/>
      <c r="M60" s="112"/>
      <c r="N60" s="112"/>
      <c r="O60" s="112"/>
      <c r="P60" s="112"/>
      <c r="Q60" s="114"/>
      <c r="R60" s="114"/>
      <c r="S60" s="114"/>
      <c r="T60" s="114"/>
      <c r="U60" s="114"/>
      <c r="V60" s="114"/>
      <c r="W60" s="114"/>
      <c r="X60" s="114"/>
      <c r="Y60" s="114"/>
    </row>
    <row r="61" ht="30.0" customHeight="1">
      <c r="A61" s="80" t="s">
        <v>605</v>
      </c>
      <c r="B61" s="43">
        <v>57.0</v>
      </c>
      <c r="C61" s="47" t="s">
        <v>55</v>
      </c>
      <c r="D61" s="47" t="s">
        <v>87</v>
      </c>
      <c r="E61" s="47" t="s">
        <v>187</v>
      </c>
      <c r="F61" s="47" t="s">
        <v>272</v>
      </c>
      <c r="G61" s="121" t="str">
        <f t="shared" si="1"/>
        <v>Котл. кур Паста  </v>
      </c>
      <c r="H61" s="128" t="s">
        <v>1</v>
      </c>
      <c r="I61" s="112" t="str">
        <f>IFERROR(__xludf.DUMMYFUNCTION("""COMPUTED_VALUE"""),"Чалахач MP ")</f>
        <v>Чалахач MP </v>
      </c>
      <c r="J61" s="112">
        <f>IFERROR(__xludf.DUMMYFUNCTION("""COMPUTED_VALUE"""),1.0)</f>
        <v>1</v>
      </c>
      <c r="K61" s="112" t="str">
        <f>IFERROR(__xludf.DUMMYFUNCTION("""COMPUTED_VALUE"""),"Олимп")</f>
        <v>Олимп</v>
      </c>
      <c r="L61" s="112"/>
      <c r="M61" s="112"/>
      <c r="N61" s="112"/>
      <c r="O61" s="112"/>
      <c r="P61" s="112"/>
      <c r="Q61" s="114"/>
      <c r="R61" s="114"/>
      <c r="S61" s="114"/>
      <c r="T61" s="114"/>
      <c r="U61" s="114"/>
      <c r="V61" s="114"/>
      <c r="W61" s="114"/>
      <c r="X61" s="114"/>
      <c r="Y61" s="114"/>
    </row>
    <row r="62" ht="28.5" customHeight="1">
      <c r="A62" s="80" t="s">
        <v>353</v>
      </c>
      <c r="B62" s="43">
        <v>58.0</v>
      </c>
      <c r="C62" s="47" t="s">
        <v>23</v>
      </c>
      <c r="D62" s="47" t="s">
        <v>87</v>
      </c>
      <c r="E62" s="47" t="s">
        <v>222</v>
      </c>
      <c r="F62" s="47"/>
      <c r="G62" s="121" t="str">
        <f t="shared" si="1"/>
        <v>Чебуреки  </v>
      </c>
      <c r="H62" s="128" t="s">
        <v>1</v>
      </c>
      <c r="I62" s="112" t="str">
        <f>IFERROR(__xludf.DUMMYFUNCTION("""COMPUTED_VALUE"""),"Чалахач Гр  ")</f>
        <v>Чалахач Гр  </v>
      </c>
      <c r="J62" s="112">
        <f>IFERROR(__xludf.DUMMYFUNCTION("""COMPUTED_VALUE"""),2.0)</f>
        <v>2</v>
      </c>
      <c r="K62" s="112" t="str">
        <f>IFERROR(__xludf.DUMMYFUNCTION("""COMPUTED_VALUE"""),"Олимп")</f>
        <v>Олимп</v>
      </c>
      <c r="L62" s="112"/>
      <c r="M62" s="112"/>
      <c r="N62" s="112"/>
      <c r="O62" s="112"/>
      <c r="P62" s="112"/>
      <c r="Q62" s="114"/>
      <c r="R62" s="114"/>
      <c r="S62" s="114"/>
      <c r="T62" s="114"/>
      <c r="U62" s="114"/>
      <c r="V62" s="114"/>
      <c r="W62" s="114"/>
      <c r="X62" s="114"/>
      <c r="Y62" s="114"/>
    </row>
    <row r="63" ht="28.5" customHeight="1">
      <c r="A63" s="80" t="s">
        <v>273</v>
      </c>
      <c r="B63" s="43">
        <v>59.0</v>
      </c>
      <c r="C63" s="47" t="s">
        <v>16</v>
      </c>
      <c r="D63" s="47" t="s">
        <v>78</v>
      </c>
      <c r="E63" s="47" t="s">
        <v>126</v>
      </c>
      <c r="F63" s="47" t="s">
        <v>127</v>
      </c>
      <c r="G63" s="121" t="str">
        <f t="shared" si="1"/>
        <v>S   MP </v>
      </c>
      <c r="H63" s="128" t="s">
        <v>1</v>
      </c>
      <c r="I63" s="112" t="str">
        <f>IFERROR(__xludf.DUMMYFUNCTION("""COMPUTED_VALUE"""),"Чалахач Картошка")</f>
        <v>Чалахач Картошка</v>
      </c>
      <c r="J63" s="112">
        <f>IFERROR(__xludf.DUMMYFUNCTION("""COMPUTED_VALUE"""),3.0)</f>
        <v>3</v>
      </c>
      <c r="K63" s="112" t="str">
        <f>IFERROR(__xludf.DUMMYFUNCTION("""COMPUTED_VALUE"""),"Олимп")</f>
        <v>Олимп</v>
      </c>
      <c r="L63" s="112"/>
      <c r="M63" s="112"/>
      <c r="N63" s="112"/>
      <c r="O63" s="112"/>
      <c r="P63" s="112"/>
      <c r="Q63" s="114"/>
      <c r="R63" s="114"/>
      <c r="S63" s="114"/>
      <c r="T63" s="114"/>
      <c r="U63" s="114"/>
      <c r="V63" s="114"/>
      <c r="W63" s="114"/>
      <c r="X63" s="114"/>
      <c r="Y63" s="114"/>
    </row>
    <row r="64" ht="28.5" customHeight="1">
      <c r="A64" s="80" t="s">
        <v>557</v>
      </c>
      <c r="B64" s="43">
        <v>60.0</v>
      </c>
      <c r="C64" s="47" t="s">
        <v>16</v>
      </c>
      <c r="D64" s="47" t="s">
        <v>87</v>
      </c>
      <c r="E64" s="47" t="s">
        <v>126</v>
      </c>
      <c r="F64" s="47" t="s">
        <v>113</v>
      </c>
      <c r="G64" s="121" t="str">
        <f t="shared" si="1"/>
        <v>S    FF</v>
      </c>
      <c r="H64" s="128" t="s">
        <v>1</v>
      </c>
      <c r="I64" s="112" t="str">
        <f>IFERROR(__xludf.DUMMYFUNCTION("""COMPUTED_VALUE"""),"Чалахач Паста  ")</f>
        <v>Чалахач Паста  </v>
      </c>
      <c r="J64" s="112">
        <f>IFERROR(__xludf.DUMMYFUNCTION("""COMPUTED_VALUE"""),2.0)</f>
        <v>2</v>
      </c>
      <c r="K64" s="112" t="str">
        <f>IFERROR(__xludf.DUMMYFUNCTION("""COMPUTED_VALUE"""),"Олимп")</f>
        <v>Олимп</v>
      </c>
      <c r="L64" s="112"/>
      <c r="M64" s="112"/>
      <c r="N64" s="112"/>
      <c r="O64" s="112"/>
      <c r="P64" s="112"/>
      <c r="Q64" s="114"/>
      <c r="R64" s="114"/>
      <c r="S64" s="114"/>
      <c r="T64" s="114"/>
      <c r="U64" s="114"/>
      <c r="V64" s="114"/>
      <c r="W64" s="114"/>
      <c r="X64" s="114"/>
      <c r="Y64" s="114"/>
    </row>
    <row r="65" ht="30.0" customHeight="1">
      <c r="A65" s="80" t="s">
        <v>560</v>
      </c>
      <c r="B65" s="43">
        <v>61.0</v>
      </c>
      <c r="C65" s="47"/>
      <c r="D65" s="47" t="s">
        <v>85</v>
      </c>
      <c r="E65" s="47" t="s">
        <v>209</v>
      </c>
      <c r="F65" s="47" t="s">
        <v>122</v>
      </c>
      <c r="G65" s="121" t="str">
        <f t="shared" si="1"/>
        <v>Шницель Туш. кап.</v>
      </c>
      <c r="H65" s="128" t="s">
        <v>1</v>
      </c>
      <c r="I65" s="112" t="str">
        <f>IFERROR(__xludf.DUMMYFUNCTION("""COMPUTED_VALUE"""),"Чебуреки  ")</f>
        <v>Чебуреки  </v>
      </c>
      <c r="J65" s="112">
        <f>IFERROR(__xludf.DUMMYFUNCTION("""COMPUTED_VALUE"""),5.0)</f>
        <v>5</v>
      </c>
      <c r="K65" s="112" t="str">
        <f>IFERROR(__xludf.DUMMYFUNCTION("""COMPUTED_VALUE"""),"Олимп")</f>
        <v>Олимп</v>
      </c>
      <c r="L65" s="112"/>
      <c r="M65" s="112"/>
      <c r="N65" s="112"/>
      <c r="O65" s="112"/>
      <c r="P65" s="112"/>
      <c r="Q65" s="114"/>
      <c r="R65" s="114"/>
      <c r="S65" s="114"/>
      <c r="T65" s="114"/>
      <c r="U65" s="114"/>
      <c r="V65" s="114"/>
      <c r="W65" s="114"/>
      <c r="X65" s="114"/>
      <c r="Y65" s="114"/>
    </row>
    <row r="66" ht="30.0" customHeight="1">
      <c r="A66" s="80" t="s">
        <v>561</v>
      </c>
      <c r="B66" s="43">
        <v>62.0</v>
      </c>
      <c r="C66" s="47" t="s">
        <v>5</v>
      </c>
      <c r="D66" s="47" t="s">
        <v>85</v>
      </c>
      <c r="E66" s="47" t="s">
        <v>187</v>
      </c>
      <c r="F66" s="47" t="s">
        <v>127</v>
      </c>
      <c r="G66" s="121" t="str">
        <f t="shared" si="1"/>
        <v>Котл. кур MP </v>
      </c>
      <c r="H66" s="128" t="s">
        <v>1</v>
      </c>
      <c r="I66" s="112" t="str">
        <f>IFERROR(__xludf.DUMMYFUNCTION("""COMPUTED_VALUE"""),"Шницель  FF")</f>
        <v>Шницель  FF</v>
      </c>
      <c r="J66" s="112">
        <f>IFERROR(__xludf.DUMMYFUNCTION("""COMPUTED_VALUE"""),2.0)</f>
        <v>2</v>
      </c>
      <c r="K66" s="112" t="str">
        <f>IFERROR(__xludf.DUMMYFUNCTION("""COMPUTED_VALUE"""),"Олимп")</f>
        <v>Олимп</v>
      </c>
      <c r="L66" s="112"/>
      <c r="M66" s="112"/>
      <c r="N66" s="112"/>
      <c r="O66" s="112"/>
      <c r="P66" s="112"/>
      <c r="Q66" s="114"/>
      <c r="R66" s="114"/>
      <c r="S66" s="114"/>
      <c r="T66" s="114"/>
      <c r="U66" s="114"/>
      <c r="V66" s="114"/>
      <c r="W66" s="114"/>
      <c r="X66" s="114"/>
      <c r="Y66" s="114"/>
    </row>
    <row r="67" ht="30.0" customHeight="1">
      <c r="A67" s="55" t="s">
        <v>357</v>
      </c>
      <c r="B67" s="43">
        <v>63.0</v>
      </c>
      <c r="C67" s="47" t="s">
        <v>12</v>
      </c>
      <c r="D67" s="47" t="s">
        <v>78</v>
      </c>
      <c r="E67" s="47" t="s">
        <v>126</v>
      </c>
      <c r="F67" s="47" t="s">
        <v>80</v>
      </c>
      <c r="G67" s="121" t="str">
        <f t="shared" si="1"/>
        <v>S   Гр  </v>
      </c>
      <c r="H67" s="128" t="s">
        <v>1</v>
      </c>
      <c r="I67" s="112" t="str">
        <f>IFERROR(__xludf.DUMMYFUNCTION("""COMPUTED_VALUE"""),"Шницель Гр  ")</f>
        <v>Шницель Гр  </v>
      </c>
      <c r="J67" s="112">
        <f>IFERROR(__xludf.DUMMYFUNCTION("""COMPUTED_VALUE"""),3.0)</f>
        <v>3</v>
      </c>
      <c r="K67" s="112" t="str">
        <f>IFERROR(__xludf.DUMMYFUNCTION("""COMPUTED_VALUE"""),"Олимп")</f>
        <v>Олимп</v>
      </c>
      <c r="L67" s="112"/>
      <c r="M67" s="112"/>
      <c r="N67" s="112"/>
      <c r="O67" s="112"/>
      <c r="P67" s="112"/>
      <c r="Q67" s="114"/>
      <c r="R67" s="114"/>
      <c r="S67" s="114"/>
      <c r="T67" s="114"/>
      <c r="U67" s="114"/>
      <c r="V67" s="114"/>
      <c r="W67" s="114"/>
      <c r="X67" s="114"/>
      <c r="Y67" s="114"/>
    </row>
    <row r="68" ht="30.0" customHeight="1">
      <c r="A68" s="55" t="s">
        <v>358</v>
      </c>
      <c r="B68" s="43">
        <v>64.0</v>
      </c>
      <c r="C68" s="47" t="s">
        <v>5</v>
      </c>
      <c r="D68" s="47" t="s">
        <v>78</v>
      </c>
      <c r="E68" s="47" t="s">
        <v>209</v>
      </c>
      <c r="F68" s="47" t="s">
        <v>80</v>
      </c>
      <c r="G68" s="121" t="str">
        <f t="shared" si="1"/>
        <v>Шницель Гр  </v>
      </c>
      <c r="H68" s="128" t="s">
        <v>1</v>
      </c>
      <c r="I68" s="112" t="str">
        <f>IFERROR(__xludf.DUMMYFUNCTION("""COMPUTED_VALUE"""),"Шницель Туш. кап.")</f>
        <v>Шницель Туш. кап.</v>
      </c>
      <c r="J68" s="112">
        <f>IFERROR(__xludf.DUMMYFUNCTION("""COMPUTED_VALUE"""),2.0)</f>
        <v>2</v>
      </c>
      <c r="K68" s="112" t="str">
        <f>IFERROR(__xludf.DUMMYFUNCTION("""COMPUTED_VALUE"""),"Олимп")</f>
        <v>Олимп</v>
      </c>
      <c r="L68" s="112"/>
      <c r="M68" s="112"/>
      <c r="N68" s="112"/>
      <c r="O68" s="112"/>
      <c r="P68" s="112"/>
      <c r="Q68" s="114"/>
      <c r="R68" s="114"/>
      <c r="S68" s="114"/>
      <c r="T68" s="114"/>
      <c r="U68" s="114"/>
      <c r="V68" s="114"/>
      <c r="W68" s="114"/>
      <c r="X68" s="114"/>
      <c r="Y68" s="114"/>
    </row>
    <row r="69" ht="30.0" customHeight="1">
      <c r="A69" s="6" t="s">
        <v>360</v>
      </c>
      <c r="B69" s="43">
        <v>65.0</v>
      </c>
      <c r="C69" s="75" t="s">
        <v>62</v>
      </c>
      <c r="D69" s="75" t="s">
        <v>105</v>
      </c>
      <c r="E69" s="75" t="s">
        <v>209</v>
      </c>
      <c r="F69" s="75" t="s">
        <v>276</v>
      </c>
      <c r="G69" s="121" t="str">
        <f t="shared" si="1"/>
        <v>Шницель Фасоль</v>
      </c>
      <c r="H69" s="128" t="s">
        <v>1</v>
      </c>
      <c r="I69" s="112" t="str">
        <f>IFERROR(__xludf.DUMMYFUNCTION("""COMPUTED_VALUE"""),"Шницель Фасоль")</f>
        <v>Шницель Фасоль</v>
      </c>
      <c r="J69" s="112">
        <f>IFERROR(__xludf.DUMMYFUNCTION("""COMPUTED_VALUE"""),3.0)</f>
        <v>3</v>
      </c>
      <c r="K69" s="112" t="str">
        <f>IFERROR(__xludf.DUMMYFUNCTION("""COMPUTED_VALUE"""),"Олимп")</f>
        <v>Олимп</v>
      </c>
      <c r="L69" s="112"/>
      <c r="M69" s="112"/>
      <c r="N69" s="112"/>
      <c r="O69" s="112"/>
      <c r="P69" s="112"/>
      <c r="Q69" s="114"/>
      <c r="R69" s="114"/>
      <c r="S69" s="114"/>
      <c r="T69" s="114"/>
      <c r="U69" s="114"/>
      <c r="V69" s="114"/>
      <c r="W69" s="114"/>
      <c r="X69" s="114"/>
      <c r="Y69" s="114"/>
    </row>
    <row r="70" ht="30.0" customHeight="1">
      <c r="A70" s="6" t="s">
        <v>363</v>
      </c>
      <c r="B70" s="43">
        <v>66.0</v>
      </c>
      <c r="C70" s="47" t="s">
        <v>5</v>
      </c>
      <c r="D70" s="47" t="s">
        <v>85</v>
      </c>
      <c r="E70" s="47" t="s">
        <v>165</v>
      </c>
      <c r="F70" s="47"/>
      <c r="G70" s="121" t="str">
        <f t="shared" si="1"/>
        <v>Пельмени </v>
      </c>
      <c r="H70" s="128" t="s">
        <v>1</v>
      </c>
      <c r="I70" s="112" t="str">
        <f>IFERROR(__xludf.DUMMYFUNCTION("""COMPUTED_VALUE"""),"крылья ")</f>
        <v>крылья </v>
      </c>
      <c r="J70" s="112">
        <f>IFERROR(__xludf.DUMMYFUNCTION("""COMPUTED_VALUE"""),1.0)</f>
        <v>1</v>
      </c>
      <c r="K70" s="112" t="str">
        <f>IFERROR(__xludf.DUMMYFUNCTION("""COMPUTED_VALUE"""),"Олимп")</f>
        <v>Олимп</v>
      </c>
      <c r="L70" s="112"/>
      <c r="M70" s="112"/>
      <c r="N70" s="112"/>
      <c r="O70" s="112"/>
      <c r="P70" s="112"/>
      <c r="Q70" s="114"/>
      <c r="R70" s="114"/>
      <c r="S70" s="114"/>
      <c r="T70" s="114"/>
      <c r="U70" s="114"/>
      <c r="V70" s="114"/>
      <c r="W70" s="114"/>
      <c r="X70" s="114"/>
      <c r="Y70" s="114"/>
    </row>
    <row r="71" ht="30.0" customHeight="1">
      <c r="A71" s="80" t="s">
        <v>377</v>
      </c>
      <c r="B71" s="43">
        <v>67.0</v>
      </c>
      <c r="C71" s="47" t="s">
        <v>57</v>
      </c>
      <c r="D71" s="47" t="s">
        <v>87</v>
      </c>
      <c r="E71" s="47" t="s">
        <v>187</v>
      </c>
      <c r="F71" s="47" t="s">
        <v>80</v>
      </c>
      <c r="G71" s="121" t="str">
        <f t="shared" si="1"/>
        <v>Котл. кур Гр  </v>
      </c>
      <c r="H71" s="128" t="s">
        <v>1</v>
      </c>
      <c r="I71" s="112" t="str">
        <f>IFERROR(__xludf.DUMMYFUNCTION("""COMPUTED_VALUE"""),"крылья MP ")</f>
        <v>крылья MP </v>
      </c>
      <c r="J71" s="112">
        <f>IFERROR(__xludf.DUMMYFUNCTION("""COMPUTED_VALUE"""),1.0)</f>
        <v>1</v>
      </c>
      <c r="K71" s="112" t="str">
        <f>IFERROR(__xludf.DUMMYFUNCTION("""COMPUTED_VALUE"""),"Олимп")</f>
        <v>Олимп</v>
      </c>
      <c r="L71" s="112"/>
      <c r="M71" s="112"/>
      <c r="N71" s="112"/>
      <c r="O71" s="112"/>
      <c r="P71" s="112"/>
      <c r="Q71" s="114"/>
      <c r="R71" s="114"/>
      <c r="S71" s="114"/>
      <c r="T71" s="114"/>
      <c r="U71" s="114"/>
      <c r="V71" s="114"/>
      <c r="W71" s="114"/>
      <c r="X71" s="114"/>
      <c r="Y71" s="114"/>
    </row>
    <row r="72" ht="30.0" customHeight="1">
      <c r="A72" s="80" t="s">
        <v>568</v>
      </c>
      <c r="B72" s="43">
        <v>68.0</v>
      </c>
      <c r="C72" s="47" t="s">
        <v>5</v>
      </c>
      <c r="D72" s="47" t="s">
        <v>105</v>
      </c>
      <c r="E72" s="47" t="s">
        <v>126</v>
      </c>
      <c r="F72" s="47" t="s">
        <v>122</v>
      </c>
      <c r="G72" s="121" t="str">
        <f t="shared" si="1"/>
        <v>S   Туш. кап.</v>
      </c>
      <c r="H72" s="128" t="s">
        <v>1</v>
      </c>
      <c r="I72" s="112" t="str">
        <f>IFERROR(__xludf.DUMMYFUNCTION("""COMPUTED_VALUE"""),"крылья Гр  ")</f>
        <v>крылья Гр  </v>
      </c>
      <c r="J72" s="112">
        <f>IFERROR(__xludf.DUMMYFUNCTION("""COMPUTED_VALUE"""),1.0)</f>
        <v>1</v>
      </c>
      <c r="K72" s="112" t="str">
        <f>IFERROR(__xludf.DUMMYFUNCTION("""COMPUTED_VALUE"""),"Олимп")</f>
        <v>Олимп</v>
      </c>
      <c r="L72" s="112"/>
      <c r="M72" s="112"/>
      <c r="N72" s="112"/>
      <c r="O72" s="112"/>
      <c r="P72" s="112"/>
      <c r="Q72" s="114"/>
      <c r="R72" s="114"/>
      <c r="S72" s="114"/>
      <c r="T72" s="114"/>
      <c r="U72" s="114"/>
      <c r="V72" s="114"/>
      <c r="W72" s="114"/>
      <c r="X72" s="114"/>
      <c r="Y72" s="114"/>
    </row>
    <row r="73" ht="30.0" customHeight="1">
      <c r="A73" s="80" t="s">
        <v>280</v>
      </c>
      <c r="B73" s="43">
        <v>69.0</v>
      </c>
      <c r="C73" s="47" t="s">
        <v>5</v>
      </c>
      <c r="D73" s="47" t="s">
        <v>105</v>
      </c>
      <c r="E73" s="47" t="s">
        <v>166</v>
      </c>
      <c r="F73" s="47" t="s">
        <v>122</v>
      </c>
      <c r="G73" s="121" t="str">
        <f t="shared" si="1"/>
        <v>Голубцы Туш. кап.</v>
      </c>
      <c r="H73" s="128" t="s">
        <v>1</v>
      </c>
      <c r="I73" s="112" t="str">
        <f>IFERROR(__xludf.DUMMYFUNCTION("""COMPUTED_VALUE"""),"крылья Туш. кап.")</f>
        <v>крылья Туш. кап.</v>
      </c>
      <c r="J73" s="112">
        <f>IFERROR(__xludf.DUMMYFUNCTION("""COMPUTED_VALUE"""),1.0)</f>
        <v>1</v>
      </c>
      <c r="K73" s="112" t="str">
        <f>IFERROR(__xludf.DUMMYFUNCTION("""COMPUTED_VALUE"""),"Олимп")</f>
        <v>Олимп</v>
      </c>
      <c r="L73" s="112"/>
      <c r="M73" s="112"/>
      <c r="N73" s="112"/>
      <c r="O73" s="112"/>
      <c r="P73" s="112"/>
      <c r="Q73" s="114"/>
      <c r="R73" s="114"/>
      <c r="S73" s="114"/>
      <c r="T73" s="114"/>
      <c r="U73" s="114"/>
      <c r="V73" s="114"/>
      <c r="W73" s="114"/>
      <c r="X73" s="114"/>
      <c r="Y73" s="114"/>
    </row>
    <row r="74" ht="30.0" customHeight="1">
      <c r="A74" s="80" t="s">
        <v>570</v>
      </c>
      <c r="B74" s="43">
        <v>70.0</v>
      </c>
      <c r="C74" s="47" t="s">
        <v>16</v>
      </c>
      <c r="D74" s="47" t="s">
        <v>78</v>
      </c>
      <c r="E74" s="47" t="s">
        <v>222</v>
      </c>
      <c r="F74" s="47"/>
      <c r="G74" s="121" t="str">
        <f t="shared" si="1"/>
        <v>Чебуреки  </v>
      </c>
      <c r="H74" s="128" t="s">
        <v>1</v>
      </c>
      <c r="I74" s="112" t="str">
        <f>IFERROR(__xludf.DUMMYFUNCTION("""COMPUTED_VALUE"""),"табака  MP ")</f>
        <v>табака  MP </v>
      </c>
      <c r="J74" s="112">
        <f>IFERROR(__xludf.DUMMYFUNCTION("""COMPUTED_VALUE"""),1.0)</f>
        <v>1</v>
      </c>
      <c r="K74" s="112" t="str">
        <f>IFERROR(__xludf.DUMMYFUNCTION("""COMPUTED_VALUE"""),"Олимп")</f>
        <v>Олимп</v>
      </c>
      <c r="L74" s="112"/>
      <c r="M74" s="112"/>
      <c r="N74" s="112"/>
      <c r="O74" s="112"/>
      <c r="P74" s="112"/>
      <c r="Q74" s="114"/>
      <c r="R74" s="114"/>
      <c r="S74" s="114"/>
      <c r="T74" s="114"/>
      <c r="U74" s="114"/>
      <c r="V74" s="114"/>
      <c r="W74" s="114"/>
      <c r="X74" s="114"/>
      <c r="Y74" s="114"/>
    </row>
    <row r="75" ht="30.0" customHeight="1">
      <c r="A75" s="80" t="s">
        <v>381</v>
      </c>
      <c r="B75" s="43">
        <v>71.0</v>
      </c>
      <c r="C75" s="47" t="s">
        <v>12</v>
      </c>
      <c r="D75" s="47" t="s">
        <v>78</v>
      </c>
      <c r="E75" s="47" t="s">
        <v>209</v>
      </c>
      <c r="F75" s="47" t="s">
        <v>122</v>
      </c>
      <c r="G75" s="121" t="str">
        <f t="shared" si="1"/>
        <v>Шницель Туш. кап.</v>
      </c>
      <c r="H75" s="128" t="s">
        <v>1</v>
      </c>
      <c r="I75" s="112" t="str">
        <f>IFERROR(__xludf.DUMMYFUNCTION("""COMPUTED_VALUE"""),"табака  Гр  ")</f>
        <v>табака  Гр  </v>
      </c>
      <c r="J75" s="112">
        <f>IFERROR(__xludf.DUMMYFUNCTION("""COMPUTED_VALUE"""),2.0)</f>
        <v>2</v>
      </c>
      <c r="K75" s="112" t="str">
        <f>IFERROR(__xludf.DUMMYFUNCTION("""COMPUTED_VALUE"""),"Олимп")</f>
        <v>Олимп</v>
      </c>
      <c r="L75" s="112"/>
      <c r="M75" s="112"/>
      <c r="N75" s="112"/>
      <c r="O75" s="112"/>
      <c r="P75" s="112"/>
      <c r="Q75" s="114"/>
      <c r="R75" s="114"/>
      <c r="S75" s="114"/>
      <c r="T75" s="114"/>
      <c r="U75" s="114"/>
      <c r="V75" s="114"/>
      <c r="W75" s="114"/>
      <c r="X75" s="114"/>
      <c r="Y75" s="114"/>
    </row>
    <row r="76" ht="30.0" customHeight="1">
      <c r="A76" s="43" t="s">
        <v>574</v>
      </c>
      <c r="B76" s="43">
        <v>72.0</v>
      </c>
      <c r="C76" s="47" t="s">
        <v>55</v>
      </c>
      <c r="D76" s="47" t="s">
        <v>87</v>
      </c>
      <c r="E76" s="47" t="s">
        <v>173</v>
      </c>
      <c r="F76" s="129" t="s">
        <v>127</v>
      </c>
      <c r="G76" s="121" t="str">
        <f t="shared" si="1"/>
        <v>Дорадо MP </v>
      </c>
      <c r="H76" s="128" t="s">
        <v>1</v>
      </c>
      <c r="I76" s="112" t="str">
        <f>IFERROR(__xludf.DUMMYFUNCTION("""COMPUTED_VALUE"""),"табака  Паста  ")</f>
        <v>табака  Паста  </v>
      </c>
      <c r="J76" s="112">
        <f>IFERROR(__xludf.DUMMYFUNCTION("""COMPUTED_VALUE"""),1.0)</f>
        <v>1</v>
      </c>
      <c r="K76" s="112" t="str">
        <f>IFERROR(__xludf.DUMMYFUNCTION("""COMPUTED_VALUE"""),"Олимп")</f>
        <v>Олимп</v>
      </c>
      <c r="L76" s="112"/>
      <c r="M76" s="112"/>
      <c r="N76" s="112"/>
      <c r="O76" s="112"/>
      <c r="P76" s="112"/>
      <c r="Q76" s="114"/>
      <c r="R76" s="114"/>
      <c r="S76" s="114"/>
      <c r="T76" s="114"/>
      <c r="U76" s="114"/>
      <c r="V76" s="114"/>
      <c r="W76" s="114"/>
      <c r="X76" s="114"/>
      <c r="Y76" s="114"/>
    </row>
    <row r="77" ht="30.0" customHeight="1">
      <c r="A77" s="80" t="s">
        <v>392</v>
      </c>
      <c r="B77" s="43">
        <v>73.0</v>
      </c>
      <c r="C77" s="47" t="s">
        <v>55</v>
      </c>
      <c r="D77" s="47" t="s">
        <v>78</v>
      </c>
      <c r="E77" s="47" t="s">
        <v>211</v>
      </c>
      <c r="F77" s="129" t="s">
        <v>272</v>
      </c>
      <c r="G77" s="130" t="str">
        <f t="shared" si="1"/>
        <v>табака  Паста  </v>
      </c>
      <c r="H77" s="130" t="s">
        <v>1</v>
      </c>
      <c r="I77" s="112"/>
      <c r="J77" s="112"/>
      <c r="K77" s="112"/>
      <c r="L77" s="112"/>
      <c r="M77" s="112"/>
      <c r="N77" s="112"/>
      <c r="O77" s="112"/>
      <c r="P77" s="112"/>
      <c r="Q77" s="114"/>
      <c r="R77" s="114"/>
      <c r="S77" s="114"/>
      <c r="T77" s="114"/>
      <c r="U77" s="114"/>
      <c r="V77" s="114"/>
      <c r="W77" s="114"/>
      <c r="X77" s="114"/>
      <c r="Y77" s="114"/>
    </row>
    <row r="78" ht="30.0" customHeight="1">
      <c r="A78" s="55" t="s">
        <v>397</v>
      </c>
      <c r="B78" s="43">
        <v>74.0</v>
      </c>
      <c r="C78" s="47" t="s">
        <v>16</v>
      </c>
      <c r="D78" s="47" t="s">
        <v>78</v>
      </c>
      <c r="E78" s="47" t="s">
        <v>222</v>
      </c>
      <c r="F78" s="47"/>
      <c r="G78" s="121" t="str">
        <f t="shared" si="1"/>
        <v>Чебуреки  </v>
      </c>
      <c r="H78" s="128" t="s">
        <v>1</v>
      </c>
      <c r="I78" s="112"/>
      <c r="J78" s="112"/>
      <c r="K78" s="112"/>
      <c r="L78" s="112"/>
      <c r="M78" s="112"/>
      <c r="N78" s="112"/>
      <c r="O78" s="112"/>
      <c r="P78" s="112"/>
      <c r="Q78" s="114"/>
      <c r="R78" s="114"/>
      <c r="S78" s="114"/>
      <c r="T78" s="114"/>
      <c r="U78" s="114"/>
      <c r="V78" s="114"/>
      <c r="W78" s="114"/>
      <c r="X78" s="114"/>
      <c r="Y78" s="114"/>
    </row>
    <row r="79" ht="30.0" customHeight="1">
      <c r="A79" s="55" t="s">
        <v>576</v>
      </c>
      <c r="B79" s="43">
        <v>75.0</v>
      </c>
      <c r="C79" s="47" t="s">
        <v>16</v>
      </c>
      <c r="D79" s="47" t="s">
        <v>87</v>
      </c>
      <c r="E79" s="47" t="s">
        <v>126</v>
      </c>
      <c r="F79" s="47"/>
      <c r="G79" s="121" t="str">
        <f t="shared" si="1"/>
        <v>S   </v>
      </c>
      <c r="H79" s="128" t="s">
        <v>1</v>
      </c>
      <c r="I79" s="112"/>
      <c r="J79" s="112"/>
      <c r="K79" s="112"/>
      <c r="L79" s="112"/>
      <c r="M79" s="112"/>
      <c r="N79" s="112"/>
      <c r="O79" s="112"/>
      <c r="P79" s="112"/>
      <c r="Q79" s="114"/>
      <c r="R79" s="114"/>
      <c r="S79" s="114"/>
      <c r="T79" s="114"/>
      <c r="U79" s="114"/>
      <c r="V79" s="114"/>
      <c r="W79" s="114"/>
      <c r="X79" s="114"/>
      <c r="Y79" s="114"/>
    </row>
    <row r="80" ht="30.0" customHeight="1">
      <c r="A80" s="150" t="s">
        <v>399</v>
      </c>
      <c r="B80" s="43">
        <v>76.0</v>
      </c>
      <c r="C80" s="47" t="s">
        <v>62</v>
      </c>
      <c r="D80" s="47" t="s">
        <v>85</v>
      </c>
      <c r="E80" s="47" t="s">
        <v>97</v>
      </c>
      <c r="F80" s="47" t="s">
        <v>98</v>
      </c>
      <c r="G80" s="121" t="str">
        <f t="shared" si="1"/>
        <v>Терияки Картошка</v>
      </c>
      <c r="H80" s="128" t="s">
        <v>1</v>
      </c>
      <c r="I80" s="112"/>
      <c r="J80" s="112"/>
      <c r="K80" s="112"/>
      <c r="L80" s="112"/>
      <c r="M80" s="112"/>
      <c r="N80" s="112"/>
      <c r="O80" s="112"/>
      <c r="P80" s="112"/>
      <c r="Q80" s="114"/>
      <c r="R80" s="114"/>
      <c r="S80" s="114"/>
      <c r="T80" s="114"/>
      <c r="U80" s="114"/>
      <c r="V80" s="114"/>
      <c r="W80" s="114"/>
      <c r="X80" s="114"/>
      <c r="Y80" s="114"/>
    </row>
    <row r="81" ht="30.0" customHeight="1">
      <c r="A81" s="80" t="s">
        <v>304</v>
      </c>
      <c r="B81" s="43">
        <v>77.0</v>
      </c>
      <c r="C81" s="47" t="s">
        <v>5</v>
      </c>
      <c r="D81" s="47" t="s">
        <v>117</v>
      </c>
      <c r="E81" s="129" t="s">
        <v>209</v>
      </c>
      <c r="F81" s="47" t="s">
        <v>80</v>
      </c>
      <c r="G81" s="121" t="str">
        <f t="shared" si="1"/>
        <v>Шницель Гр  </v>
      </c>
      <c r="H81" s="128" t="s">
        <v>1</v>
      </c>
      <c r="I81" s="112"/>
      <c r="J81" s="112"/>
      <c r="K81" s="112"/>
      <c r="L81" s="112"/>
      <c r="M81" s="112"/>
      <c r="N81" s="112"/>
      <c r="O81" s="112"/>
      <c r="P81" s="112"/>
      <c r="Q81" s="114"/>
      <c r="R81" s="114"/>
      <c r="S81" s="114"/>
      <c r="T81" s="114"/>
      <c r="U81" s="114"/>
      <c r="V81" s="114"/>
      <c r="W81" s="114"/>
      <c r="X81" s="114"/>
      <c r="Y81" s="114"/>
    </row>
    <row r="82" ht="30.0" customHeight="1">
      <c r="A82" s="63" t="s">
        <v>580</v>
      </c>
      <c r="B82" s="43">
        <v>78.0</v>
      </c>
      <c r="C82" s="47" t="s">
        <v>47</v>
      </c>
      <c r="D82" s="47" t="s">
        <v>87</v>
      </c>
      <c r="E82" s="129" t="s">
        <v>150</v>
      </c>
      <c r="F82" s="19"/>
      <c r="G82" s="121" t="str">
        <f t="shared" si="1"/>
        <v>Бл. мясо </v>
      </c>
      <c r="H82" s="128" t="s">
        <v>1</v>
      </c>
      <c r="I82" s="112"/>
      <c r="J82" s="112"/>
      <c r="K82" s="112"/>
      <c r="L82" s="112"/>
      <c r="M82" s="112"/>
      <c r="N82" s="112"/>
      <c r="O82" s="112"/>
      <c r="P82" s="112"/>
      <c r="Q82" s="114"/>
      <c r="R82" s="114"/>
      <c r="S82" s="114"/>
      <c r="T82" s="114"/>
      <c r="U82" s="114"/>
      <c r="V82" s="114"/>
      <c r="W82" s="114"/>
      <c r="X82" s="114"/>
      <c r="Y82" s="114"/>
    </row>
    <row r="83" ht="30.0" customHeight="1">
      <c r="A83" s="80" t="s">
        <v>414</v>
      </c>
      <c r="B83" s="43">
        <v>79.0</v>
      </c>
      <c r="C83" s="47" t="s">
        <v>16</v>
      </c>
      <c r="D83" s="47" t="s">
        <v>87</v>
      </c>
      <c r="E83" s="47" t="s">
        <v>166</v>
      </c>
      <c r="F83" s="47"/>
      <c r="G83" s="121" t="str">
        <f t="shared" si="1"/>
        <v>Голубцы </v>
      </c>
      <c r="H83" s="128" t="s">
        <v>1</v>
      </c>
      <c r="I83" s="112"/>
      <c r="J83" s="112"/>
      <c r="K83" s="112"/>
      <c r="L83" s="112"/>
      <c r="M83" s="112"/>
      <c r="N83" s="112"/>
      <c r="O83" s="112"/>
      <c r="P83" s="112"/>
      <c r="Q83" s="114"/>
      <c r="R83" s="114"/>
      <c r="S83" s="114"/>
      <c r="T83" s="114"/>
      <c r="U83" s="114"/>
      <c r="V83" s="114"/>
      <c r="W83" s="114"/>
      <c r="X83" s="114"/>
      <c r="Y83" s="114"/>
    </row>
    <row r="84" ht="30.0" customHeight="1">
      <c r="A84" s="150" t="s">
        <v>581</v>
      </c>
      <c r="B84" s="43">
        <v>80.0</v>
      </c>
      <c r="C84" s="47" t="s">
        <v>55</v>
      </c>
      <c r="D84" s="47" t="s">
        <v>65</v>
      </c>
      <c r="E84" s="47" t="s">
        <v>222</v>
      </c>
      <c r="F84" s="47"/>
      <c r="G84" s="121" t="str">
        <f t="shared" si="1"/>
        <v>Чебуреки  </v>
      </c>
      <c r="H84" s="128" t="s">
        <v>1</v>
      </c>
      <c r="I84" s="112"/>
      <c r="J84" s="112"/>
      <c r="K84" s="112"/>
      <c r="L84" s="112"/>
      <c r="M84" s="112"/>
      <c r="N84" s="112"/>
      <c r="O84" s="112"/>
      <c r="P84" s="112"/>
      <c r="Q84" s="114"/>
      <c r="R84" s="114"/>
      <c r="S84" s="114"/>
      <c r="T84" s="114"/>
      <c r="U84" s="114"/>
      <c r="V84" s="114"/>
      <c r="W84" s="114"/>
      <c r="X84" s="114"/>
      <c r="Y84" s="114"/>
    </row>
    <row r="85" ht="30.0" customHeight="1">
      <c r="A85" s="6" t="s">
        <v>416</v>
      </c>
      <c r="B85" s="43">
        <v>81.0</v>
      </c>
      <c r="C85" s="47" t="s">
        <v>57</v>
      </c>
      <c r="D85" s="47" t="s">
        <v>87</v>
      </c>
      <c r="E85" s="47" t="s">
        <v>187</v>
      </c>
      <c r="F85" s="47" t="s">
        <v>127</v>
      </c>
      <c r="G85" s="121" t="str">
        <f t="shared" si="1"/>
        <v>Котл. кур MP </v>
      </c>
      <c r="H85" s="128" t="s">
        <v>1</v>
      </c>
      <c r="I85" s="112"/>
      <c r="J85" s="112"/>
      <c r="K85" s="112"/>
      <c r="L85" s="112"/>
      <c r="M85" s="112"/>
      <c r="N85" s="112"/>
      <c r="O85" s="112"/>
      <c r="P85" s="112"/>
      <c r="Q85" s="114"/>
      <c r="R85" s="114"/>
      <c r="S85" s="114"/>
      <c r="T85" s="114"/>
      <c r="U85" s="114"/>
      <c r="V85" s="114"/>
      <c r="W85" s="114"/>
      <c r="X85" s="114"/>
      <c r="Y85" s="114"/>
    </row>
    <row r="86" ht="30.0" customHeight="1">
      <c r="A86" s="68" t="s">
        <v>583</v>
      </c>
      <c r="B86" s="43">
        <v>82.0</v>
      </c>
      <c r="C86" s="47" t="s">
        <v>57</v>
      </c>
      <c r="D86" s="47" t="s">
        <v>105</v>
      </c>
      <c r="E86" s="47" t="s">
        <v>79</v>
      </c>
      <c r="F86" s="47" t="s">
        <v>272</v>
      </c>
      <c r="G86" s="121" t="str">
        <f t="shared" si="1"/>
        <v>Чалахач Паста  </v>
      </c>
      <c r="H86" s="128" t="s">
        <v>1</v>
      </c>
      <c r="I86" s="112"/>
      <c r="J86" s="112"/>
      <c r="K86" s="112"/>
      <c r="L86" s="112"/>
      <c r="M86" s="112"/>
      <c r="N86" s="112"/>
      <c r="O86" s="112"/>
      <c r="P86" s="112"/>
      <c r="Q86" s="114"/>
      <c r="R86" s="114"/>
      <c r="S86" s="114"/>
      <c r="T86" s="114"/>
      <c r="U86" s="114"/>
      <c r="V86" s="114"/>
      <c r="W86" s="114"/>
      <c r="X86" s="114"/>
      <c r="Y86" s="114"/>
    </row>
    <row r="87" ht="30.0" customHeight="1">
      <c r="A87" s="68" t="s">
        <v>584</v>
      </c>
      <c r="B87" s="43">
        <v>83.0</v>
      </c>
      <c r="C87" s="47" t="s">
        <v>32</v>
      </c>
      <c r="D87" s="47" t="s">
        <v>95</v>
      </c>
      <c r="E87" s="47" t="s">
        <v>126</v>
      </c>
      <c r="F87" s="47" t="s">
        <v>127</v>
      </c>
      <c r="G87" s="121" t="str">
        <f t="shared" si="1"/>
        <v>S   MP </v>
      </c>
      <c r="H87" s="128" t="s">
        <v>1</v>
      </c>
      <c r="I87" s="112"/>
      <c r="J87" s="112"/>
      <c r="K87" s="112"/>
      <c r="L87" s="112"/>
      <c r="M87" s="112"/>
      <c r="N87" s="112"/>
      <c r="O87" s="112"/>
      <c r="P87" s="112"/>
      <c r="Q87" s="114"/>
      <c r="R87" s="114"/>
      <c r="S87" s="114"/>
      <c r="T87" s="114"/>
      <c r="U87" s="114"/>
      <c r="V87" s="114"/>
      <c r="W87" s="114"/>
      <c r="X87" s="114"/>
      <c r="Y87" s="114"/>
    </row>
    <row r="88" ht="30.0" customHeight="1">
      <c r="A88" s="150" t="s">
        <v>585</v>
      </c>
      <c r="B88" s="43">
        <v>84.0</v>
      </c>
      <c r="C88" s="47" t="s">
        <v>57</v>
      </c>
      <c r="D88" s="47" t="s">
        <v>105</v>
      </c>
      <c r="E88" s="47" t="s">
        <v>126</v>
      </c>
      <c r="F88" s="97" t="s">
        <v>80</v>
      </c>
      <c r="G88" s="121" t="str">
        <f t="shared" si="1"/>
        <v>S   Гр  </v>
      </c>
      <c r="H88" s="128" t="s">
        <v>1</v>
      </c>
      <c r="I88" s="112"/>
      <c r="J88" s="112"/>
      <c r="K88" s="112"/>
      <c r="L88" s="112"/>
      <c r="M88" s="112"/>
      <c r="N88" s="112"/>
      <c r="O88" s="112"/>
      <c r="P88" s="112"/>
      <c r="Q88" s="114"/>
      <c r="R88" s="114"/>
      <c r="S88" s="114"/>
      <c r="T88" s="114"/>
      <c r="U88" s="114"/>
      <c r="V88" s="114"/>
      <c r="W88" s="114"/>
      <c r="X88" s="114"/>
      <c r="Y88" s="114"/>
    </row>
    <row r="89" ht="30.0" customHeight="1">
      <c r="A89" s="90" t="s">
        <v>586</v>
      </c>
      <c r="B89" s="43">
        <v>85.0</v>
      </c>
      <c r="C89" s="47" t="s">
        <v>47</v>
      </c>
      <c r="D89" s="47" t="s">
        <v>85</v>
      </c>
      <c r="E89" s="47" t="s">
        <v>126</v>
      </c>
      <c r="F89" s="97" t="s">
        <v>122</v>
      </c>
      <c r="G89" s="121" t="str">
        <f t="shared" si="1"/>
        <v>S   Туш. кап.</v>
      </c>
      <c r="H89" s="128" t="s">
        <v>1</v>
      </c>
      <c r="I89" s="112"/>
      <c r="J89" s="112"/>
      <c r="K89" s="112"/>
      <c r="L89" s="112"/>
      <c r="M89" s="112"/>
      <c r="N89" s="112"/>
      <c r="O89" s="112"/>
      <c r="P89" s="112"/>
      <c r="Q89" s="114"/>
      <c r="R89" s="114"/>
      <c r="S89" s="114"/>
      <c r="T89" s="114"/>
      <c r="U89" s="114"/>
      <c r="V89" s="114"/>
      <c r="W89" s="114"/>
      <c r="X89" s="114"/>
      <c r="Y89" s="114"/>
    </row>
    <row r="90" ht="30.0" customHeight="1">
      <c r="A90" s="90" t="s">
        <v>587</v>
      </c>
      <c r="B90" s="43">
        <v>86.0</v>
      </c>
      <c r="C90" s="47" t="s">
        <v>16</v>
      </c>
      <c r="D90" s="47" t="s">
        <v>105</v>
      </c>
      <c r="E90" s="47" t="s">
        <v>126</v>
      </c>
      <c r="F90" s="47" t="s">
        <v>276</v>
      </c>
      <c r="G90" s="121" t="str">
        <f t="shared" si="1"/>
        <v>S   Фасоль</v>
      </c>
      <c r="H90" s="128" t="s">
        <v>1</v>
      </c>
      <c r="I90" s="112"/>
      <c r="J90" s="112"/>
      <c r="K90" s="112"/>
      <c r="L90" s="112"/>
      <c r="M90" s="112"/>
      <c r="N90" s="112"/>
      <c r="O90" s="112"/>
      <c r="P90" s="112"/>
      <c r="Q90" s="114"/>
      <c r="R90" s="114"/>
      <c r="S90" s="114"/>
      <c r="T90" s="114"/>
      <c r="U90" s="114"/>
      <c r="V90" s="114"/>
      <c r="W90" s="114"/>
      <c r="X90" s="114"/>
      <c r="Y90" s="114"/>
    </row>
    <row r="91" ht="30.0" customHeight="1">
      <c r="A91" s="80" t="s">
        <v>318</v>
      </c>
      <c r="B91" s="43">
        <v>87.0</v>
      </c>
      <c r="C91" s="47" t="s">
        <v>32</v>
      </c>
      <c r="D91" s="47" t="s">
        <v>87</v>
      </c>
      <c r="E91" s="47" t="s">
        <v>79</v>
      </c>
      <c r="F91" s="47"/>
      <c r="G91" s="121" t="str">
        <f t="shared" si="1"/>
        <v>Чалахач </v>
      </c>
      <c r="H91" s="128" t="s">
        <v>1</v>
      </c>
      <c r="I91" s="112"/>
      <c r="J91" s="112"/>
      <c r="K91" s="112"/>
      <c r="L91" s="112"/>
      <c r="M91" s="112"/>
      <c r="N91" s="112"/>
      <c r="O91" s="112"/>
      <c r="P91" s="112"/>
      <c r="Q91" s="114"/>
      <c r="R91" s="114"/>
      <c r="S91" s="114"/>
      <c r="T91" s="114"/>
      <c r="U91" s="114"/>
      <c r="V91" s="114"/>
      <c r="W91" s="114"/>
      <c r="X91" s="114"/>
      <c r="Y91" s="114"/>
    </row>
    <row r="92" ht="30.0" customHeight="1">
      <c r="A92" s="80" t="s">
        <v>589</v>
      </c>
      <c r="B92" s="43">
        <v>88.0</v>
      </c>
      <c r="C92" s="47" t="s">
        <v>12</v>
      </c>
      <c r="D92" s="47" t="s">
        <v>65</v>
      </c>
      <c r="E92" s="47" t="s">
        <v>169</v>
      </c>
      <c r="F92" s="47" t="s">
        <v>127</v>
      </c>
      <c r="G92" s="175" t="str">
        <f t="shared" si="1"/>
        <v>Гуляш MP </v>
      </c>
      <c r="H92" s="128" t="s">
        <v>1</v>
      </c>
      <c r="I92" s="112"/>
      <c r="J92" s="112"/>
      <c r="K92" s="112"/>
      <c r="L92" s="112"/>
      <c r="M92" s="112"/>
      <c r="N92" s="112"/>
      <c r="O92" s="112"/>
      <c r="P92" s="112"/>
      <c r="Q92" s="114"/>
      <c r="R92" s="114"/>
      <c r="S92" s="114"/>
      <c r="T92" s="114"/>
      <c r="U92" s="114"/>
      <c r="V92" s="114"/>
      <c r="W92" s="114"/>
      <c r="X92" s="114"/>
      <c r="Y92" s="114"/>
    </row>
    <row r="93" ht="30.0" customHeight="1">
      <c r="A93" s="80" t="s">
        <v>437</v>
      </c>
      <c r="B93" s="43">
        <v>89.0</v>
      </c>
      <c r="C93" s="47" t="s">
        <v>32</v>
      </c>
      <c r="D93" s="47" t="s">
        <v>105</v>
      </c>
      <c r="E93" s="47" t="s">
        <v>126</v>
      </c>
      <c r="F93" s="47" t="s">
        <v>276</v>
      </c>
      <c r="G93" s="175" t="str">
        <f t="shared" si="1"/>
        <v>S   Фасоль</v>
      </c>
      <c r="H93" s="176" t="s">
        <v>1</v>
      </c>
      <c r="I93" s="112"/>
      <c r="J93" s="112"/>
      <c r="K93" s="112"/>
      <c r="L93" s="112"/>
      <c r="M93" s="112"/>
      <c r="N93" s="112"/>
      <c r="O93" s="112"/>
      <c r="P93" s="112"/>
      <c r="Q93" s="114"/>
      <c r="R93" s="114"/>
      <c r="S93" s="114"/>
      <c r="T93" s="114"/>
      <c r="U93" s="114"/>
      <c r="V93" s="114"/>
      <c r="W93" s="114"/>
      <c r="X93" s="114"/>
      <c r="Y93" s="114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13"/>
      <c r="N105" s="113"/>
      <c r="O105" s="113"/>
      <c r="P105" s="113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9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9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9"/>
      <c r="B108" s="19"/>
      <c r="C108" s="19"/>
      <c r="D108" s="19"/>
      <c r="E108" s="19"/>
      <c r="F108" s="19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80" t="s">
        <v>542</v>
      </c>
      <c r="B109" s="156" t="s">
        <v>611</v>
      </c>
      <c r="C109" s="47" t="s">
        <v>57</v>
      </c>
      <c r="D109" s="47" t="s">
        <v>78</v>
      </c>
      <c r="E109" s="47" t="s">
        <v>181</v>
      </c>
      <c r="F109" s="47" t="s">
        <v>98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80" t="s">
        <v>591</v>
      </c>
      <c r="B110" s="168" t="s">
        <v>592</v>
      </c>
      <c r="C110" s="47" t="s">
        <v>16</v>
      </c>
      <c r="D110" s="47" t="s">
        <v>78</v>
      </c>
      <c r="E110" s="47" t="s">
        <v>79</v>
      </c>
      <c r="F110" s="47" t="s">
        <v>272</v>
      </c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55" t="s">
        <v>594</v>
      </c>
      <c r="B111" s="168" t="s">
        <v>592</v>
      </c>
      <c r="C111" s="47" t="s">
        <v>12</v>
      </c>
      <c r="D111" s="47" t="s">
        <v>105</v>
      </c>
      <c r="E111" s="47" t="s">
        <v>112</v>
      </c>
      <c r="F111" s="47" t="s">
        <v>80</v>
      </c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80" t="s">
        <v>372</v>
      </c>
      <c r="B112" s="157" t="s">
        <v>547</v>
      </c>
      <c r="C112" s="47" t="s">
        <v>62</v>
      </c>
      <c r="D112" s="47" t="s">
        <v>105</v>
      </c>
      <c r="E112" s="47" t="s">
        <v>157</v>
      </c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6" t="s">
        <v>451</v>
      </c>
      <c r="B113" s="170" t="s">
        <v>596</v>
      </c>
      <c r="C113" s="47" t="s">
        <v>12</v>
      </c>
      <c r="D113" s="47" t="s">
        <v>105</v>
      </c>
      <c r="E113" s="47" t="s">
        <v>173</v>
      </c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9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9"/>
      <c r="B115" s="19"/>
      <c r="C115" s="19"/>
      <c r="D115" s="19"/>
      <c r="E115" s="19"/>
      <c r="F115" s="19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9"/>
      <c r="B116" s="19"/>
      <c r="C116" s="19"/>
      <c r="D116" s="19"/>
      <c r="E116" s="19"/>
      <c r="F116" s="19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9"/>
      <c r="C117" s="19"/>
      <c r="D117" s="19"/>
      <c r="E117" s="19"/>
      <c r="F117" s="19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9"/>
      <c r="C118" s="19"/>
      <c r="D118" s="19"/>
      <c r="E118" s="19"/>
      <c r="F118" s="19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9"/>
      <c r="B119" s="19"/>
      <c r="C119" s="19"/>
      <c r="D119" s="19"/>
      <c r="E119" s="19"/>
      <c r="F119" s="19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9"/>
      <c r="B120" s="19"/>
      <c r="C120" s="19"/>
      <c r="D120" s="19"/>
      <c r="E120" s="19"/>
      <c r="F120" s="19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15" t="s">
        <v>613</v>
      </c>
      <c r="B121" s="19"/>
      <c r="C121" s="19"/>
      <c r="D121" s="19"/>
      <c r="E121" s="19"/>
      <c r="F121" s="19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43" t="s">
        <v>598</v>
      </c>
      <c r="B122" s="43">
        <v>38.0</v>
      </c>
      <c r="C122" s="47" t="s">
        <v>47</v>
      </c>
      <c r="D122" s="47" t="s">
        <v>78</v>
      </c>
      <c r="E122" s="47" t="s">
        <v>112</v>
      </c>
      <c r="F122" s="129" t="s">
        <v>127</v>
      </c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50" t="s">
        <v>585</v>
      </c>
      <c r="B123" s="43">
        <v>84.0</v>
      </c>
      <c r="C123" s="47" t="s">
        <v>57</v>
      </c>
      <c r="D123" s="47" t="s">
        <v>105</v>
      </c>
      <c r="E123" s="47" t="s">
        <v>126</v>
      </c>
      <c r="F123" s="97" t="s">
        <v>80</v>
      </c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9"/>
      <c r="C124" s="19"/>
      <c r="D124" s="19"/>
      <c r="E124" s="19"/>
      <c r="F124" s="19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9"/>
      <c r="B125" s="19"/>
      <c r="C125" s="19"/>
      <c r="D125" s="19"/>
      <c r="E125" s="19"/>
      <c r="F125" s="19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9"/>
      <c r="B126" s="19"/>
      <c r="C126" s="19"/>
      <c r="D126" s="19"/>
      <c r="E126" s="19"/>
      <c r="F126" s="19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9"/>
      <c r="B127" s="19"/>
      <c r="C127" s="19"/>
      <c r="D127" s="19"/>
      <c r="E127" s="19"/>
      <c r="F127" s="19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9"/>
      <c r="C128" s="19"/>
      <c r="D128" s="19"/>
      <c r="E128" s="19"/>
      <c r="F128" s="19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9"/>
      <c r="C129" s="19"/>
      <c r="D129" s="19"/>
      <c r="E129" s="19"/>
      <c r="F129" s="19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9"/>
      <c r="C130" s="19"/>
      <c r="D130" s="19"/>
      <c r="E130" s="19"/>
      <c r="F130" s="19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9"/>
      <c r="C131" s="19"/>
      <c r="D131" s="19"/>
      <c r="E131" s="19"/>
      <c r="F131" s="19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9"/>
      <c r="B132" s="19"/>
      <c r="C132" s="19"/>
      <c r="D132" s="19"/>
      <c r="E132" s="19"/>
      <c r="F132" s="19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9"/>
      <c r="B133" s="19"/>
      <c r="C133" s="19"/>
      <c r="D133" s="19"/>
      <c r="E133" s="19"/>
      <c r="F133" s="19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9"/>
      <c r="C134" s="19"/>
      <c r="D134" s="19"/>
      <c r="E134" s="19"/>
      <c r="F134" s="19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9"/>
      <c r="C135" s="19"/>
      <c r="D135" s="19"/>
      <c r="E135" s="19"/>
      <c r="F135" s="19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9"/>
      <c r="C136" s="19"/>
      <c r="D136" s="19"/>
      <c r="E136" s="19"/>
      <c r="F136" s="19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9"/>
      <c r="C137" s="19"/>
      <c r="D137" s="19"/>
      <c r="E137" s="19"/>
      <c r="F137" s="19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9"/>
      <c r="C138" s="19"/>
      <c r="D138" s="19"/>
      <c r="E138" s="19"/>
      <c r="F138" s="19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9"/>
      <c r="C139" s="19"/>
      <c r="D139" s="19"/>
      <c r="E139" s="19"/>
      <c r="F139" s="19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9"/>
      <c r="C140" s="19"/>
      <c r="D140" s="19"/>
      <c r="E140" s="19"/>
      <c r="F140" s="19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9"/>
      <c r="C141" s="19"/>
      <c r="D141" s="19"/>
      <c r="E141" s="19"/>
      <c r="F141" s="19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9"/>
      <c r="C142" s="19"/>
      <c r="D142" s="19"/>
      <c r="E142" s="19"/>
      <c r="F142" s="19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9"/>
      <c r="C143" s="19"/>
      <c r="D143" s="19"/>
      <c r="E143" s="19"/>
      <c r="F143" s="19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9"/>
      <c r="C144" s="19"/>
      <c r="D144" s="19"/>
      <c r="E144" s="19"/>
      <c r="F144" s="19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9"/>
      <c r="C145" s="19"/>
      <c r="D145" s="19"/>
      <c r="E145" s="19"/>
      <c r="F145" s="19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9"/>
      <c r="C146" s="19"/>
      <c r="D146" s="19"/>
      <c r="E146" s="19"/>
      <c r="F146" s="19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9"/>
      <c r="C147" s="19"/>
      <c r="D147" s="19"/>
      <c r="E147" s="19"/>
      <c r="F147" s="19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9"/>
      <c r="C148" s="19"/>
      <c r="D148" s="19"/>
      <c r="E148" s="19"/>
      <c r="F148" s="19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9"/>
      <c r="C149" s="19"/>
      <c r="D149" s="19"/>
      <c r="E149" s="19"/>
      <c r="F149" s="19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9"/>
      <c r="B150" s="19"/>
      <c r="C150" s="19"/>
      <c r="D150" s="19"/>
      <c r="E150" s="19"/>
      <c r="F150" s="19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9"/>
      <c r="B151" s="19"/>
      <c r="C151" s="19"/>
      <c r="D151" s="19"/>
      <c r="E151" s="19"/>
      <c r="F151" s="19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9"/>
      <c r="B152" s="19"/>
      <c r="C152" s="19"/>
      <c r="D152" s="19"/>
      <c r="E152" s="19"/>
      <c r="F152" s="19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9"/>
      <c r="B153" s="19"/>
      <c r="C153" s="19"/>
      <c r="D153" s="19"/>
      <c r="E153" s="19"/>
      <c r="F153" s="19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9"/>
      <c r="B154" s="19"/>
      <c r="C154" s="19"/>
      <c r="D154" s="19"/>
      <c r="E154" s="19"/>
      <c r="F154" s="19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9"/>
      <c r="B155" s="19"/>
      <c r="C155" s="19"/>
      <c r="D155" s="19"/>
      <c r="E155" s="19"/>
      <c r="F155" s="19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9"/>
      <c r="B156" s="19"/>
      <c r="C156" s="19"/>
      <c r="D156" s="19"/>
      <c r="E156" s="19"/>
      <c r="F156" s="19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9"/>
      <c r="B157" s="19"/>
      <c r="C157" s="19"/>
      <c r="D157" s="19"/>
      <c r="E157" s="19"/>
      <c r="F157" s="19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9"/>
      <c r="B158" s="19"/>
      <c r="C158" s="19"/>
      <c r="D158" s="19"/>
      <c r="E158" s="19"/>
      <c r="F158" s="19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9"/>
      <c r="B159" s="19"/>
      <c r="C159" s="19"/>
      <c r="D159" s="19"/>
      <c r="E159" s="19"/>
      <c r="F159" s="19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9"/>
      <c r="B160" s="19"/>
      <c r="C160" s="19"/>
      <c r="D160" s="19"/>
      <c r="E160" s="19"/>
      <c r="F160" s="19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9"/>
      <c r="B161" s="19"/>
      <c r="C161" s="19"/>
      <c r="D161" s="19"/>
      <c r="E161" s="19"/>
      <c r="F161" s="19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9"/>
      <c r="B162" s="19"/>
      <c r="C162" s="19"/>
      <c r="D162" s="19"/>
      <c r="E162" s="19"/>
      <c r="F162" s="19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9"/>
      <c r="B163" s="19"/>
      <c r="C163" s="19"/>
      <c r="D163" s="19"/>
      <c r="E163" s="19"/>
      <c r="F163" s="19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9"/>
      <c r="B164" s="19"/>
      <c r="C164" s="19"/>
      <c r="D164" s="19"/>
      <c r="E164" s="19"/>
      <c r="F164" s="19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9"/>
      <c r="C165" s="19"/>
      <c r="D165" s="19"/>
      <c r="E165" s="19"/>
      <c r="F165" s="19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9"/>
      <c r="C166" s="19"/>
      <c r="D166" s="19"/>
      <c r="E166" s="19"/>
      <c r="F166" s="19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9"/>
      <c r="C167" s="19"/>
      <c r="D167" s="19"/>
      <c r="E167" s="19"/>
      <c r="F167" s="19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9"/>
      <c r="C168" s="19"/>
      <c r="D168" s="19"/>
      <c r="E168" s="19"/>
      <c r="F168" s="19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9"/>
      <c r="C169" s="19"/>
      <c r="D169" s="19"/>
      <c r="E169" s="19"/>
      <c r="F169" s="19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9"/>
      <c r="C170" s="19"/>
      <c r="D170" s="19"/>
      <c r="E170" s="19"/>
      <c r="F170" s="19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9"/>
      <c r="C171" s="19"/>
      <c r="D171" s="19"/>
      <c r="E171" s="19"/>
      <c r="F171" s="19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9"/>
      <c r="C172" s="19"/>
      <c r="D172" s="19"/>
      <c r="E172" s="19"/>
      <c r="F172" s="19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9"/>
      <c r="C173" s="19"/>
      <c r="D173" s="19"/>
      <c r="E173" s="19"/>
      <c r="F173" s="19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9"/>
      <c r="C174" s="19"/>
      <c r="D174" s="19"/>
      <c r="E174" s="19"/>
      <c r="F174" s="19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9"/>
      <c r="C175" s="19"/>
      <c r="D175" s="19"/>
      <c r="E175" s="19"/>
      <c r="F175" s="19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9"/>
      <c r="C176" s="19"/>
      <c r="D176" s="19"/>
      <c r="E176" s="19"/>
      <c r="F176" s="19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9"/>
      <c r="C177" s="19"/>
      <c r="D177" s="19"/>
      <c r="E177" s="19"/>
      <c r="F177" s="19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9"/>
      <c r="C178" s="19"/>
      <c r="D178" s="19"/>
      <c r="E178" s="19"/>
      <c r="F178" s="19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9"/>
      <c r="C179" s="19"/>
      <c r="D179" s="19"/>
      <c r="E179" s="19"/>
      <c r="F179" s="19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9"/>
      <c r="C180" s="19"/>
      <c r="D180" s="19"/>
      <c r="E180" s="19"/>
      <c r="F180" s="19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9"/>
      <c r="C181" s="19"/>
      <c r="D181" s="19"/>
      <c r="E181" s="19"/>
      <c r="F181" s="19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9"/>
      <c r="C182" s="19"/>
      <c r="D182" s="19"/>
      <c r="E182" s="19"/>
      <c r="F182" s="19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9"/>
      <c r="C183" s="19"/>
      <c r="D183" s="19"/>
      <c r="E183" s="19"/>
      <c r="F183" s="19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9"/>
      <c r="C184" s="19"/>
      <c r="D184" s="19"/>
      <c r="E184" s="19"/>
      <c r="F184" s="19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9"/>
      <c r="C185" s="19"/>
      <c r="D185" s="19"/>
      <c r="E185" s="19"/>
      <c r="F185" s="19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9"/>
      <c r="C186" s="19"/>
      <c r="D186" s="19"/>
      <c r="E186" s="19"/>
      <c r="F186" s="19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9"/>
      <c r="C187" s="19"/>
      <c r="D187" s="19"/>
      <c r="E187" s="19"/>
      <c r="F187" s="19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9"/>
      <c r="C188" s="19"/>
      <c r="D188" s="19"/>
      <c r="E188" s="19"/>
      <c r="F188" s="19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9"/>
      <c r="C189" s="19"/>
      <c r="D189" s="19"/>
      <c r="E189" s="19"/>
      <c r="F189" s="19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9"/>
      <c r="C190" s="19"/>
      <c r="D190" s="19"/>
      <c r="E190" s="19"/>
      <c r="F190" s="19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9"/>
      <c r="C191" s="19"/>
      <c r="D191" s="19"/>
      <c r="E191" s="19"/>
      <c r="F191" s="19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9"/>
      <c r="C192" s="19"/>
      <c r="D192" s="19"/>
      <c r="E192" s="19"/>
      <c r="F192" s="19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9"/>
      <c r="C193" s="19"/>
      <c r="D193" s="19"/>
      <c r="E193" s="19"/>
      <c r="F193" s="19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9"/>
      <c r="C194" s="19"/>
      <c r="D194" s="19"/>
      <c r="E194" s="19"/>
      <c r="F194" s="19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9"/>
      <c r="C195" s="19"/>
      <c r="D195" s="19"/>
      <c r="E195" s="19"/>
      <c r="F195" s="19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9"/>
      <c r="C196" s="19"/>
      <c r="D196" s="19"/>
      <c r="E196" s="19"/>
      <c r="F196" s="19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9"/>
      <c r="C197" s="19"/>
      <c r="D197" s="19"/>
      <c r="E197" s="19"/>
      <c r="F197" s="19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9"/>
      <c r="C198" s="19"/>
      <c r="D198" s="19"/>
      <c r="E198" s="19"/>
      <c r="F198" s="19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9"/>
      <c r="C199" s="19"/>
      <c r="D199" s="19"/>
      <c r="E199" s="19"/>
      <c r="F199" s="19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9"/>
      <c r="C200" s="19"/>
      <c r="D200" s="19"/>
      <c r="E200" s="19"/>
      <c r="F200" s="19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9"/>
      <c r="C201" s="19"/>
      <c r="D201" s="19"/>
      <c r="E201" s="19"/>
      <c r="F201" s="19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9"/>
      <c r="C202" s="19"/>
      <c r="D202" s="19"/>
      <c r="E202" s="19"/>
      <c r="F202" s="19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9"/>
      <c r="C203" s="19"/>
      <c r="D203" s="19"/>
      <c r="E203" s="19"/>
      <c r="F203" s="19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9"/>
      <c r="C204" s="19"/>
      <c r="D204" s="19"/>
      <c r="E204" s="19"/>
      <c r="F204" s="19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9"/>
      <c r="C205" s="19"/>
      <c r="D205" s="19"/>
      <c r="E205" s="19"/>
      <c r="F205" s="19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9"/>
      <c r="C206" s="19"/>
      <c r="D206" s="19"/>
      <c r="E206" s="19"/>
      <c r="F206" s="19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9"/>
      <c r="C207" s="19"/>
      <c r="D207" s="19"/>
      <c r="E207" s="19"/>
      <c r="F207" s="19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9"/>
      <c r="C208" s="19"/>
      <c r="D208" s="19"/>
      <c r="E208" s="19"/>
      <c r="F208" s="19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9"/>
      <c r="C209" s="19"/>
      <c r="D209" s="19"/>
      <c r="E209" s="19"/>
      <c r="F209" s="19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9"/>
      <c r="C210" s="19"/>
      <c r="D210" s="19"/>
      <c r="E210" s="19"/>
      <c r="F210" s="19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9"/>
      <c r="C211" s="19"/>
      <c r="D211" s="19"/>
      <c r="E211" s="19"/>
      <c r="F211" s="19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9"/>
      <c r="C212" s="19"/>
      <c r="D212" s="19"/>
      <c r="E212" s="19"/>
      <c r="F212" s="19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9"/>
      <c r="C213" s="19"/>
      <c r="D213" s="19"/>
      <c r="E213" s="19"/>
      <c r="F213" s="19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9"/>
      <c r="C214" s="19"/>
      <c r="D214" s="19"/>
      <c r="E214" s="19"/>
      <c r="F214" s="19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9"/>
      <c r="C215" s="19"/>
      <c r="D215" s="19"/>
      <c r="E215" s="19"/>
      <c r="F215" s="19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9"/>
      <c r="C216" s="19"/>
      <c r="D216" s="19"/>
      <c r="E216" s="19"/>
      <c r="F216" s="19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9"/>
      <c r="C217" s="19"/>
      <c r="D217" s="19"/>
      <c r="E217" s="19"/>
      <c r="F217" s="19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9"/>
      <c r="C218" s="19"/>
      <c r="D218" s="19"/>
      <c r="E218" s="19"/>
      <c r="F218" s="19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9"/>
      <c r="C219" s="19"/>
      <c r="D219" s="19"/>
      <c r="E219" s="19"/>
      <c r="F219" s="19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9"/>
      <c r="C220" s="19"/>
      <c r="D220" s="19"/>
      <c r="E220" s="19"/>
      <c r="F220" s="19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9"/>
      <c r="C221" s="19"/>
      <c r="D221" s="19"/>
      <c r="E221" s="19"/>
      <c r="F221" s="19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9"/>
      <c r="C222" s="19"/>
      <c r="D222" s="19"/>
      <c r="E222" s="19"/>
      <c r="F222" s="19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9"/>
      <c r="C223" s="19"/>
      <c r="D223" s="19"/>
      <c r="E223" s="19"/>
      <c r="F223" s="19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9"/>
      <c r="C224" s="19"/>
      <c r="D224" s="19"/>
      <c r="E224" s="19"/>
      <c r="F224" s="19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9"/>
      <c r="C225" s="19"/>
      <c r="D225" s="19"/>
      <c r="E225" s="19"/>
      <c r="F225" s="19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9"/>
      <c r="C226" s="19"/>
      <c r="D226" s="19"/>
      <c r="E226" s="19"/>
      <c r="F226" s="19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9"/>
      <c r="C227" s="19"/>
      <c r="D227" s="19"/>
      <c r="E227" s="19"/>
      <c r="F227" s="19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9"/>
      <c r="C228" s="19"/>
      <c r="D228" s="19"/>
      <c r="E228" s="19"/>
      <c r="F228" s="19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9"/>
      <c r="C229" s="19"/>
      <c r="D229" s="19"/>
      <c r="E229" s="19"/>
      <c r="F229" s="19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9"/>
      <c r="C230" s="19"/>
      <c r="D230" s="19"/>
      <c r="E230" s="19"/>
      <c r="F230" s="19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9"/>
      <c r="C231" s="19"/>
      <c r="D231" s="19"/>
      <c r="E231" s="19"/>
      <c r="F231" s="19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9"/>
      <c r="C232" s="19"/>
      <c r="D232" s="19"/>
      <c r="E232" s="19"/>
      <c r="F232" s="19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9"/>
      <c r="C233" s="19"/>
      <c r="D233" s="19"/>
      <c r="E233" s="19"/>
      <c r="F233" s="19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9"/>
      <c r="C234" s="19"/>
      <c r="D234" s="19"/>
      <c r="E234" s="19"/>
      <c r="F234" s="19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9"/>
      <c r="C235" s="19"/>
      <c r="D235" s="19"/>
      <c r="E235" s="19"/>
      <c r="F235" s="19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9"/>
      <c r="C236" s="19"/>
      <c r="D236" s="19"/>
      <c r="E236" s="19"/>
      <c r="F236" s="19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9"/>
      <c r="C237" s="19"/>
      <c r="D237" s="19"/>
      <c r="E237" s="19"/>
      <c r="F237" s="19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9"/>
      <c r="C238" s="19"/>
      <c r="D238" s="19"/>
      <c r="E238" s="19"/>
      <c r="F238" s="19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9"/>
      <c r="C239" s="19"/>
      <c r="D239" s="19"/>
      <c r="E239" s="19"/>
      <c r="F239" s="19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9"/>
      <c r="C240" s="19"/>
      <c r="D240" s="19"/>
      <c r="E240" s="19"/>
      <c r="F240" s="19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9"/>
      <c r="C241" s="19"/>
      <c r="D241" s="19"/>
      <c r="E241" s="19"/>
      <c r="F241" s="19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9"/>
      <c r="C242" s="19"/>
      <c r="D242" s="19"/>
      <c r="E242" s="19"/>
      <c r="F242" s="19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9"/>
      <c r="C243" s="19"/>
      <c r="D243" s="19"/>
      <c r="E243" s="19"/>
      <c r="F243" s="19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9"/>
      <c r="C244" s="19"/>
      <c r="D244" s="19"/>
      <c r="E244" s="19"/>
      <c r="F244" s="19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9"/>
      <c r="C245" s="19"/>
      <c r="D245" s="19"/>
      <c r="E245" s="19"/>
      <c r="F245" s="19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9"/>
      <c r="C246" s="19"/>
      <c r="D246" s="19"/>
      <c r="E246" s="19"/>
      <c r="F246" s="19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9"/>
      <c r="C247" s="19"/>
      <c r="D247" s="19"/>
      <c r="E247" s="19"/>
      <c r="F247" s="19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9"/>
      <c r="C248" s="19"/>
      <c r="D248" s="19"/>
      <c r="E248" s="19"/>
      <c r="F248" s="19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9"/>
      <c r="C249" s="19"/>
      <c r="D249" s="19"/>
      <c r="E249" s="19"/>
      <c r="F249" s="19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9"/>
      <c r="C250" s="19"/>
      <c r="D250" s="19"/>
      <c r="E250" s="19"/>
      <c r="F250" s="19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9"/>
      <c r="C251" s="19"/>
      <c r="D251" s="19"/>
      <c r="E251" s="19"/>
      <c r="F251" s="19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9"/>
      <c r="C252" s="19"/>
      <c r="D252" s="19"/>
      <c r="E252" s="19"/>
      <c r="F252" s="19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9"/>
      <c r="C253" s="19"/>
      <c r="D253" s="19"/>
      <c r="E253" s="19"/>
      <c r="F253" s="19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9"/>
      <c r="C254" s="19"/>
      <c r="D254" s="19"/>
      <c r="E254" s="19"/>
      <c r="F254" s="19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9"/>
      <c r="C255" s="19"/>
      <c r="D255" s="19"/>
      <c r="E255" s="19"/>
      <c r="F255" s="19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9"/>
      <c r="C256" s="19"/>
      <c r="D256" s="19"/>
      <c r="E256" s="19"/>
      <c r="F256" s="19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9"/>
      <c r="C257" s="19"/>
      <c r="D257" s="19"/>
      <c r="E257" s="19"/>
      <c r="F257" s="19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9"/>
      <c r="C258" s="19"/>
      <c r="D258" s="19"/>
      <c r="E258" s="19"/>
      <c r="F258" s="19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9"/>
      <c r="C259" s="19"/>
      <c r="D259" s="19"/>
      <c r="E259" s="19"/>
      <c r="F259" s="19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9"/>
      <c r="C260" s="19"/>
      <c r="D260" s="19"/>
      <c r="E260" s="19"/>
      <c r="F260" s="19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9"/>
      <c r="C261" s="19"/>
      <c r="D261" s="19"/>
      <c r="E261" s="19"/>
      <c r="F261" s="19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9"/>
      <c r="C262" s="19"/>
      <c r="D262" s="19"/>
      <c r="E262" s="19"/>
      <c r="F262" s="19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9"/>
      <c r="C263" s="19"/>
      <c r="D263" s="19"/>
      <c r="E263" s="19"/>
      <c r="F263" s="19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9"/>
      <c r="C264" s="19"/>
      <c r="D264" s="19"/>
      <c r="E264" s="19"/>
      <c r="F264" s="19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9"/>
      <c r="C265" s="19"/>
      <c r="D265" s="19"/>
      <c r="E265" s="19"/>
      <c r="F265" s="19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9"/>
      <c r="C266" s="19"/>
      <c r="D266" s="19"/>
      <c r="E266" s="19"/>
      <c r="F266" s="19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9"/>
      <c r="C267" s="19"/>
      <c r="D267" s="19"/>
      <c r="E267" s="19"/>
      <c r="F267" s="19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9"/>
      <c r="C268" s="19"/>
      <c r="D268" s="19"/>
      <c r="E268" s="19"/>
      <c r="F268" s="19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9"/>
      <c r="C269" s="19"/>
      <c r="D269" s="19"/>
      <c r="E269" s="19"/>
      <c r="F269" s="19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9"/>
      <c r="C270" s="19"/>
      <c r="D270" s="19"/>
      <c r="E270" s="19"/>
      <c r="F270" s="19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9"/>
      <c r="C271" s="19"/>
      <c r="D271" s="19"/>
      <c r="E271" s="19"/>
      <c r="F271" s="19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9"/>
      <c r="C272" s="19"/>
      <c r="D272" s="19"/>
      <c r="E272" s="19"/>
      <c r="F272" s="19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9"/>
      <c r="C273" s="19"/>
      <c r="D273" s="19"/>
      <c r="E273" s="19"/>
      <c r="F273" s="19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9"/>
      <c r="C274" s="19"/>
      <c r="D274" s="19"/>
      <c r="E274" s="19"/>
      <c r="F274" s="19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9"/>
      <c r="C275" s="19"/>
      <c r="D275" s="19"/>
      <c r="E275" s="19"/>
      <c r="F275" s="19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9"/>
      <c r="C276" s="19"/>
      <c r="D276" s="19"/>
      <c r="E276" s="19"/>
      <c r="F276" s="19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9"/>
      <c r="C277" s="19"/>
      <c r="D277" s="19"/>
      <c r="E277" s="19"/>
      <c r="F277" s="19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9"/>
      <c r="C278" s="19"/>
      <c r="D278" s="19"/>
      <c r="E278" s="19"/>
      <c r="F278" s="19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9"/>
      <c r="C279" s="19"/>
      <c r="D279" s="19"/>
      <c r="E279" s="19"/>
      <c r="F279" s="19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9"/>
      <c r="C280" s="19"/>
      <c r="D280" s="19"/>
      <c r="E280" s="19"/>
      <c r="F280" s="19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9"/>
      <c r="C281" s="19"/>
      <c r="D281" s="19"/>
      <c r="E281" s="19"/>
      <c r="F281" s="19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9"/>
      <c r="C282" s="19"/>
      <c r="D282" s="19"/>
      <c r="E282" s="19"/>
      <c r="F282" s="19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9"/>
      <c r="C283" s="19"/>
      <c r="D283" s="19"/>
      <c r="E283" s="19"/>
      <c r="F283" s="19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9"/>
      <c r="C284" s="19"/>
      <c r="D284" s="19"/>
      <c r="E284" s="19"/>
      <c r="F284" s="19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9"/>
      <c r="C285" s="19"/>
      <c r="D285" s="19"/>
      <c r="E285" s="19"/>
      <c r="F285" s="19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9"/>
      <c r="C286" s="19"/>
      <c r="D286" s="19"/>
      <c r="E286" s="19"/>
      <c r="F286" s="19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9"/>
      <c r="C287" s="19"/>
      <c r="D287" s="19"/>
      <c r="E287" s="19"/>
      <c r="F287" s="19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9"/>
      <c r="C288" s="19"/>
      <c r="D288" s="19"/>
      <c r="E288" s="19"/>
      <c r="F288" s="19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9"/>
      <c r="C289" s="19"/>
      <c r="D289" s="19"/>
      <c r="E289" s="19"/>
      <c r="F289" s="19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9"/>
      <c r="C290" s="19"/>
      <c r="D290" s="19"/>
      <c r="E290" s="19"/>
      <c r="F290" s="19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9"/>
      <c r="C291" s="19"/>
      <c r="D291" s="19"/>
      <c r="E291" s="19"/>
      <c r="F291" s="19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9"/>
      <c r="C292" s="19"/>
      <c r="D292" s="19"/>
      <c r="E292" s="19"/>
      <c r="F292" s="19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9"/>
      <c r="C293" s="19"/>
      <c r="D293" s="19"/>
      <c r="E293" s="19"/>
      <c r="F293" s="19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9"/>
      <c r="C294" s="19"/>
      <c r="D294" s="19"/>
      <c r="E294" s="19"/>
      <c r="F294" s="19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9"/>
      <c r="C295" s="19"/>
      <c r="D295" s="19"/>
      <c r="E295" s="19"/>
      <c r="F295" s="19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9"/>
      <c r="C296" s="19"/>
      <c r="D296" s="19"/>
      <c r="E296" s="19"/>
      <c r="F296" s="19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9"/>
      <c r="C297" s="19"/>
      <c r="D297" s="19"/>
      <c r="E297" s="19"/>
      <c r="F297" s="19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9"/>
      <c r="C298" s="19"/>
      <c r="D298" s="19"/>
      <c r="E298" s="19"/>
      <c r="F298" s="19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9"/>
      <c r="C299" s="19"/>
      <c r="D299" s="19"/>
      <c r="E299" s="19"/>
      <c r="F299" s="19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9"/>
      <c r="C300" s="19"/>
      <c r="D300" s="19"/>
      <c r="E300" s="19"/>
      <c r="F300" s="19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9"/>
      <c r="C301" s="19"/>
      <c r="D301" s="19"/>
      <c r="E301" s="19"/>
      <c r="F301" s="19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9"/>
      <c r="C302" s="19"/>
      <c r="D302" s="19"/>
      <c r="E302" s="19"/>
      <c r="F302" s="19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9"/>
      <c r="C303" s="19"/>
      <c r="D303" s="19"/>
      <c r="E303" s="19"/>
      <c r="F303" s="19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9"/>
      <c r="C304" s="19"/>
      <c r="D304" s="19"/>
      <c r="E304" s="19"/>
      <c r="F304" s="19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9"/>
      <c r="C305" s="19"/>
      <c r="D305" s="19"/>
      <c r="E305" s="19"/>
      <c r="F305" s="19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9"/>
      <c r="C306" s="19"/>
      <c r="D306" s="19"/>
      <c r="E306" s="19"/>
      <c r="F306" s="19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9"/>
      <c r="C307" s="19"/>
      <c r="D307" s="19"/>
      <c r="E307" s="19"/>
      <c r="F307" s="19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9"/>
      <c r="C308" s="19"/>
      <c r="D308" s="19"/>
      <c r="E308" s="19"/>
      <c r="F308" s="19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9"/>
      <c r="C309" s="19"/>
      <c r="D309" s="19"/>
      <c r="E309" s="19"/>
      <c r="F309" s="19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9"/>
      <c r="C310" s="19"/>
      <c r="D310" s="19"/>
      <c r="E310" s="19"/>
      <c r="F310" s="19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9"/>
      <c r="C311" s="19"/>
      <c r="D311" s="19"/>
      <c r="E311" s="19"/>
      <c r="F311" s="19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9"/>
      <c r="C312" s="19"/>
      <c r="D312" s="19"/>
      <c r="E312" s="19"/>
      <c r="F312" s="19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9"/>
      <c r="C313" s="19"/>
      <c r="D313" s="19"/>
      <c r="E313" s="19"/>
      <c r="F313" s="19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9"/>
      <c r="C314" s="19"/>
      <c r="D314" s="19"/>
      <c r="E314" s="19"/>
      <c r="F314" s="19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9"/>
      <c r="C315" s="19"/>
      <c r="D315" s="19"/>
      <c r="E315" s="19"/>
      <c r="F315" s="19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9"/>
      <c r="C316" s="19"/>
      <c r="D316" s="19"/>
      <c r="E316" s="19"/>
      <c r="F316" s="19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9"/>
      <c r="C317" s="19"/>
      <c r="D317" s="19"/>
      <c r="E317" s="19"/>
      <c r="F317" s="19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9"/>
      <c r="C318" s="19"/>
      <c r="D318" s="19"/>
      <c r="E318" s="19"/>
      <c r="F318" s="19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9"/>
      <c r="C319" s="19"/>
      <c r="D319" s="19"/>
      <c r="E319" s="19"/>
      <c r="F319" s="19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9"/>
      <c r="C320" s="19"/>
      <c r="D320" s="19"/>
      <c r="E320" s="19"/>
      <c r="F320" s="19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9"/>
      <c r="C321" s="19"/>
      <c r="D321" s="19"/>
      <c r="E321" s="19"/>
      <c r="F321" s="19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9"/>
      <c r="C322" s="19"/>
      <c r="D322" s="19"/>
      <c r="E322" s="19"/>
      <c r="F322" s="19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9"/>
      <c r="C323" s="19"/>
      <c r="D323" s="19"/>
      <c r="E323" s="19"/>
      <c r="F323" s="19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9"/>
      <c r="C324" s="19"/>
      <c r="D324" s="19"/>
      <c r="E324" s="19"/>
      <c r="F324" s="19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9"/>
      <c r="C325" s="19"/>
      <c r="D325" s="19"/>
      <c r="E325" s="19"/>
      <c r="F325" s="19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9"/>
      <c r="C326" s="19"/>
      <c r="D326" s="19"/>
      <c r="E326" s="19"/>
      <c r="F326" s="19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9"/>
      <c r="C327" s="19"/>
      <c r="D327" s="19"/>
      <c r="E327" s="19"/>
      <c r="F327" s="19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9"/>
      <c r="C328" s="19"/>
      <c r="D328" s="19"/>
      <c r="E328" s="19"/>
      <c r="F328" s="19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9"/>
      <c r="C329" s="19"/>
      <c r="D329" s="19"/>
      <c r="E329" s="19"/>
      <c r="F329" s="19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9"/>
      <c r="C330" s="19"/>
      <c r="D330" s="19"/>
      <c r="E330" s="19"/>
      <c r="F330" s="19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9"/>
      <c r="C331" s="19"/>
      <c r="D331" s="19"/>
      <c r="E331" s="19"/>
      <c r="F331" s="19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9"/>
      <c r="C332" s="19"/>
      <c r="D332" s="19"/>
      <c r="E332" s="19"/>
      <c r="F332" s="19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9"/>
      <c r="C333" s="19"/>
      <c r="D333" s="19"/>
      <c r="E333" s="19"/>
      <c r="F333" s="19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9"/>
      <c r="C334" s="19"/>
      <c r="D334" s="19"/>
      <c r="E334" s="19"/>
      <c r="F334" s="19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9"/>
      <c r="C335" s="19"/>
      <c r="D335" s="19"/>
      <c r="E335" s="19"/>
      <c r="F335" s="19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9"/>
      <c r="C336" s="19"/>
      <c r="D336" s="19"/>
      <c r="E336" s="19"/>
      <c r="F336" s="19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9"/>
      <c r="C337" s="19"/>
      <c r="D337" s="19"/>
      <c r="E337" s="19"/>
      <c r="F337" s="19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9"/>
      <c r="C338" s="19"/>
      <c r="D338" s="19"/>
      <c r="E338" s="19"/>
      <c r="F338" s="19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9"/>
      <c r="C339" s="19"/>
      <c r="D339" s="19"/>
      <c r="E339" s="19"/>
      <c r="F339" s="19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9"/>
      <c r="C340" s="19"/>
      <c r="D340" s="19"/>
      <c r="E340" s="19"/>
      <c r="F340" s="19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9"/>
      <c r="C341" s="19"/>
      <c r="D341" s="19"/>
      <c r="E341" s="19"/>
      <c r="F341" s="19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9"/>
      <c r="C342" s="19"/>
      <c r="D342" s="19"/>
      <c r="E342" s="19"/>
      <c r="F342" s="19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9"/>
      <c r="C343" s="19"/>
      <c r="D343" s="19"/>
      <c r="E343" s="19"/>
      <c r="F343" s="19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9"/>
      <c r="C344" s="19"/>
      <c r="D344" s="19"/>
      <c r="E344" s="19"/>
      <c r="F344" s="19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9"/>
      <c r="C345" s="19"/>
      <c r="D345" s="19"/>
      <c r="E345" s="19"/>
      <c r="F345" s="19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9"/>
      <c r="C346" s="19"/>
      <c r="D346" s="19"/>
      <c r="E346" s="19"/>
      <c r="F346" s="19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9"/>
      <c r="C347" s="19"/>
      <c r="D347" s="19"/>
      <c r="E347" s="19"/>
      <c r="F347" s="19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9"/>
      <c r="C348" s="19"/>
      <c r="D348" s="19"/>
      <c r="E348" s="19"/>
      <c r="F348" s="19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9"/>
      <c r="C349" s="19"/>
      <c r="D349" s="19"/>
      <c r="E349" s="19"/>
      <c r="F349" s="19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9"/>
      <c r="C350" s="19"/>
      <c r="D350" s="19"/>
      <c r="E350" s="19"/>
      <c r="F350" s="19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9"/>
      <c r="C351" s="19"/>
      <c r="D351" s="19"/>
      <c r="E351" s="19"/>
      <c r="F351" s="19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9"/>
      <c r="C352" s="19"/>
      <c r="D352" s="19"/>
      <c r="E352" s="19"/>
      <c r="F352" s="19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9"/>
      <c r="C353" s="19"/>
      <c r="D353" s="19"/>
      <c r="E353" s="19"/>
      <c r="F353" s="19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9"/>
      <c r="C354" s="19"/>
      <c r="D354" s="19"/>
      <c r="E354" s="19"/>
      <c r="F354" s="19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9"/>
      <c r="C355" s="19"/>
      <c r="D355" s="19"/>
      <c r="E355" s="19"/>
      <c r="F355" s="19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9"/>
      <c r="C356" s="19"/>
      <c r="D356" s="19"/>
      <c r="E356" s="19"/>
      <c r="F356" s="19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9"/>
      <c r="C357" s="19"/>
      <c r="D357" s="19"/>
      <c r="E357" s="19"/>
      <c r="F357" s="19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9"/>
      <c r="C358" s="19"/>
      <c r="D358" s="19"/>
      <c r="E358" s="19"/>
      <c r="F358" s="19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9"/>
      <c r="C359" s="19"/>
      <c r="D359" s="19"/>
      <c r="E359" s="19"/>
      <c r="F359" s="19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9"/>
      <c r="C360" s="19"/>
      <c r="D360" s="19"/>
      <c r="E360" s="19"/>
      <c r="F360" s="19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9"/>
      <c r="C361" s="19"/>
      <c r="D361" s="19"/>
      <c r="E361" s="19"/>
      <c r="F361" s="19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9"/>
      <c r="C362" s="19"/>
      <c r="D362" s="19"/>
      <c r="E362" s="19"/>
      <c r="F362" s="19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9"/>
      <c r="C363" s="19"/>
      <c r="D363" s="19"/>
      <c r="E363" s="19"/>
      <c r="F363" s="19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9"/>
      <c r="C364" s="19"/>
      <c r="D364" s="19"/>
      <c r="E364" s="19"/>
      <c r="F364" s="19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9"/>
      <c r="C365" s="19"/>
      <c r="D365" s="19"/>
      <c r="E365" s="19"/>
      <c r="F365" s="19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9"/>
      <c r="C366" s="19"/>
      <c r="D366" s="19"/>
      <c r="E366" s="19"/>
      <c r="F366" s="19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9"/>
      <c r="C367" s="19"/>
      <c r="D367" s="19"/>
      <c r="E367" s="19"/>
      <c r="F367" s="19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9"/>
      <c r="C368" s="19"/>
      <c r="D368" s="19"/>
      <c r="E368" s="19"/>
      <c r="F368" s="19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9"/>
      <c r="C369" s="19"/>
      <c r="D369" s="19"/>
      <c r="E369" s="19"/>
      <c r="F369" s="19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9"/>
      <c r="C370" s="19"/>
      <c r="D370" s="19"/>
      <c r="E370" s="19"/>
      <c r="F370" s="19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9"/>
      <c r="C371" s="19"/>
      <c r="D371" s="19"/>
      <c r="E371" s="19"/>
      <c r="F371" s="19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9"/>
      <c r="C372" s="19"/>
      <c r="D372" s="19"/>
      <c r="E372" s="19"/>
      <c r="F372" s="19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9"/>
      <c r="C373" s="19"/>
      <c r="D373" s="19"/>
      <c r="E373" s="19"/>
      <c r="F373" s="19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9"/>
      <c r="C374" s="19"/>
      <c r="D374" s="19"/>
      <c r="E374" s="19"/>
      <c r="F374" s="19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9"/>
      <c r="C375" s="19"/>
      <c r="D375" s="19"/>
      <c r="E375" s="19"/>
      <c r="F375" s="19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9"/>
      <c r="C376" s="19"/>
      <c r="D376" s="19"/>
      <c r="E376" s="19"/>
      <c r="F376" s="19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9"/>
      <c r="C377" s="19"/>
      <c r="D377" s="19"/>
      <c r="E377" s="19"/>
      <c r="F377" s="19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9"/>
      <c r="C378" s="19"/>
      <c r="D378" s="19"/>
      <c r="E378" s="19"/>
      <c r="F378" s="19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9"/>
      <c r="C379" s="19"/>
      <c r="D379" s="19"/>
      <c r="E379" s="19"/>
      <c r="F379" s="19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9"/>
      <c r="C380" s="19"/>
      <c r="D380" s="19"/>
      <c r="E380" s="19"/>
      <c r="F380" s="19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9"/>
      <c r="C381" s="19"/>
      <c r="D381" s="19"/>
      <c r="E381" s="19"/>
      <c r="F381" s="19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9"/>
      <c r="C382" s="19"/>
      <c r="D382" s="19"/>
      <c r="E382" s="19"/>
      <c r="F382" s="19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9"/>
      <c r="C383" s="19"/>
      <c r="D383" s="19"/>
      <c r="E383" s="19"/>
      <c r="F383" s="19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9"/>
      <c r="C384" s="19"/>
      <c r="D384" s="19"/>
      <c r="E384" s="19"/>
      <c r="F384" s="19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9"/>
      <c r="C385" s="19"/>
      <c r="D385" s="19"/>
      <c r="E385" s="19"/>
      <c r="F385" s="19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9"/>
      <c r="C386" s="19"/>
      <c r="D386" s="19"/>
      <c r="E386" s="19"/>
      <c r="F386" s="19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9"/>
      <c r="C387" s="19"/>
      <c r="D387" s="19"/>
      <c r="E387" s="19"/>
      <c r="F387" s="19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9"/>
      <c r="C388" s="19"/>
      <c r="D388" s="19"/>
      <c r="E388" s="19"/>
      <c r="F388" s="19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9"/>
      <c r="C389" s="19"/>
      <c r="D389" s="19"/>
      <c r="E389" s="19"/>
      <c r="F389" s="19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9"/>
      <c r="C390" s="19"/>
      <c r="D390" s="19"/>
      <c r="E390" s="19"/>
      <c r="F390" s="19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9"/>
      <c r="C391" s="19"/>
      <c r="D391" s="19"/>
      <c r="E391" s="19"/>
      <c r="F391" s="19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9"/>
      <c r="C392" s="19"/>
      <c r="D392" s="19"/>
      <c r="E392" s="19"/>
      <c r="F392" s="19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9"/>
      <c r="C393" s="19"/>
      <c r="D393" s="19"/>
      <c r="E393" s="19"/>
      <c r="F393" s="19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9"/>
      <c r="C394" s="19"/>
      <c r="D394" s="19"/>
      <c r="E394" s="19"/>
      <c r="F394" s="19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9"/>
      <c r="C395" s="19"/>
      <c r="D395" s="19"/>
      <c r="E395" s="19"/>
      <c r="F395" s="19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9"/>
      <c r="C396" s="19"/>
      <c r="D396" s="19"/>
      <c r="E396" s="19"/>
      <c r="F396" s="19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9"/>
      <c r="C397" s="19"/>
      <c r="D397" s="19"/>
      <c r="E397" s="19"/>
      <c r="F397" s="19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9"/>
      <c r="C398" s="19"/>
      <c r="D398" s="19"/>
      <c r="E398" s="19"/>
      <c r="F398" s="19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9"/>
      <c r="C399" s="19"/>
      <c r="D399" s="19"/>
      <c r="E399" s="19"/>
      <c r="F399" s="19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9"/>
      <c r="C400" s="19"/>
      <c r="D400" s="19"/>
      <c r="E400" s="19"/>
      <c r="F400" s="19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9"/>
      <c r="C401" s="19"/>
      <c r="D401" s="19"/>
      <c r="E401" s="19"/>
      <c r="F401" s="19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9"/>
      <c r="C402" s="19"/>
      <c r="D402" s="19"/>
      <c r="E402" s="19"/>
      <c r="F402" s="19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9"/>
      <c r="C403" s="19"/>
      <c r="D403" s="19"/>
      <c r="E403" s="19"/>
      <c r="F403" s="19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9"/>
      <c r="C404" s="19"/>
      <c r="D404" s="19"/>
      <c r="E404" s="19"/>
      <c r="F404" s="19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9"/>
      <c r="C405" s="19"/>
      <c r="D405" s="19"/>
      <c r="E405" s="19"/>
      <c r="F405" s="19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9"/>
      <c r="C406" s="19"/>
      <c r="D406" s="19"/>
      <c r="E406" s="19"/>
      <c r="F406" s="19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9"/>
      <c r="C407" s="19"/>
      <c r="D407" s="19"/>
      <c r="E407" s="19"/>
      <c r="F407" s="19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9"/>
      <c r="C408" s="19"/>
      <c r="D408" s="19"/>
      <c r="E408" s="19"/>
      <c r="F408" s="19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9"/>
      <c r="C409" s="19"/>
      <c r="D409" s="19"/>
      <c r="E409" s="19"/>
      <c r="F409" s="19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9"/>
      <c r="C410" s="19"/>
      <c r="D410" s="19"/>
      <c r="E410" s="19"/>
      <c r="F410" s="19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9"/>
      <c r="C411" s="19"/>
      <c r="D411" s="19"/>
      <c r="E411" s="19"/>
      <c r="F411" s="19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9"/>
      <c r="C412" s="19"/>
      <c r="D412" s="19"/>
      <c r="E412" s="19"/>
      <c r="F412" s="19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9"/>
      <c r="C413" s="19"/>
      <c r="D413" s="19"/>
      <c r="E413" s="19"/>
      <c r="F413" s="19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9"/>
      <c r="C414" s="19"/>
      <c r="D414" s="19"/>
      <c r="E414" s="19"/>
      <c r="F414" s="19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9"/>
      <c r="C415" s="19"/>
      <c r="D415" s="19"/>
      <c r="E415" s="19"/>
      <c r="F415" s="19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9"/>
      <c r="C416" s="19"/>
      <c r="D416" s="19"/>
      <c r="E416" s="19"/>
      <c r="F416" s="19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9"/>
      <c r="C417" s="19"/>
      <c r="D417" s="19"/>
      <c r="E417" s="19"/>
      <c r="F417" s="19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9"/>
      <c r="C418" s="19"/>
      <c r="D418" s="19"/>
      <c r="E418" s="19"/>
      <c r="F418" s="19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9"/>
      <c r="C419" s="19"/>
      <c r="D419" s="19"/>
      <c r="E419" s="19"/>
      <c r="F419" s="19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9"/>
      <c r="C420" s="19"/>
      <c r="D420" s="19"/>
      <c r="E420" s="19"/>
      <c r="F420" s="19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9"/>
      <c r="C421" s="19"/>
      <c r="D421" s="19"/>
      <c r="E421" s="19"/>
      <c r="F421" s="19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9"/>
      <c r="C422" s="19"/>
      <c r="D422" s="19"/>
      <c r="E422" s="19"/>
      <c r="F422" s="19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9"/>
      <c r="C423" s="19"/>
      <c r="D423" s="19"/>
      <c r="E423" s="19"/>
      <c r="F423" s="19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9"/>
      <c r="C424" s="19"/>
      <c r="D424" s="19"/>
      <c r="E424" s="19"/>
      <c r="F424" s="19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9"/>
      <c r="C425" s="19"/>
      <c r="D425" s="19"/>
      <c r="E425" s="19"/>
      <c r="F425" s="19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9"/>
      <c r="C426" s="19"/>
      <c r="D426" s="19"/>
      <c r="E426" s="19"/>
      <c r="F426" s="19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9"/>
      <c r="C427" s="19"/>
      <c r="D427" s="19"/>
      <c r="E427" s="19"/>
      <c r="F427" s="19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9"/>
      <c r="C428" s="19"/>
      <c r="D428" s="19"/>
      <c r="E428" s="19"/>
      <c r="F428" s="19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9"/>
      <c r="C429" s="19"/>
      <c r="D429" s="19"/>
      <c r="E429" s="19"/>
      <c r="F429" s="19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9"/>
      <c r="C430" s="19"/>
      <c r="D430" s="19"/>
      <c r="E430" s="19"/>
      <c r="F430" s="19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9"/>
      <c r="C431" s="19"/>
      <c r="D431" s="19"/>
      <c r="E431" s="19"/>
      <c r="F431" s="19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9"/>
      <c r="C432" s="19"/>
      <c r="D432" s="19"/>
      <c r="E432" s="19"/>
      <c r="F432" s="19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9"/>
      <c r="C433" s="19"/>
      <c r="D433" s="19"/>
      <c r="E433" s="19"/>
      <c r="F433" s="19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9"/>
      <c r="C434" s="19"/>
      <c r="D434" s="19"/>
      <c r="E434" s="19"/>
      <c r="F434" s="19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9"/>
      <c r="C435" s="19"/>
      <c r="D435" s="19"/>
      <c r="E435" s="19"/>
      <c r="F435" s="19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9"/>
      <c r="C436" s="19"/>
      <c r="D436" s="19"/>
      <c r="E436" s="19"/>
      <c r="F436" s="19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9"/>
      <c r="C437" s="19"/>
      <c r="D437" s="19"/>
      <c r="E437" s="19"/>
      <c r="F437" s="19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9"/>
      <c r="C438" s="19"/>
      <c r="D438" s="19"/>
      <c r="E438" s="19"/>
      <c r="F438" s="19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9"/>
      <c r="C439" s="19"/>
      <c r="D439" s="19"/>
      <c r="E439" s="19"/>
      <c r="F439" s="19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9"/>
      <c r="C440" s="19"/>
      <c r="D440" s="19"/>
      <c r="E440" s="19"/>
      <c r="F440" s="19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9"/>
      <c r="C441" s="19"/>
      <c r="D441" s="19"/>
      <c r="E441" s="19"/>
      <c r="F441" s="19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9"/>
      <c r="C442" s="19"/>
      <c r="D442" s="19"/>
      <c r="E442" s="19"/>
      <c r="F442" s="19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9"/>
      <c r="C443" s="19"/>
      <c r="D443" s="19"/>
      <c r="E443" s="19"/>
      <c r="F443" s="19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9"/>
      <c r="C444" s="19"/>
      <c r="D444" s="19"/>
      <c r="E444" s="19"/>
      <c r="F444" s="19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9"/>
      <c r="C445" s="19"/>
      <c r="D445" s="19"/>
      <c r="E445" s="19"/>
      <c r="F445" s="19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9"/>
      <c r="C446" s="19"/>
      <c r="D446" s="19"/>
      <c r="E446" s="19"/>
      <c r="F446" s="19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9"/>
      <c r="C447" s="19"/>
      <c r="D447" s="19"/>
      <c r="E447" s="19"/>
      <c r="F447" s="19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9"/>
      <c r="C448" s="19"/>
      <c r="D448" s="19"/>
      <c r="E448" s="19"/>
      <c r="F448" s="19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9"/>
      <c r="C449" s="19"/>
      <c r="D449" s="19"/>
      <c r="E449" s="19"/>
      <c r="F449" s="19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9"/>
      <c r="C450" s="19"/>
      <c r="D450" s="19"/>
      <c r="E450" s="19"/>
      <c r="F450" s="19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9"/>
      <c r="C451" s="19"/>
      <c r="D451" s="19"/>
      <c r="E451" s="19"/>
      <c r="F451" s="19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9"/>
      <c r="C452" s="19"/>
      <c r="D452" s="19"/>
      <c r="E452" s="19"/>
      <c r="F452" s="19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9"/>
      <c r="C453" s="19"/>
      <c r="D453" s="19"/>
      <c r="E453" s="19"/>
      <c r="F453" s="19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9"/>
      <c r="C454" s="19"/>
      <c r="D454" s="19"/>
      <c r="E454" s="19"/>
      <c r="F454" s="19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9"/>
      <c r="C455" s="19"/>
      <c r="D455" s="19"/>
      <c r="E455" s="19"/>
      <c r="F455" s="19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9"/>
      <c r="C456" s="19"/>
      <c r="D456" s="19"/>
      <c r="E456" s="19"/>
      <c r="F456" s="19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9"/>
      <c r="C457" s="19"/>
      <c r="D457" s="19"/>
      <c r="E457" s="19"/>
      <c r="F457" s="19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9"/>
      <c r="C458" s="19"/>
      <c r="D458" s="19"/>
      <c r="E458" s="19"/>
      <c r="F458" s="19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9"/>
      <c r="C459" s="19"/>
      <c r="D459" s="19"/>
      <c r="E459" s="19"/>
      <c r="F459" s="19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9"/>
      <c r="C460" s="19"/>
      <c r="D460" s="19"/>
      <c r="E460" s="19"/>
      <c r="F460" s="19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9"/>
      <c r="C461" s="19"/>
      <c r="D461" s="19"/>
      <c r="E461" s="19"/>
      <c r="F461" s="19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9"/>
      <c r="B462" s="19"/>
      <c r="C462" s="19"/>
      <c r="D462" s="19"/>
      <c r="E462" s="19"/>
      <c r="F462" s="19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9"/>
      <c r="B463" s="19"/>
      <c r="C463" s="19"/>
      <c r="D463" s="19"/>
      <c r="E463" s="19"/>
      <c r="F463" s="19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9"/>
      <c r="B464" s="19"/>
      <c r="C464" s="19"/>
      <c r="D464" s="19"/>
      <c r="E464" s="19"/>
      <c r="F464" s="19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9"/>
      <c r="B465" s="19"/>
      <c r="C465" s="19"/>
      <c r="D465" s="19"/>
      <c r="E465" s="19"/>
      <c r="F465" s="19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9"/>
      <c r="B466" s="19"/>
      <c r="C466" s="19"/>
      <c r="D466" s="19"/>
      <c r="E466" s="19"/>
      <c r="F466" s="19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9"/>
      <c r="B467" s="19"/>
      <c r="C467" s="19"/>
      <c r="D467" s="19"/>
      <c r="E467" s="19"/>
      <c r="F467" s="19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9"/>
      <c r="B468" s="19"/>
      <c r="C468" s="19"/>
      <c r="D468" s="19"/>
      <c r="E468" s="19"/>
      <c r="F468" s="19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9"/>
      <c r="B469" s="19"/>
      <c r="C469" s="19"/>
      <c r="D469" s="19"/>
      <c r="E469" s="19"/>
      <c r="F469" s="19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9"/>
      <c r="B470" s="19"/>
      <c r="C470" s="19"/>
      <c r="D470" s="19"/>
      <c r="E470" s="19"/>
      <c r="F470" s="19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9"/>
      <c r="B471" s="19"/>
      <c r="C471" s="19"/>
      <c r="D471" s="19"/>
      <c r="E471" s="19"/>
      <c r="F471" s="19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9"/>
      <c r="B472" s="19"/>
      <c r="C472" s="19"/>
      <c r="D472" s="19"/>
      <c r="E472" s="19"/>
      <c r="F472" s="19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9"/>
      <c r="B473" s="19"/>
      <c r="C473" s="19"/>
      <c r="D473" s="19"/>
      <c r="E473" s="19"/>
      <c r="F473" s="19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9"/>
      <c r="B474" s="19"/>
      <c r="C474" s="19"/>
      <c r="D474" s="19"/>
      <c r="E474" s="19"/>
      <c r="F474" s="19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9"/>
      <c r="B475" s="19"/>
      <c r="C475" s="19"/>
      <c r="D475" s="19"/>
      <c r="E475" s="19"/>
      <c r="F475" s="19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9"/>
      <c r="B476" s="19"/>
      <c r="C476" s="19"/>
      <c r="D476" s="19"/>
      <c r="E476" s="19"/>
      <c r="F476" s="19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9"/>
      <c r="B477" s="19"/>
      <c r="C477" s="19"/>
      <c r="D477" s="19"/>
      <c r="E477" s="19"/>
      <c r="F477" s="19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9"/>
      <c r="B478" s="19"/>
      <c r="C478" s="19"/>
      <c r="D478" s="19"/>
      <c r="E478" s="19"/>
      <c r="F478" s="19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9"/>
      <c r="B479" s="19"/>
      <c r="C479" s="19"/>
      <c r="D479" s="19"/>
      <c r="E479" s="19"/>
      <c r="F479" s="19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9"/>
      <c r="B480" s="19"/>
      <c r="C480" s="19"/>
      <c r="D480" s="19"/>
      <c r="E480" s="19"/>
      <c r="F480" s="19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9"/>
      <c r="B481" s="19"/>
      <c r="C481" s="19"/>
      <c r="D481" s="19"/>
      <c r="E481" s="19"/>
      <c r="F481" s="19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9"/>
      <c r="B482" s="19"/>
      <c r="C482" s="19"/>
      <c r="D482" s="19"/>
      <c r="E482" s="19"/>
      <c r="F482" s="19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9"/>
      <c r="B483" s="19"/>
      <c r="C483" s="19"/>
      <c r="D483" s="19"/>
      <c r="E483" s="19"/>
      <c r="F483" s="19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9"/>
      <c r="B484" s="19"/>
      <c r="C484" s="19"/>
      <c r="D484" s="19"/>
      <c r="E484" s="19"/>
      <c r="F484" s="19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9"/>
      <c r="B485" s="19"/>
      <c r="C485" s="19"/>
      <c r="D485" s="19"/>
      <c r="E485" s="19"/>
      <c r="F485" s="19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9"/>
      <c r="B486" s="19"/>
      <c r="C486" s="19"/>
      <c r="D486" s="19"/>
      <c r="E486" s="19"/>
      <c r="F486" s="19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9"/>
      <c r="B487" s="19"/>
      <c r="C487" s="19"/>
      <c r="D487" s="19"/>
      <c r="E487" s="19"/>
      <c r="F487" s="19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9"/>
      <c r="B488" s="19"/>
      <c r="C488" s="19"/>
      <c r="D488" s="19"/>
      <c r="E488" s="19"/>
      <c r="F488" s="19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9"/>
      <c r="B489" s="19"/>
      <c r="C489" s="19"/>
      <c r="D489" s="19"/>
      <c r="E489" s="19"/>
      <c r="F489" s="19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9"/>
      <c r="B490" s="19"/>
      <c r="C490" s="19"/>
      <c r="D490" s="19"/>
      <c r="E490" s="19"/>
      <c r="F490" s="19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9"/>
      <c r="B491" s="19"/>
      <c r="C491" s="19"/>
      <c r="D491" s="19"/>
      <c r="E491" s="19"/>
      <c r="F491" s="19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9"/>
      <c r="B492" s="19"/>
      <c r="C492" s="19"/>
      <c r="D492" s="19"/>
      <c r="E492" s="19"/>
      <c r="F492" s="19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9"/>
      <c r="B493" s="19"/>
      <c r="C493" s="19"/>
      <c r="D493" s="19"/>
      <c r="E493" s="19"/>
      <c r="F493" s="19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9"/>
      <c r="B494" s="19"/>
      <c r="C494" s="19"/>
      <c r="D494" s="19"/>
      <c r="E494" s="19"/>
      <c r="F494" s="19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9"/>
      <c r="B495" s="19"/>
      <c r="C495" s="19"/>
      <c r="D495" s="19"/>
      <c r="E495" s="19"/>
      <c r="F495" s="19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9"/>
      <c r="B496" s="19"/>
      <c r="C496" s="19"/>
      <c r="D496" s="19"/>
      <c r="E496" s="19"/>
      <c r="F496" s="19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9"/>
      <c r="B497" s="19"/>
      <c r="C497" s="19"/>
      <c r="D497" s="19"/>
      <c r="E497" s="19"/>
      <c r="F497" s="19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9"/>
      <c r="B498" s="19"/>
      <c r="C498" s="19"/>
      <c r="D498" s="19"/>
      <c r="E498" s="19"/>
      <c r="F498" s="19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9"/>
      <c r="B499" s="19"/>
      <c r="C499" s="19"/>
      <c r="D499" s="19"/>
      <c r="E499" s="19"/>
      <c r="F499" s="19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9"/>
      <c r="B500" s="19"/>
      <c r="C500" s="19"/>
      <c r="D500" s="19"/>
      <c r="E500" s="19"/>
      <c r="F500" s="19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9"/>
      <c r="B501" s="19"/>
      <c r="C501" s="19"/>
      <c r="D501" s="19"/>
      <c r="E501" s="19"/>
      <c r="F501" s="19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9"/>
      <c r="B502" s="19"/>
      <c r="C502" s="19"/>
      <c r="D502" s="19"/>
      <c r="E502" s="19"/>
      <c r="F502" s="19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9"/>
      <c r="B503" s="19"/>
      <c r="C503" s="19"/>
      <c r="D503" s="19"/>
      <c r="E503" s="19"/>
      <c r="F503" s="19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9"/>
      <c r="B504" s="19"/>
      <c r="C504" s="19"/>
      <c r="D504" s="19"/>
      <c r="E504" s="19"/>
      <c r="F504" s="19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9"/>
      <c r="B505" s="19"/>
      <c r="C505" s="19"/>
      <c r="D505" s="19"/>
      <c r="E505" s="19"/>
      <c r="F505" s="19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9"/>
      <c r="B506" s="19"/>
      <c r="C506" s="19"/>
      <c r="D506" s="19"/>
      <c r="E506" s="19"/>
      <c r="F506" s="19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9"/>
      <c r="B507" s="19"/>
      <c r="C507" s="19"/>
      <c r="D507" s="19"/>
      <c r="E507" s="19"/>
      <c r="F507" s="19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9"/>
      <c r="B508" s="19"/>
      <c r="C508" s="19"/>
      <c r="D508" s="19"/>
      <c r="E508" s="19"/>
      <c r="F508" s="19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9"/>
      <c r="B509" s="19"/>
      <c r="C509" s="19"/>
      <c r="D509" s="19"/>
      <c r="E509" s="19"/>
      <c r="F509" s="19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9"/>
      <c r="B510" s="19"/>
      <c r="C510" s="19"/>
      <c r="D510" s="19"/>
      <c r="E510" s="19"/>
      <c r="F510" s="19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9"/>
      <c r="B511" s="19"/>
      <c r="C511" s="19"/>
      <c r="D511" s="19"/>
      <c r="E511" s="19"/>
      <c r="F511" s="19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9"/>
      <c r="B512" s="19"/>
      <c r="C512" s="19"/>
      <c r="D512" s="19"/>
      <c r="E512" s="19"/>
      <c r="F512" s="19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9"/>
      <c r="B513" s="19"/>
      <c r="C513" s="19"/>
      <c r="D513" s="19"/>
      <c r="E513" s="19"/>
      <c r="F513" s="19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9"/>
      <c r="B514" s="19"/>
      <c r="C514" s="19"/>
      <c r="D514" s="19"/>
      <c r="E514" s="19"/>
      <c r="F514" s="19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9"/>
      <c r="B515" s="19"/>
      <c r="C515" s="19"/>
      <c r="D515" s="19"/>
      <c r="E515" s="19"/>
      <c r="F515" s="19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9"/>
      <c r="B516" s="19"/>
      <c r="C516" s="19"/>
      <c r="D516" s="19"/>
      <c r="E516" s="19"/>
      <c r="F516" s="19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9"/>
      <c r="B517" s="19"/>
      <c r="C517" s="19"/>
      <c r="D517" s="19"/>
      <c r="E517" s="19"/>
      <c r="F517" s="19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9"/>
      <c r="B518" s="19"/>
      <c r="C518" s="19"/>
      <c r="D518" s="19"/>
      <c r="E518" s="19"/>
      <c r="F518" s="19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9"/>
      <c r="B519" s="19"/>
      <c r="C519" s="19"/>
      <c r="D519" s="19"/>
      <c r="E519" s="19"/>
      <c r="F519" s="19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9"/>
      <c r="B520" s="19"/>
      <c r="C520" s="19"/>
      <c r="D520" s="19"/>
      <c r="E520" s="19"/>
      <c r="F520" s="19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9"/>
      <c r="B521" s="19"/>
      <c r="C521" s="19"/>
      <c r="D521" s="19"/>
      <c r="E521" s="19"/>
      <c r="F521" s="19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9"/>
      <c r="B522" s="19"/>
      <c r="C522" s="19"/>
      <c r="D522" s="19"/>
      <c r="E522" s="19"/>
      <c r="F522" s="19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9"/>
      <c r="B523" s="19"/>
      <c r="C523" s="19"/>
      <c r="D523" s="19"/>
      <c r="E523" s="19"/>
      <c r="F523" s="19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9"/>
      <c r="B524" s="19"/>
      <c r="C524" s="19"/>
      <c r="D524" s="19"/>
      <c r="E524" s="19"/>
      <c r="F524" s="19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9"/>
      <c r="B525" s="19"/>
      <c r="C525" s="19"/>
      <c r="D525" s="19"/>
      <c r="E525" s="19"/>
      <c r="F525" s="19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9"/>
      <c r="B526" s="19"/>
      <c r="C526" s="19"/>
      <c r="D526" s="19"/>
      <c r="E526" s="19"/>
      <c r="F526" s="19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9"/>
      <c r="B527" s="19"/>
      <c r="C527" s="19"/>
      <c r="D527" s="19"/>
      <c r="E527" s="19"/>
      <c r="F527" s="19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9"/>
      <c r="B528" s="19"/>
      <c r="C528" s="19"/>
      <c r="D528" s="19"/>
      <c r="E528" s="19"/>
      <c r="F528" s="19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9"/>
      <c r="B529" s="19"/>
      <c r="C529" s="19"/>
      <c r="D529" s="19"/>
      <c r="E529" s="19"/>
      <c r="F529" s="19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9"/>
      <c r="B530" s="19"/>
      <c r="C530" s="19"/>
      <c r="D530" s="19"/>
      <c r="E530" s="19"/>
      <c r="F530" s="19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9"/>
      <c r="B531" s="19"/>
      <c r="C531" s="19"/>
      <c r="D531" s="19"/>
      <c r="E531" s="19"/>
      <c r="F531" s="19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9"/>
      <c r="B532" s="19"/>
      <c r="C532" s="19"/>
      <c r="D532" s="19"/>
      <c r="E532" s="19"/>
      <c r="F532" s="19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9"/>
      <c r="B533" s="19"/>
      <c r="C533" s="19"/>
      <c r="D533" s="19"/>
      <c r="E533" s="19"/>
      <c r="F533" s="19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9"/>
      <c r="B534" s="19"/>
      <c r="C534" s="19"/>
      <c r="D534" s="19"/>
      <c r="E534" s="19"/>
      <c r="F534" s="19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9"/>
      <c r="B535" s="19"/>
      <c r="C535" s="19"/>
      <c r="D535" s="19"/>
      <c r="E535" s="19"/>
      <c r="F535" s="19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9"/>
      <c r="B536" s="19"/>
      <c r="C536" s="19"/>
      <c r="D536" s="19"/>
      <c r="E536" s="19"/>
      <c r="F536" s="19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9"/>
      <c r="B537" s="19"/>
      <c r="C537" s="19"/>
      <c r="D537" s="19"/>
      <c r="E537" s="19"/>
      <c r="F537" s="19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9"/>
      <c r="B538" s="19"/>
      <c r="C538" s="19"/>
      <c r="D538" s="19"/>
      <c r="E538" s="19"/>
      <c r="F538" s="19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9"/>
      <c r="B539" s="19"/>
      <c r="C539" s="19"/>
      <c r="D539" s="19"/>
      <c r="E539" s="19"/>
      <c r="F539" s="19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9"/>
      <c r="B540" s="19"/>
      <c r="C540" s="19"/>
      <c r="D540" s="19"/>
      <c r="E540" s="19"/>
      <c r="F540" s="19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9"/>
      <c r="B541" s="19"/>
      <c r="C541" s="19"/>
      <c r="D541" s="19"/>
      <c r="E541" s="19"/>
      <c r="F541" s="19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9"/>
      <c r="B542" s="19"/>
      <c r="C542" s="19"/>
      <c r="D542" s="19"/>
      <c r="E542" s="19"/>
      <c r="F542" s="19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9"/>
      <c r="B543" s="19"/>
      <c r="C543" s="19"/>
      <c r="D543" s="19"/>
      <c r="E543" s="19"/>
      <c r="F543" s="19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9"/>
      <c r="B544" s="19"/>
      <c r="C544" s="19"/>
      <c r="D544" s="19"/>
      <c r="E544" s="19"/>
      <c r="F544" s="19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9"/>
      <c r="B545" s="19"/>
      <c r="C545" s="19"/>
      <c r="D545" s="19"/>
      <c r="E545" s="19"/>
      <c r="F545" s="19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9"/>
      <c r="B546" s="19"/>
      <c r="C546" s="19"/>
      <c r="D546" s="19"/>
      <c r="E546" s="19"/>
      <c r="F546" s="19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9"/>
      <c r="B547" s="19"/>
      <c r="C547" s="19"/>
      <c r="D547" s="19"/>
      <c r="E547" s="19"/>
      <c r="F547" s="19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9"/>
      <c r="B548" s="19"/>
      <c r="C548" s="19"/>
      <c r="D548" s="19"/>
      <c r="E548" s="19"/>
      <c r="F548" s="19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9"/>
      <c r="B549" s="19"/>
      <c r="C549" s="19"/>
      <c r="D549" s="19"/>
      <c r="E549" s="19"/>
      <c r="F549" s="19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9"/>
      <c r="B550" s="19"/>
      <c r="C550" s="19"/>
      <c r="D550" s="19"/>
      <c r="E550" s="19"/>
      <c r="F550" s="19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9"/>
      <c r="B551" s="19"/>
      <c r="C551" s="19"/>
      <c r="D551" s="19"/>
      <c r="E551" s="19"/>
      <c r="F551" s="19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9"/>
      <c r="B552" s="19"/>
      <c r="C552" s="19"/>
      <c r="D552" s="19"/>
      <c r="E552" s="19"/>
      <c r="F552" s="19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9"/>
      <c r="B553" s="19"/>
      <c r="C553" s="19"/>
      <c r="D553" s="19"/>
      <c r="E553" s="19"/>
      <c r="F553" s="19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9"/>
      <c r="B554" s="19"/>
      <c r="C554" s="19"/>
      <c r="D554" s="19"/>
      <c r="E554" s="19"/>
      <c r="F554" s="19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9"/>
      <c r="B555" s="19"/>
      <c r="C555" s="19"/>
      <c r="D555" s="19"/>
      <c r="E555" s="19"/>
      <c r="F555" s="19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9"/>
      <c r="B556" s="19"/>
      <c r="C556" s="19"/>
      <c r="D556" s="19"/>
      <c r="E556" s="19"/>
      <c r="F556" s="19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9"/>
      <c r="B557" s="19"/>
      <c r="C557" s="19"/>
      <c r="D557" s="19"/>
      <c r="E557" s="19"/>
      <c r="F557" s="19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9"/>
      <c r="B558" s="19"/>
      <c r="C558" s="19"/>
      <c r="D558" s="19"/>
      <c r="E558" s="19"/>
      <c r="F558" s="19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9"/>
      <c r="B559" s="19"/>
      <c r="C559" s="19"/>
      <c r="D559" s="19"/>
      <c r="E559" s="19"/>
      <c r="F559" s="19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9"/>
      <c r="B560" s="19"/>
      <c r="C560" s="19"/>
      <c r="D560" s="19"/>
      <c r="E560" s="19"/>
      <c r="F560" s="19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9"/>
      <c r="B561" s="19"/>
      <c r="C561" s="19"/>
      <c r="D561" s="19"/>
      <c r="E561" s="19"/>
      <c r="F561" s="19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9"/>
      <c r="B562" s="19"/>
      <c r="C562" s="19"/>
      <c r="D562" s="19"/>
      <c r="E562" s="19"/>
      <c r="F562" s="19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9"/>
      <c r="B563" s="19"/>
      <c r="C563" s="19"/>
      <c r="D563" s="19"/>
      <c r="E563" s="19"/>
      <c r="F563" s="19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9"/>
      <c r="B564" s="19"/>
      <c r="C564" s="19"/>
      <c r="D564" s="19"/>
      <c r="E564" s="19"/>
      <c r="F564" s="19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9"/>
      <c r="B565" s="19"/>
      <c r="C565" s="19"/>
      <c r="D565" s="19"/>
      <c r="E565" s="19"/>
      <c r="F565" s="19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9"/>
      <c r="B566" s="19"/>
      <c r="C566" s="19"/>
      <c r="D566" s="19"/>
      <c r="E566" s="19"/>
      <c r="F566" s="19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9"/>
      <c r="B567" s="19"/>
      <c r="C567" s="19"/>
      <c r="D567" s="19"/>
      <c r="E567" s="19"/>
      <c r="F567" s="19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9"/>
      <c r="B568" s="19"/>
      <c r="C568" s="19"/>
      <c r="D568" s="19"/>
      <c r="E568" s="19"/>
      <c r="F568" s="19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9"/>
      <c r="B569" s="19"/>
      <c r="C569" s="19"/>
      <c r="D569" s="19"/>
      <c r="E569" s="19"/>
      <c r="F569" s="19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9"/>
      <c r="B570" s="19"/>
      <c r="C570" s="19"/>
      <c r="D570" s="19"/>
      <c r="E570" s="19"/>
      <c r="F570" s="19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9"/>
      <c r="B571" s="19"/>
      <c r="C571" s="19"/>
      <c r="D571" s="19"/>
      <c r="E571" s="19"/>
      <c r="F571" s="19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9"/>
      <c r="B572" s="19"/>
      <c r="C572" s="19"/>
      <c r="D572" s="19"/>
      <c r="E572" s="19"/>
      <c r="F572" s="19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9"/>
      <c r="B573" s="19"/>
      <c r="C573" s="19"/>
      <c r="D573" s="19"/>
      <c r="E573" s="19"/>
      <c r="F573" s="19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9"/>
      <c r="B574" s="19"/>
      <c r="C574" s="19"/>
      <c r="D574" s="19"/>
      <c r="E574" s="19"/>
      <c r="F574" s="19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9"/>
      <c r="B575" s="19"/>
      <c r="C575" s="19"/>
      <c r="D575" s="19"/>
      <c r="E575" s="19"/>
      <c r="F575" s="19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9"/>
      <c r="B576" s="19"/>
      <c r="C576" s="19"/>
      <c r="D576" s="19"/>
      <c r="E576" s="19"/>
      <c r="F576" s="19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9"/>
      <c r="R576" s="19"/>
      <c r="S576" s="19"/>
      <c r="T576" s="19"/>
      <c r="U576" s="19"/>
      <c r="V576" s="19"/>
      <c r="W576" s="19"/>
      <c r="X576" s="19"/>
      <c r="Y576" s="19"/>
    </row>
    <row r="577">
      <c r="A577" s="19"/>
      <c r="B577" s="19"/>
      <c r="C577" s="19"/>
      <c r="D577" s="19"/>
      <c r="E577" s="19"/>
      <c r="F577" s="19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9"/>
      <c r="R577" s="19"/>
      <c r="S577" s="19"/>
      <c r="T577" s="19"/>
      <c r="U577" s="19"/>
      <c r="V577" s="19"/>
      <c r="W577" s="19"/>
      <c r="X577" s="19"/>
      <c r="Y577" s="19"/>
    </row>
    <row r="578">
      <c r="A578" s="19"/>
      <c r="B578" s="19"/>
      <c r="C578" s="19"/>
      <c r="D578" s="19"/>
      <c r="E578" s="19"/>
      <c r="F578" s="19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9"/>
      <c r="R578" s="19"/>
      <c r="S578" s="19"/>
      <c r="T578" s="19"/>
      <c r="U578" s="19"/>
      <c r="V578" s="19"/>
      <c r="W578" s="19"/>
      <c r="X578" s="19"/>
      <c r="Y578" s="19"/>
    </row>
    <row r="579">
      <c r="A579" s="19"/>
      <c r="B579" s="19"/>
      <c r="C579" s="19"/>
      <c r="D579" s="19"/>
      <c r="E579" s="19"/>
      <c r="F579" s="19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9"/>
      <c r="R579" s="19"/>
      <c r="S579" s="19"/>
      <c r="T579" s="19"/>
      <c r="U579" s="19"/>
      <c r="V579" s="19"/>
      <c r="W579" s="19"/>
      <c r="X579" s="19"/>
      <c r="Y579" s="19"/>
    </row>
    <row r="580">
      <c r="A580" s="19"/>
      <c r="B580" s="19"/>
      <c r="C580" s="19"/>
      <c r="D580" s="19"/>
      <c r="E580" s="19"/>
      <c r="F580" s="19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9"/>
      <c r="R580" s="19"/>
      <c r="S580" s="19"/>
      <c r="T580" s="19"/>
      <c r="U580" s="19"/>
      <c r="V580" s="19"/>
      <c r="W580" s="19"/>
      <c r="X580" s="19"/>
      <c r="Y580" s="19"/>
    </row>
    <row r="581">
      <c r="A581" s="19"/>
      <c r="B581" s="19"/>
      <c r="C581" s="19"/>
      <c r="D581" s="19"/>
      <c r="E581" s="19"/>
      <c r="F581" s="19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9"/>
      <c r="R581" s="19"/>
      <c r="S581" s="19"/>
      <c r="T581" s="19"/>
      <c r="U581" s="19"/>
      <c r="V581" s="19"/>
      <c r="W581" s="19"/>
      <c r="X581" s="19"/>
      <c r="Y581" s="19"/>
    </row>
    <row r="582">
      <c r="A582" s="19"/>
      <c r="B582" s="19"/>
      <c r="C582" s="19"/>
      <c r="D582" s="19"/>
      <c r="E582" s="19"/>
      <c r="F582" s="19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9"/>
      <c r="R582" s="19"/>
      <c r="S582" s="19"/>
      <c r="T582" s="19"/>
      <c r="U582" s="19"/>
      <c r="V582" s="19"/>
      <c r="W582" s="19"/>
      <c r="X582" s="19"/>
      <c r="Y582" s="19"/>
    </row>
    <row r="583">
      <c r="A583" s="19"/>
      <c r="B583" s="19"/>
      <c r="C583" s="19"/>
      <c r="D583" s="19"/>
      <c r="E583" s="19"/>
      <c r="F583" s="19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9"/>
      <c r="R583" s="19"/>
      <c r="S583" s="19"/>
      <c r="T583" s="19"/>
      <c r="U583" s="19"/>
      <c r="V583" s="19"/>
      <c r="W583" s="19"/>
      <c r="X583" s="19"/>
      <c r="Y583" s="19"/>
    </row>
    <row r="584">
      <c r="A584" s="19"/>
      <c r="B584" s="19"/>
      <c r="C584" s="19"/>
      <c r="D584" s="19"/>
      <c r="E584" s="19"/>
      <c r="F584" s="19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9"/>
      <c r="R584" s="19"/>
      <c r="S584" s="19"/>
      <c r="T584" s="19"/>
      <c r="U584" s="19"/>
      <c r="V584" s="19"/>
      <c r="W584" s="19"/>
      <c r="X584" s="19"/>
      <c r="Y584" s="19"/>
    </row>
    <row r="585">
      <c r="A585" s="19"/>
      <c r="B585" s="19"/>
      <c r="C585" s="19"/>
      <c r="D585" s="19"/>
      <c r="E585" s="19"/>
      <c r="F585" s="19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9"/>
      <c r="R585" s="19"/>
      <c r="S585" s="19"/>
      <c r="T585" s="19"/>
      <c r="U585" s="19"/>
      <c r="V585" s="19"/>
      <c r="W585" s="19"/>
      <c r="X585" s="19"/>
      <c r="Y585" s="19"/>
    </row>
    <row r="586">
      <c r="A586" s="19"/>
      <c r="B586" s="19"/>
      <c r="C586" s="19"/>
      <c r="D586" s="19"/>
      <c r="E586" s="19"/>
      <c r="F586" s="19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19"/>
      <c r="B587" s="19"/>
      <c r="C587" s="19"/>
      <c r="D587" s="19"/>
      <c r="E587" s="19"/>
      <c r="F587" s="19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19"/>
      <c r="B588" s="19"/>
      <c r="C588" s="19"/>
      <c r="D588" s="19"/>
      <c r="E588" s="19"/>
      <c r="F588" s="19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19"/>
      <c r="B589" s="19"/>
      <c r="C589" s="19"/>
      <c r="D589" s="19"/>
      <c r="E589" s="19"/>
      <c r="F589" s="19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19"/>
      <c r="B590" s="19"/>
      <c r="C590" s="19"/>
      <c r="D590" s="19"/>
      <c r="E590" s="19"/>
      <c r="F590" s="19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19"/>
      <c r="B591" s="19"/>
      <c r="C591" s="19"/>
      <c r="D591" s="19"/>
      <c r="E591" s="19"/>
      <c r="F591" s="19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19"/>
      <c r="B592" s="19"/>
      <c r="C592" s="19"/>
      <c r="D592" s="19"/>
      <c r="E592" s="19"/>
      <c r="F592" s="19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19"/>
      <c r="B593" s="19"/>
      <c r="C593" s="19"/>
      <c r="D593" s="19"/>
      <c r="E593" s="19"/>
      <c r="F593" s="19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19"/>
      <c r="B594" s="19"/>
      <c r="C594" s="19"/>
      <c r="D594" s="19"/>
      <c r="E594" s="19"/>
      <c r="F594" s="19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19"/>
      <c r="B595" s="19"/>
      <c r="C595" s="19"/>
      <c r="D595" s="19"/>
      <c r="E595" s="19"/>
      <c r="F595" s="19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19"/>
      <c r="B596" s="19"/>
      <c r="C596" s="19"/>
      <c r="D596" s="19"/>
      <c r="E596" s="19"/>
      <c r="F596" s="19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19"/>
      <c r="B597" s="19"/>
      <c r="C597" s="19"/>
      <c r="D597" s="19"/>
      <c r="E597" s="19"/>
      <c r="F597" s="19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19"/>
      <c r="B598" s="19"/>
      <c r="C598" s="19"/>
      <c r="D598" s="19"/>
      <c r="E598" s="19"/>
      <c r="F598" s="19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19"/>
      <c r="B599" s="19"/>
      <c r="C599" s="19"/>
      <c r="D599" s="19"/>
      <c r="E599" s="19"/>
      <c r="F599" s="19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19"/>
      <c r="B600" s="19"/>
      <c r="C600" s="19"/>
      <c r="D600" s="19"/>
      <c r="E600" s="19"/>
      <c r="F600" s="19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19"/>
      <c r="B601" s="19"/>
      <c r="C601" s="19"/>
      <c r="D601" s="19"/>
      <c r="E601" s="19"/>
      <c r="F601" s="19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19"/>
      <c r="B602" s="19"/>
      <c r="C602" s="19"/>
      <c r="D602" s="19"/>
      <c r="E602" s="19"/>
      <c r="F602" s="19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19"/>
      <c r="B603" s="19"/>
      <c r="C603" s="19"/>
      <c r="D603" s="19"/>
      <c r="E603" s="19"/>
      <c r="F603" s="19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19"/>
      <c r="B604" s="19"/>
      <c r="C604" s="19"/>
      <c r="D604" s="19"/>
      <c r="E604" s="19"/>
      <c r="F604" s="19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19"/>
      <c r="B605" s="19"/>
      <c r="C605" s="19"/>
      <c r="D605" s="19"/>
      <c r="E605" s="19"/>
      <c r="F605" s="19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19"/>
      <c r="B606" s="19"/>
      <c r="C606" s="19"/>
      <c r="D606" s="19"/>
      <c r="E606" s="19"/>
      <c r="F606" s="19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19"/>
      <c r="B607" s="19"/>
      <c r="C607" s="19"/>
      <c r="D607" s="19"/>
      <c r="E607" s="19"/>
      <c r="F607" s="19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19"/>
      <c r="B608" s="19"/>
      <c r="C608" s="19"/>
      <c r="D608" s="19"/>
      <c r="E608" s="19"/>
      <c r="F608" s="19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19"/>
      <c r="B609" s="19"/>
      <c r="C609" s="19"/>
      <c r="D609" s="19"/>
      <c r="E609" s="19"/>
      <c r="F609" s="19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19"/>
      <c r="B610" s="19"/>
      <c r="C610" s="19"/>
      <c r="D610" s="19"/>
      <c r="E610" s="19"/>
      <c r="F610" s="19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19"/>
      <c r="B611" s="19"/>
      <c r="C611" s="19"/>
      <c r="D611" s="19"/>
      <c r="E611" s="19"/>
      <c r="F611" s="19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19"/>
      <c r="B612" s="19"/>
      <c r="C612" s="19"/>
      <c r="D612" s="19"/>
      <c r="E612" s="19"/>
      <c r="F612" s="19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19"/>
      <c r="B613" s="19"/>
      <c r="C613" s="19"/>
      <c r="D613" s="19"/>
      <c r="E613" s="19"/>
      <c r="F613" s="19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19"/>
      <c r="B614" s="19"/>
      <c r="C614" s="19"/>
      <c r="D614" s="19"/>
      <c r="E614" s="19"/>
      <c r="F614" s="19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19"/>
      <c r="B615" s="19"/>
      <c r="C615" s="19"/>
      <c r="D615" s="19"/>
      <c r="E615" s="19"/>
      <c r="F615" s="19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19"/>
      <c r="B616" s="19"/>
      <c r="C616" s="19"/>
      <c r="D616" s="19"/>
      <c r="E616" s="19"/>
      <c r="F616" s="19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19"/>
      <c r="B617" s="19"/>
      <c r="C617" s="19"/>
      <c r="D617" s="19"/>
      <c r="E617" s="19"/>
      <c r="F617" s="19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19"/>
      <c r="B618" s="19"/>
      <c r="C618" s="19"/>
      <c r="D618" s="19"/>
      <c r="E618" s="19"/>
      <c r="F618" s="19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19"/>
      <c r="B619" s="19"/>
      <c r="C619" s="19"/>
      <c r="D619" s="19"/>
      <c r="E619" s="19"/>
      <c r="F619" s="19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19"/>
      <c r="B620" s="19"/>
      <c r="C620" s="19"/>
      <c r="D620" s="19"/>
      <c r="E620" s="19"/>
      <c r="F620" s="19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19"/>
      <c r="B621" s="19"/>
      <c r="C621" s="19"/>
      <c r="D621" s="19"/>
      <c r="E621" s="19"/>
      <c r="F621" s="19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19"/>
      <c r="B622" s="19"/>
      <c r="C622" s="19"/>
      <c r="D622" s="19"/>
      <c r="E622" s="19"/>
      <c r="F622" s="19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19"/>
      <c r="B623" s="19"/>
      <c r="C623" s="19"/>
      <c r="D623" s="19"/>
      <c r="E623" s="19"/>
      <c r="F623" s="19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19"/>
      <c r="B624" s="19"/>
      <c r="C624" s="19"/>
      <c r="D624" s="19"/>
      <c r="E624" s="19"/>
      <c r="F624" s="19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19"/>
      <c r="B625" s="19"/>
      <c r="C625" s="19"/>
      <c r="D625" s="19"/>
      <c r="E625" s="19"/>
      <c r="F625" s="19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19"/>
      <c r="B626" s="19"/>
      <c r="C626" s="19"/>
      <c r="D626" s="19"/>
      <c r="E626" s="19"/>
      <c r="F626" s="19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9"/>
      <c r="R626" s="19"/>
      <c r="S626" s="19"/>
      <c r="T626" s="19"/>
      <c r="U626" s="19"/>
      <c r="V626" s="19"/>
      <c r="W626" s="19"/>
      <c r="X626" s="19"/>
      <c r="Y626" s="19"/>
    </row>
    <row r="627">
      <c r="A627" s="19"/>
      <c r="B627" s="19"/>
      <c r="C627" s="19"/>
      <c r="D627" s="19"/>
      <c r="E627" s="19"/>
      <c r="F627" s="19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19"/>
      <c r="B628" s="19"/>
      <c r="C628" s="19"/>
      <c r="D628" s="19"/>
      <c r="E628" s="19"/>
      <c r="F628" s="19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19"/>
      <c r="B629" s="19"/>
      <c r="C629" s="19"/>
      <c r="D629" s="19"/>
      <c r="E629" s="19"/>
      <c r="F629" s="19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19"/>
      <c r="B630" s="19"/>
      <c r="C630" s="19"/>
      <c r="D630" s="19"/>
      <c r="E630" s="19"/>
      <c r="F630" s="19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19"/>
      <c r="B631" s="19"/>
      <c r="C631" s="19"/>
      <c r="D631" s="19"/>
      <c r="E631" s="19"/>
      <c r="F631" s="19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19"/>
      <c r="B632" s="19"/>
      <c r="C632" s="19"/>
      <c r="D632" s="19"/>
      <c r="E632" s="19"/>
      <c r="F632" s="19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19"/>
      <c r="B633" s="19"/>
      <c r="C633" s="19"/>
      <c r="D633" s="19"/>
      <c r="E633" s="19"/>
      <c r="F633" s="19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9"/>
      <c r="R633" s="19"/>
      <c r="S633" s="19"/>
      <c r="T633" s="19"/>
      <c r="U633" s="19"/>
      <c r="V633" s="19"/>
      <c r="W633" s="19"/>
      <c r="X633" s="19"/>
      <c r="Y633" s="19"/>
    </row>
    <row r="634">
      <c r="A634" s="19"/>
      <c r="B634" s="19"/>
      <c r="C634" s="19"/>
      <c r="D634" s="19"/>
      <c r="E634" s="19"/>
      <c r="F634" s="19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9"/>
      <c r="R634" s="19"/>
      <c r="S634" s="19"/>
      <c r="T634" s="19"/>
      <c r="U634" s="19"/>
      <c r="V634" s="19"/>
      <c r="W634" s="19"/>
      <c r="X634" s="19"/>
      <c r="Y634" s="19"/>
    </row>
    <row r="635">
      <c r="A635" s="19"/>
      <c r="B635" s="19"/>
      <c r="C635" s="19"/>
      <c r="D635" s="19"/>
      <c r="E635" s="19"/>
      <c r="F635" s="19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9"/>
      <c r="R635" s="19"/>
      <c r="S635" s="19"/>
      <c r="T635" s="19"/>
      <c r="U635" s="19"/>
      <c r="V635" s="19"/>
      <c r="W635" s="19"/>
      <c r="X635" s="19"/>
      <c r="Y635" s="19"/>
    </row>
    <row r="636">
      <c r="A636" s="19"/>
      <c r="B636" s="19"/>
      <c r="C636" s="19"/>
      <c r="D636" s="19"/>
      <c r="E636" s="19"/>
      <c r="F636" s="19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19"/>
      <c r="B637" s="19"/>
      <c r="C637" s="19"/>
      <c r="D637" s="19"/>
      <c r="E637" s="19"/>
      <c r="F637" s="19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19"/>
      <c r="B638" s="19"/>
      <c r="C638" s="19"/>
      <c r="D638" s="19"/>
      <c r="E638" s="19"/>
      <c r="F638" s="19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9"/>
      <c r="R638" s="19"/>
      <c r="S638" s="19"/>
      <c r="T638" s="19"/>
      <c r="U638" s="19"/>
      <c r="V638" s="19"/>
      <c r="W638" s="19"/>
      <c r="X638" s="19"/>
      <c r="Y638" s="19"/>
    </row>
    <row r="639">
      <c r="A639" s="19"/>
      <c r="B639" s="19"/>
      <c r="C639" s="19"/>
      <c r="D639" s="19"/>
      <c r="E639" s="19"/>
      <c r="F639" s="19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9"/>
      <c r="R639" s="19"/>
      <c r="S639" s="19"/>
      <c r="T639" s="19"/>
      <c r="U639" s="19"/>
      <c r="V639" s="19"/>
      <c r="W639" s="19"/>
      <c r="X639" s="19"/>
      <c r="Y639" s="19"/>
    </row>
    <row r="640">
      <c r="A640" s="19"/>
      <c r="B640" s="19"/>
      <c r="C640" s="19"/>
      <c r="D640" s="19"/>
      <c r="E640" s="19"/>
      <c r="F640" s="19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9"/>
      <c r="R640" s="19"/>
      <c r="S640" s="19"/>
      <c r="T640" s="19"/>
      <c r="U640" s="19"/>
      <c r="V640" s="19"/>
      <c r="W640" s="19"/>
      <c r="X640" s="19"/>
      <c r="Y640" s="19"/>
    </row>
    <row r="641">
      <c r="A641" s="19"/>
      <c r="B641" s="19"/>
      <c r="C641" s="19"/>
      <c r="D641" s="19"/>
      <c r="E641" s="19"/>
      <c r="F641" s="19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9"/>
      <c r="R641" s="19"/>
      <c r="S641" s="19"/>
      <c r="T641" s="19"/>
      <c r="U641" s="19"/>
      <c r="V641" s="19"/>
      <c r="W641" s="19"/>
      <c r="X641" s="19"/>
      <c r="Y641" s="19"/>
    </row>
    <row r="642">
      <c r="A642" s="19"/>
      <c r="B642" s="19"/>
      <c r="C642" s="19"/>
      <c r="D642" s="19"/>
      <c r="E642" s="19"/>
      <c r="F642" s="19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9"/>
      <c r="R642" s="19"/>
      <c r="S642" s="19"/>
      <c r="T642" s="19"/>
      <c r="U642" s="19"/>
      <c r="V642" s="19"/>
      <c r="W642" s="19"/>
      <c r="X642" s="19"/>
      <c r="Y642" s="19"/>
    </row>
    <row r="643">
      <c r="A643" s="19"/>
      <c r="B643" s="19"/>
      <c r="C643" s="19"/>
      <c r="D643" s="19"/>
      <c r="E643" s="19"/>
      <c r="F643" s="19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9"/>
      <c r="R643" s="19"/>
      <c r="S643" s="19"/>
      <c r="T643" s="19"/>
      <c r="U643" s="19"/>
      <c r="V643" s="19"/>
      <c r="W643" s="19"/>
      <c r="X643" s="19"/>
      <c r="Y643" s="19"/>
    </row>
    <row r="644">
      <c r="A644" s="19"/>
      <c r="B644" s="19"/>
      <c r="C644" s="19"/>
      <c r="D644" s="19"/>
      <c r="E644" s="19"/>
      <c r="F644" s="19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9"/>
      <c r="R644" s="19"/>
      <c r="S644" s="19"/>
      <c r="T644" s="19"/>
      <c r="U644" s="19"/>
      <c r="V644" s="19"/>
      <c r="W644" s="19"/>
      <c r="X644" s="19"/>
      <c r="Y644" s="19"/>
    </row>
    <row r="645">
      <c r="A645" s="19"/>
      <c r="B645" s="19"/>
      <c r="C645" s="19"/>
      <c r="D645" s="19"/>
      <c r="E645" s="19"/>
      <c r="F645" s="19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9"/>
      <c r="R645" s="19"/>
      <c r="S645" s="19"/>
      <c r="T645" s="19"/>
      <c r="U645" s="19"/>
      <c r="V645" s="19"/>
      <c r="W645" s="19"/>
      <c r="X645" s="19"/>
      <c r="Y645" s="19"/>
    </row>
    <row r="646">
      <c r="A646" s="19"/>
      <c r="B646" s="19"/>
      <c r="C646" s="19"/>
      <c r="D646" s="19"/>
      <c r="E646" s="19"/>
      <c r="F646" s="19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9"/>
      <c r="R646" s="19"/>
      <c r="S646" s="19"/>
      <c r="T646" s="19"/>
      <c r="U646" s="19"/>
      <c r="V646" s="19"/>
      <c r="W646" s="19"/>
      <c r="X646" s="19"/>
      <c r="Y646" s="19"/>
    </row>
    <row r="647">
      <c r="A647" s="19"/>
      <c r="B647" s="19"/>
      <c r="C647" s="19"/>
      <c r="D647" s="19"/>
      <c r="E647" s="19"/>
      <c r="F647" s="19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9"/>
      <c r="R647" s="19"/>
      <c r="S647" s="19"/>
      <c r="T647" s="19"/>
      <c r="U647" s="19"/>
      <c r="V647" s="19"/>
      <c r="W647" s="19"/>
      <c r="X647" s="19"/>
      <c r="Y647" s="19"/>
    </row>
    <row r="648">
      <c r="A648" s="19"/>
      <c r="B648" s="19"/>
      <c r="C648" s="19"/>
      <c r="D648" s="19"/>
      <c r="E648" s="19"/>
      <c r="F648" s="19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9"/>
      <c r="R648" s="19"/>
      <c r="S648" s="19"/>
      <c r="T648" s="19"/>
      <c r="U648" s="19"/>
      <c r="V648" s="19"/>
      <c r="W648" s="19"/>
      <c r="X648" s="19"/>
      <c r="Y648" s="19"/>
    </row>
    <row r="649">
      <c r="A649" s="19"/>
      <c r="B649" s="19"/>
      <c r="C649" s="19"/>
      <c r="D649" s="19"/>
      <c r="E649" s="19"/>
      <c r="F649" s="19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9"/>
      <c r="R649" s="19"/>
      <c r="S649" s="19"/>
      <c r="T649" s="19"/>
      <c r="U649" s="19"/>
      <c r="V649" s="19"/>
      <c r="W649" s="19"/>
      <c r="X649" s="19"/>
      <c r="Y649" s="19"/>
    </row>
    <row r="650">
      <c r="A650" s="19"/>
      <c r="B650" s="19"/>
      <c r="C650" s="19"/>
      <c r="D650" s="19"/>
      <c r="E650" s="19"/>
      <c r="F650" s="19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9"/>
      <c r="R650" s="19"/>
      <c r="S650" s="19"/>
      <c r="T650" s="19"/>
      <c r="U650" s="19"/>
      <c r="V650" s="19"/>
      <c r="W650" s="19"/>
      <c r="X650" s="19"/>
      <c r="Y650" s="19"/>
    </row>
    <row r="651">
      <c r="A651" s="19"/>
      <c r="B651" s="19"/>
      <c r="C651" s="19"/>
      <c r="D651" s="19"/>
      <c r="E651" s="19"/>
      <c r="F651" s="19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9"/>
      <c r="R651" s="19"/>
      <c r="S651" s="19"/>
      <c r="T651" s="19"/>
      <c r="U651" s="19"/>
      <c r="V651" s="19"/>
      <c r="W651" s="19"/>
      <c r="X651" s="19"/>
      <c r="Y651" s="19"/>
    </row>
  </sheetData>
  <dataValidations>
    <dataValidation type="list" allowBlank="1" sqref="D20 D110">
      <formula1>Menu!$B$20:$B$23</formula1>
    </dataValidation>
    <dataValidation type="list" allowBlank="1" sqref="F5:F6 F9:F11 F13 F17 F20 F23:F24 F41:F42 F50:F51 F54 F57 F59:F60 F73:F74 F80:F81 F86:F90 F109 F122:F123">
      <formula1>Menu!$B$74:$B$81</formula1>
    </dataValidation>
    <dataValidation type="list" allowBlank="1" sqref="E5:E6 E9:E11 E13 E17 E20 E28 E32:E33 E37 E41:E45 E50:E51 E54 E57:E60 E62 E67:E70 E73:E74 E77 E80:E81 E84 E86:E87 E89:E90 E109:E110 E112 E122">
      <formula1>Menu!$B$36:$B$60</formula1>
    </dataValidation>
    <dataValidation type="list" allowBlank="1" sqref="F28 F34">
      <formula1>Menu!$B$74:$B$84</formula1>
    </dataValidation>
    <dataValidation type="list" allowBlank="1" sqref="C5:C6 C8:C19 C21:C25 C29 C33 C36:C37 C39:C40 C42:C44 C47:C54 C57:C79 C81:C92 C109:C113 C122:C123">
      <formula1>Menu!$B$2:$B$16</formula1>
    </dataValidation>
    <dataValidation type="list" allowBlank="1" sqref="D5:D6 D9:D11 D13 D17 D23:D24 D41:D42 D45 D50:D51 D54 D57 D59:D60 D73:D74 D82:D83 D86:D87 D89:D90 D109 D112 D122">
      <formula1>Menu!$B$20:$B$28</formula1>
    </dataValidation>
    <dataValidation type="list" allowBlank="1" sqref="C7 C20 C26:C28 C30:C32 C34:C35 C38 C41 C45:C46 C55:C56 C80 C93">
      <formula1>Menu!$B$2:$B$15</formula1>
    </dataValidation>
    <dataValidation type="list" allowBlank="1" sqref="F7:F8 F12 F14:F16 F18:F19 F21:F22 F25:F27 F29:F33 F35:F40 F43 F45:F49 F52:F53 F55:F56 F58 F61:F72 F75:F79 F83:F85 F91:F93 F110:F111">
      <formula1>Menu!$B$74:$B$86</formula1>
    </dataValidation>
    <dataValidation type="list" allowBlank="1" sqref="E12 E15:E16 E18:E19 E21:E22 E36 E39:E40 E47:E49 E52:E53 E61 E63:E66 E72 E76 E79 E88 E91:E92 E111 E113 E123">
      <formula1>Menu!$B$36:$B$60</formula1>
    </dataValidation>
    <dataValidation type="list" allowBlank="1" sqref="D7:D8 D14 D25:D32 D34:D35 D37:D38 D46 D55:D56 D58 D62 D67:D71 D75 D78 D80 D85 D93">
      <formula1>Menu!$B$20:$B$27</formula1>
    </dataValidation>
    <dataValidation type="list" allowBlank="1" sqref="D12 D15:D16 D18:D19 D21:D22 D33 D36 D39:D40 D43:D44 D47:D49 D52:D53 D61 D63:D66 D72 D76:D77 D79 D81 D84 D88 D91:D92 D111 D113 D123">
      <formula1>Menu!$B$17:$B$27</formula1>
    </dataValidation>
    <dataValidation type="list" allowBlank="1" sqref="H5:H93">
      <formula1>Menu!$A$1</formula1>
    </dataValidation>
    <dataValidation type="list" allowBlank="1" sqref="F44">
      <formula1>#REF!</formula1>
    </dataValidation>
    <dataValidation type="list" allowBlank="1" sqref="E7:E8 E14 E23:E27 E29:E31 E34:E35 E38 E46 E55:E56 E71 E75 E78 E82:E83 E85 E93">
      <formula1>Menu!$B$36:$B$61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5.38"/>
    <col customWidth="1" min="3" max="3" width="13.63"/>
    <col customWidth="1" min="4" max="4" width="16.5"/>
    <col customWidth="1" min="5" max="5" width="17.25"/>
    <col customWidth="1" min="6" max="6" width="16.13"/>
    <col customWidth="1" min="7" max="7" width="25.5"/>
    <col customWidth="1" min="9" max="9" width="25.38"/>
    <col customWidth="1" min="10" max="10" width="4.75"/>
  </cols>
  <sheetData>
    <row r="1" ht="30.0" customHeight="1">
      <c r="A1" s="9" t="s">
        <v>2</v>
      </c>
      <c r="B1" s="9"/>
      <c r="C1" s="9"/>
      <c r="D1" s="9"/>
      <c r="E1" s="9"/>
      <c r="F1" s="9"/>
      <c r="G1" s="111"/>
      <c r="H1" s="111"/>
      <c r="I1" s="112"/>
      <c r="J1" s="112"/>
      <c r="K1" s="112"/>
      <c r="L1" s="112"/>
      <c r="M1" s="112"/>
      <c r="N1" s="112"/>
      <c r="O1" s="112"/>
      <c r="P1" s="112"/>
      <c r="Q1" s="114"/>
      <c r="R1" s="114"/>
      <c r="S1" s="114"/>
      <c r="T1" s="114"/>
      <c r="U1" s="114"/>
      <c r="V1" s="114"/>
      <c r="W1" s="114"/>
      <c r="X1" s="114"/>
      <c r="Y1" s="114"/>
    </row>
    <row r="2" ht="30.0" customHeight="1">
      <c r="A2" s="115" t="s">
        <v>46</v>
      </c>
      <c r="B2" s="116"/>
      <c r="C2" s="116"/>
      <c r="D2" s="9"/>
      <c r="E2" s="9"/>
      <c r="F2" s="9"/>
      <c r="G2" s="111"/>
      <c r="H2" s="111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4"/>
    </row>
    <row r="3" ht="30.0" customHeight="1">
      <c r="A3" s="24" t="s">
        <v>28</v>
      </c>
      <c r="B3" s="6"/>
      <c r="C3" s="6"/>
      <c r="D3" s="6"/>
      <c r="E3" s="6"/>
      <c r="F3" s="6"/>
      <c r="G3" s="111"/>
      <c r="H3" s="111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</row>
    <row r="4" ht="30.0" customHeight="1">
      <c r="A4" s="29" t="s">
        <v>38</v>
      </c>
      <c r="B4" s="29"/>
      <c r="C4" s="29" t="s">
        <v>50</v>
      </c>
      <c r="D4" s="120" t="s">
        <v>42</v>
      </c>
      <c r="E4" s="30" t="s">
        <v>45</v>
      </c>
      <c r="F4" s="30" t="s">
        <v>53</v>
      </c>
      <c r="G4" s="160"/>
      <c r="H4" s="160"/>
      <c r="I4" s="123" t="str">
        <f>IFERROR(__xludf.DUMMYFUNCTION("QUERY(A5:H100, ""Select C, count(A), H group by C, H order by H"")"),"")</f>
        <v/>
      </c>
      <c r="J4" s="112" t="str">
        <f>IFERROR(__xludf.DUMMYFUNCTION("""COMPUTED_VALUE"""),"count ")</f>
        <v>count </v>
      </c>
      <c r="K4" s="112" t="str">
        <f>IFERROR(__xludf.DUMMYFUNCTION("""COMPUTED_VALUE"""),"")</f>
        <v/>
      </c>
      <c r="L4" s="123" t="str">
        <f>IFERROR(__xludf.DUMMYFUNCTION("QUERY(A5:H100, ""Select D, count(A), H group by D, H order by H"")"),"")</f>
        <v/>
      </c>
      <c r="M4" s="112" t="str">
        <f>IFERROR(__xludf.DUMMYFUNCTION("""COMPUTED_VALUE"""),"count ")</f>
        <v>count </v>
      </c>
      <c r="N4" s="112" t="str">
        <f>IFERROR(__xludf.DUMMYFUNCTION("""COMPUTED_VALUE"""),"")</f>
        <v/>
      </c>
      <c r="O4" s="123"/>
      <c r="P4" s="112"/>
      <c r="Q4" s="114"/>
      <c r="R4" s="114"/>
      <c r="S4" s="114"/>
      <c r="T4" s="114"/>
      <c r="U4" s="114"/>
      <c r="V4" s="114"/>
      <c r="W4" s="114"/>
      <c r="X4" s="114"/>
      <c r="Y4" s="114"/>
    </row>
    <row r="5" ht="30.0" customHeight="1">
      <c r="A5" s="43" t="s">
        <v>60</v>
      </c>
      <c r="B5" s="43">
        <v>1.0</v>
      </c>
      <c r="C5" s="47" t="s">
        <v>55</v>
      </c>
      <c r="D5" s="47" t="s">
        <v>105</v>
      </c>
      <c r="E5" s="47" t="s">
        <v>79</v>
      </c>
      <c r="F5" s="47" t="s">
        <v>80</v>
      </c>
      <c r="G5" s="121" t="str">
        <f t="shared" ref="G5:G95" si="1"> CONCATENATE(E5," ", F5)</f>
        <v>Чалахач Гр  </v>
      </c>
      <c r="H5" s="128" t="s">
        <v>1</v>
      </c>
      <c r="I5" s="112"/>
      <c r="J5" s="112">
        <f>IFERROR(__xludf.DUMMYFUNCTION("""COMPUTED_VALUE"""),0.0)</f>
        <v>0</v>
      </c>
      <c r="K5" s="112"/>
      <c r="L5" s="112"/>
      <c r="M5" s="112">
        <f>IFERROR(__xludf.DUMMYFUNCTION("""COMPUTED_VALUE"""),0.0)</f>
        <v>0</v>
      </c>
      <c r="N5" s="112"/>
      <c r="O5" s="112"/>
      <c r="P5" s="112"/>
      <c r="Q5" s="114"/>
      <c r="R5" s="114"/>
      <c r="S5" s="114"/>
      <c r="T5" s="114"/>
      <c r="U5" s="114"/>
      <c r="V5" s="114"/>
      <c r="W5" s="114"/>
      <c r="X5" s="114"/>
      <c r="Y5" s="114"/>
    </row>
    <row r="6" ht="30.0" customHeight="1">
      <c r="A6" s="43" t="s">
        <v>351</v>
      </c>
      <c r="B6" s="43">
        <v>2.0</v>
      </c>
      <c r="C6" s="47" t="s">
        <v>47</v>
      </c>
      <c r="D6" s="47" t="s">
        <v>105</v>
      </c>
      <c r="E6" s="47" t="s">
        <v>161</v>
      </c>
      <c r="F6" s="129"/>
      <c r="G6" s="121" t="str">
        <f t="shared" si="1"/>
        <v>Вар.Кар </v>
      </c>
      <c r="H6" s="128" t="s">
        <v>1</v>
      </c>
      <c r="I6" s="112"/>
      <c r="J6" s="112">
        <f>IFERROR(__xludf.DUMMYFUNCTION("""COMPUTED_VALUE"""),2.0)</f>
        <v>2</v>
      </c>
      <c r="K6" s="112" t="str">
        <f>IFERROR(__xludf.DUMMYFUNCTION("""COMPUTED_VALUE"""),"Олимп")</f>
        <v>Олимп</v>
      </c>
      <c r="L6" s="112"/>
      <c r="M6" s="112">
        <f>IFERROR(__xludf.DUMMYFUNCTION("""COMPUTED_VALUE"""),2.0)</f>
        <v>2</v>
      </c>
      <c r="N6" s="112" t="str">
        <f>IFERROR(__xludf.DUMMYFUNCTION("""COMPUTED_VALUE"""),"Олимп")</f>
        <v>Олимп</v>
      </c>
      <c r="O6" s="112"/>
      <c r="P6" s="112"/>
      <c r="Q6" s="114"/>
      <c r="R6" s="114"/>
      <c r="S6" s="114"/>
      <c r="T6" s="114"/>
      <c r="U6" s="114"/>
      <c r="V6" s="114"/>
      <c r="W6" s="114"/>
      <c r="X6" s="114"/>
      <c r="Y6" s="114"/>
    </row>
    <row r="7" ht="30.0" customHeight="1">
      <c r="A7" s="55" t="s">
        <v>109</v>
      </c>
      <c r="B7" s="43">
        <v>3.0</v>
      </c>
      <c r="C7" s="47" t="s">
        <v>55</v>
      </c>
      <c r="D7" s="47" t="s">
        <v>78</v>
      </c>
      <c r="E7" s="47" t="s">
        <v>150</v>
      </c>
      <c r="F7" s="174"/>
      <c r="G7" s="121" t="str">
        <f t="shared" si="1"/>
        <v>Бл. мясо </v>
      </c>
      <c r="H7" s="128" t="s">
        <v>1</v>
      </c>
      <c r="I7" s="112" t="str">
        <f>IFERROR(__xludf.DUMMYFUNCTION("""COMPUTED_VALUE"""),"Весна")</f>
        <v>Весна</v>
      </c>
      <c r="J7" s="112">
        <f>IFERROR(__xludf.DUMMYFUNCTION("""COMPUTED_VALUE"""),5.0)</f>
        <v>5</v>
      </c>
      <c r="K7" s="112" t="str">
        <f>IFERROR(__xludf.DUMMYFUNCTION("""COMPUTED_VALUE"""),"Олимп")</f>
        <v>Олимп</v>
      </c>
      <c r="L7" s="112" t="str">
        <f>IFERROR(__xludf.DUMMYFUNCTION("""COMPUTED_VALUE"""),"3.Б")</f>
        <v>3.Б</v>
      </c>
      <c r="M7" s="112">
        <f>IFERROR(__xludf.DUMMYFUNCTION("""COMPUTED_VALUE"""),14.0)</f>
        <v>14</v>
      </c>
      <c r="N7" s="112" t="str">
        <f>IFERROR(__xludf.DUMMYFUNCTION("""COMPUTED_VALUE"""),"Олимп")</f>
        <v>Олимп</v>
      </c>
      <c r="O7" s="112"/>
      <c r="P7" s="112"/>
      <c r="Q7" s="114"/>
      <c r="R7" s="114"/>
      <c r="S7" s="114"/>
      <c r="T7" s="114"/>
      <c r="U7" s="114"/>
      <c r="V7" s="114"/>
      <c r="W7" s="114"/>
      <c r="X7" s="114"/>
      <c r="Y7" s="114"/>
    </row>
    <row r="8" ht="30.0" customHeight="1">
      <c r="A8" s="43" t="s">
        <v>91</v>
      </c>
      <c r="B8" s="43">
        <v>4.0</v>
      </c>
      <c r="C8" s="47" t="s">
        <v>5</v>
      </c>
      <c r="D8" s="47" t="s">
        <v>105</v>
      </c>
      <c r="E8" s="47" t="s">
        <v>126</v>
      </c>
      <c r="F8" s="47" t="s">
        <v>98</v>
      </c>
      <c r="G8" s="121" t="str">
        <f t="shared" si="1"/>
        <v>S   Картошка</v>
      </c>
      <c r="H8" s="128" t="s">
        <v>1</v>
      </c>
      <c r="I8" s="112" t="str">
        <f>IFERROR(__xludf.DUMMYFUNCTION("""COMPUTED_VALUE"""),"Вин")</f>
        <v>Вин</v>
      </c>
      <c r="J8" s="112">
        <f>IFERROR(__xludf.DUMMYFUNCTION("""COMPUTED_VALUE"""),28.0)</f>
        <v>28</v>
      </c>
      <c r="K8" s="112" t="str">
        <f>IFERROR(__xludf.DUMMYFUNCTION("""COMPUTED_VALUE"""),"Олимп")</f>
        <v>Олимп</v>
      </c>
      <c r="L8" s="112" t="str">
        <f>IFERROR(__xludf.DUMMYFUNCTION("""COMPUTED_VALUE"""),"Б ")</f>
        <v>Б </v>
      </c>
      <c r="M8" s="112">
        <f>IFERROR(__xludf.DUMMYFUNCTION("""COMPUTED_VALUE"""),16.0)</f>
        <v>16</v>
      </c>
      <c r="N8" s="112" t="str">
        <f>IFERROR(__xludf.DUMMYFUNCTION("""COMPUTED_VALUE"""),"Олимп")</f>
        <v>Олимп</v>
      </c>
      <c r="O8" s="112"/>
      <c r="P8" s="112"/>
      <c r="Q8" s="114"/>
      <c r="R8" s="114"/>
      <c r="S8" s="114"/>
      <c r="T8" s="114"/>
      <c r="U8" s="114"/>
      <c r="V8" s="114"/>
      <c r="W8" s="114"/>
      <c r="X8" s="114"/>
      <c r="Y8" s="114"/>
    </row>
    <row r="9" ht="30.0" customHeight="1">
      <c r="A9" s="55" t="s">
        <v>355</v>
      </c>
      <c r="B9" s="43">
        <v>5.0</v>
      </c>
      <c r="C9" s="47" t="s">
        <v>32</v>
      </c>
      <c r="D9" s="47" t="s">
        <v>117</v>
      </c>
      <c r="E9" s="47" t="s">
        <v>150</v>
      </c>
      <c r="F9" s="129"/>
      <c r="G9" s="121" t="str">
        <f t="shared" si="1"/>
        <v>Бл. мясо </v>
      </c>
      <c r="H9" s="128" t="s">
        <v>1</v>
      </c>
      <c r="I9" s="112" t="str">
        <f>IFERROR(__xludf.DUMMYFUNCTION("""COMPUTED_VALUE"""),"Днестр")</f>
        <v>Днестр</v>
      </c>
      <c r="J9" s="112">
        <f>IFERROR(__xludf.DUMMYFUNCTION("""COMPUTED_VALUE"""),6.0)</f>
        <v>6</v>
      </c>
      <c r="K9" s="112" t="str">
        <f>IFERROR(__xludf.DUMMYFUNCTION("""COMPUTED_VALUE"""),"Олимп")</f>
        <v>Олимп</v>
      </c>
      <c r="L9" s="112" t="str">
        <f>IFERROR(__xludf.DUMMYFUNCTION("""COMPUTED_VALUE"""),"Горох")</f>
        <v>Горох</v>
      </c>
      <c r="M9" s="112">
        <f>IFERROR(__xludf.DUMMYFUNCTION("""COMPUTED_VALUE"""),13.0)</f>
        <v>13</v>
      </c>
      <c r="N9" s="112" t="str">
        <f>IFERROR(__xludf.DUMMYFUNCTION("""COMPUTED_VALUE"""),"Олимп")</f>
        <v>Олимп</v>
      </c>
      <c r="O9" s="112"/>
      <c r="P9" s="112"/>
      <c r="Q9" s="114"/>
      <c r="R9" s="114"/>
      <c r="S9" s="114"/>
      <c r="T9" s="114"/>
      <c r="U9" s="114"/>
      <c r="V9" s="114"/>
      <c r="W9" s="114"/>
      <c r="X9" s="114"/>
      <c r="Y9" s="114"/>
    </row>
    <row r="10" ht="30.0" customHeight="1">
      <c r="A10" s="43" t="s">
        <v>125</v>
      </c>
      <c r="B10" s="43">
        <v>6.0</v>
      </c>
      <c r="C10" s="47" t="s">
        <v>16</v>
      </c>
      <c r="D10" s="47" t="s">
        <v>65</v>
      </c>
      <c r="E10" s="47" t="s">
        <v>157</v>
      </c>
      <c r="F10" s="47"/>
      <c r="G10" s="121" t="str">
        <f t="shared" si="1"/>
        <v>Бл. твор </v>
      </c>
      <c r="H10" s="128" t="s">
        <v>1</v>
      </c>
      <c r="I10" s="112" t="str">
        <f>IFERROR(__xludf.DUMMYFUNCTION("""COMPUTED_VALUE"""),"Ол ")</f>
        <v>Ол </v>
      </c>
      <c r="J10" s="112">
        <f>IFERROR(__xludf.DUMMYFUNCTION("""COMPUTED_VALUE"""),6.0)</f>
        <v>6</v>
      </c>
      <c r="K10" s="112" t="str">
        <f>IFERROR(__xludf.DUMMYFUNCTION("""COMPUTED_VALUE"""),"Олимп")</f>
        <v>Олимп</v>
      </c>
      <c r="L10" s="112" t="str">
        <f>IFERROR(__xludf.DUMMYFUNCTION("""COMPUTED_VALUE"""),"Гриб")</f>
        <v>Гриб</v>
      </c>
      <c r="M10" s="112">
        <f>IFERROR(__xludf.DUMMYFUNCTION("""COMPUTED_VALUE"""),6.0)</f>
        <v>6</v>
      </c>
      <c r="N10" s="112" t="str">
        <f>IFERROR(__xludf.DUMMYFUNCTION("""COMPUTED_VALUE"""),"Олимп")</f>
        <v>Олимп</v>
      </c>
      <c r="O10" s="112"/>
      <c r="P10" s="112"/>
      <c r="Q10" s="114"/>
      <c r="R10" s="114"/>
      <c r="S10" s="114"/>
      <c r="T10" s="114"/>
      <c r="U10" s="114"/>
      <c r="V10" s="114"/>
      <c r="W10" s="114"/>
      <c r="X10" s="114"/>
      <c r="Y10" s="114"/>
    </row>
    <row r="11" ht="30.0" customHeight="1">
      <c r="A11" s="68" t="s">
        <v>136</v>
      </c>
      <c r="B11" s="43">
        <v>7.0</v>
      </c>
      <c r="C11" s="47" t="s">
        <v>5</v>
      </c>
      <c r="D11" s="47" t="s">
        <v>65</v>
      </c>
      <c r="E11" s="47" t="s">
        <v>169</v>
      </c>
      <c r="F11" s="47"/>
      <c r="G11" s="121" t="str">
        <f t="shared" si="1"/>
        <v>Гуляш </v>
      </c>
      <c r="H11" s="128" t="s">
        <v>1</v>
      </c>
      <c r="I11" s="112" t="str">
        <f>IFERROR(__xludf.DUMMYFUNCTION("""COMPUTED_VALUE"""),"Сало")</f>
        <v>Сало</v>
      </c>
      <c r="J11" s="112">
        <f>IFERROR(__xludf.DUMMYFUNCTION("""COMPUTED_VALUE"""),14.0)</f>
        <v>14</v>
      </c>
      <c r="K11" s="112" t="str">
        <f>IFERROR(__xludf.DUMMYFUNCTION("""COMPUTED_VALUE"""),"Олимп")</f>
        <v>Олимп</v>
      </c>
      <c r="L11" s="112" t="str">
        <f>IFERROR(__xludf.DUMMYFUNCTION("""COMPUTED_VALUE"""),"Кур ")</f>
        <v>Кур </v>
      </c>
      <c r="M11" s="112">
        <f>IFERROR(__xludf.DUMMYFUNCTION("""COMPUTED_VALUE"""),26.0)</f>
        <v>26</v>
      </c>
      <c r="N11" s="112" t="str">
        <f>IFERROR(__xludf.DUMMYFUNCTION("""COMPUTED_VALUE"""),"Олимп")</f>
        <v>Олимп</v>
      </c>
      <c r="O11" s="112"/>
      <c r="P11" s="112"/>
      <c r="Q11" s="114"/>
      <c r="R11" s="114"/>
      <c r="S11" s="114"/>
      <c r="T11" s="114"/>
      <c r="U11" s="114"/>
      <c r="V11" s="114"/>
      <c r="W11" s="114"/>
      <c r="X11" s="114"/>
      <c r="Y11" s="114"/>
    </row>
    <row r="12" ht="30.0" customHeight="1">
      <c r="A12" s="43" t="s">
        <v>153</v>
      </c>
      <c r="B12" s="43">
        <v>8.0</v>
      </c>
      <c r="C12" s="47" t="s">
        <v>5</v>
      </c>
      <c r="D12" s="47" t="s">
        <v>95</v>
      </c>
      <c r="E12" s="129" t="s">
        <v>191</v>
      </c>
      <c r="F12" s="47" t="s">
        <v>272</v>
      </c>
      <c r="G12" s="121" t="str">
        <f t="shared" si="1"/>
        <v>крылья Паста  </v>
      </c>
      <c r="H12" s="128" t="s">
        <v>1</v>
      </c>
      <c r="I12" s="112" t="str">
        <f>IFERROR(__xludf.DUMMYFUNCTION("""COMPUTED_VALUE"""),"Свкл")</f>
        <v>Свкл</v>
      </c>
      <c r="J12" s="112">
        <f>IFERROR(__xludf.DUMMYFUNCTION("""COMPUTED_VALUE"""),6.0)</f>
        <v>6</v>
      </c>
      <c r="K12" s="112" t="str">
        <f>IFERROR(__xludf.DUMMYFUNCTION("""COMPUTED_VALUE"""),"Олимп")</f>
        <v>Олимп</v>
      </c>
      <c r="L12" s="112" t="str">
        <f>IFERROR(__xludf.DUMMYFUNCTION("""COMPUTED_VALUE"""),"Овощ")</f>
        <v>Овощ</v>
      </c>
      <c r="M12" s="112">
        <f>IFERROR(__xludf.DUMMYFUNCTION("""COMPUTED_VALUE"""),7.0)</f>
        <v>7</v>
      </c>
      <c r="N12" s="112" t="str">
        <f>IFERROR(__xludf.DUMMYFUNCTION("""COMPUTED_VALUE"""),"Олимп")</f>
        <v>Олимп</v>
      </c>
      <c r="O12" s="112"/>
      <c r="P12" s="112"/>
      <c r="Q12" s="114"/>
      <c r="R12" s="114"/>
      <c r="S12" s="114"/>
      <c r="T12" s="114"/>
      <c r="U12" s="114"/>
      <c r="V12" s="114"/>
      <c r="W12" s="114"/>
      <c r="X12" s="114"/>
      <c r="Y12" s="114"/>
    </row>
    <row r="13" ht="30.0" customHeight="1">
      <c r="A13" s="43" t="s">
        <v>168</v>
      </c>
      <c r="B13" s="43">
        <v>9.0</v>
      </c>
      <c r="C13" s="47" t="s">
        <v>16</v>
      </c>
      <c r="D13" s="47" t="s">
        <v>78</v>
      </c>
      <c r="E13" s="47" t="s">
        <v>204</v>
      </c>
      <c r="F13" s="47" t="s">
        <v>113</v>
      </c>
      <c r="G13" s="121" t="str">
        <f t="shared" si="1"/>
        <v>Св. отбив    FF</v>
      </c>
      <c r="H13" s="128" t="s">
        <v>1</v>
      </c>
      <c r="I13" s="112" t="str">
        <f>IFERROR(__xludf.DUMMYFUNCTION("""COMPUTED_VALUE"""),"Селедка")</f>
        <v>Селедка</v>
      </c>
      <c r="J13" s="112">
        <f>IFERROR(__xludf.DUMMYFUNCTION("""COMPUTED_VALUE"""),7.0)</f>
        <v>7</v>
      </c>
      <c r="K13" s="112" t="str">
        <f>IFERROR(__xludf.DUMMYFUNCTION("""COMPUTED_VALUE"""),"Олимп")</f>
        <v>Олимп</v>
      </c>
      <c r="L13" s="112" t="str">
        <f>IFERROR(__xludf.DUMMYFUNCTION("""COMPUTED_VALUE"""),"Харчо ")</f>
        <v>Харчо </v>
      </c>
      <c r="M13" s="112">
        <f>IFERROR(__xludf.DUMMYFUNCTION("""COMPUTED_VALUE"""),7.0)</f>
        <v>7</v>
      </c>
      <c r="N13" s="112" t="str">
        <f>IFERROR(__xludf.DUMMYFUNCTION("""COMPUTED_VALUE"""),"Олимп")</f>
        <v>Олимп</v>
      </c>
      <c r="O13" s="112"/>
      <c r="P13" s="112"/>
      <c r="Q13" s="114"/>
      <c r="R13" s="114"/>
      <c r="S13" s="114"/>
      <c r="T13" s="114"/>
      <c r="U13" s="114"/>
      <c r="V13" s="114"/>
      <c r="W13" s="114"/>
      <c r="X13" s="114"/>
      <c r="Y13" s="114"/>
    </row>
    <row r="14" ht="30.0" customHeight="1">
      <c r="A14" s="43" t="s">
        <v>607</v>
      </c>
      <c r="B14" s="43">
        <v>10.0</v>
      </c>
      <c r="C14" s="47" t="s">
        <v>62</v>
      </c>
      <c r="D14" s="47" t="s">
        <v>105</v>
      </c>
      <c r="E14" s="47" t="s">
        <v>209</v>
      </c>
      <c r="F14" s="47" t="s">
        <v>122</v>
      </c>
      <c r="G14" s="121" t="str">
        <f t="shared" si="1"/>
        <v>Шницель Туш. кап.</v>
      </c>
      <c r="H14" s="128" t="s">
        <v>1</v>
      </c>
      <c r="I14" s="112" t="str">
        <f>IFERROR(__xludf.DUMMYFUNCTION("""COMPUTED_VALUE"""),"баклаж")</f>
        <v>баклаж</v>
      </c>
      <c r="J14" s="112">
        <f>IFERROR(__xludf.DUMMYFUNCTION("""COMPUTED_VALUE"""),10.0)</f>
        <v>10</v>
      </c>
      <c r="K14" s="112" t="str">
        <f>IFERROR(__xludf.DUMMYFUNCTION("""COMPUTED_VALUE"""),"Олимп")</f>
        <v>Олимп</v>
      </c>
      <c r="L14" s="112"/>
      <c r="M14" s="112"/>
      <c r="N14" s="112"/>
      <c r="O14" s="112"/>
      <c r="P14" s="112"/>
      <c r="Q14" s="114"/>
      <c r="R14" s="114"/>
      <c r="S14" s="114"/>
      <c r="T14" s="114"/>
      <c r="U14" s="114"/>
      <c r="V14" s="114"/>
      <c r="W14" s="114"/>
      <c r="X14" s="114"/>
      <c r="Y14" s="114"/>
    </row>
    <row r="15" ht="30.0" customHeight="1">
      <c r="A15" s="43" t="s">
        <v>578</v>
      </c>
      <c r="B15" s="43">
        <v>11.0</v>
      </c>
      <c r="C15" s="47" t="s">
        <v>12</v>
      </c>
      <c r="D15" s="47" t="s">
        <v>95</v>
      </c>
      <c r="E15" s="47" t="s">
        <v>222</v>
      </c>
      <c r="F15" s="47"/>
      <c r="G15" s="121" t="str">
        <f t="shared" si="1"/>
        <v>Чебуреки  </v>
      </c>
      <c r="H15" s="128" t="s">
        <v>1</v>
      </c>
      <c r="I15" s="112" t="str">
        <f>IFERROR(__xludf.DUMMYFUNCTION("""COMPUTED_VALUE"""),"капуста")</f>
        <v>капуста</v>
      </c>
      <c r="J15" s="112">
        <f>IFERROR(__xludf.DUMMYFUNCTION("""COMPUTED_VALUE"""),7.0)</f>
        <v>7</v>
      </c>
      <c r="K15" s="112" t="str">
        <f>IFERROR(__xludf.DUMMYFUNCTION("""COMPUTED_VALUE"""),"Олимп")</f>
        <v>Олимп</v>
      </c>
      <c r="L15" s="112"/>
      <c r="M15" s="112"/>
      <c r="N15" s="112"/>
      <c r="O15" s="112"/>
      <c r="P15" s="112"/>
      <c r="Q15" s="114"/>
      <c r="R15" s="114"/>
      <c r="S15" s="114"/>
      <c r="T15" s="114"/>
      <c r="U15" s="114"/>
      <c r="V15" s="114"/>
      <c r="W15" s="114"/>
      <c r="X15" s="114"/>
      <c r="Y15" s="114"/>
    </row>
    <row r="16" ht="30.0" customHeight="1">
      <c r="A16" s="55" t="s">
        <v>175</v>
      </c>
      <c r="B16" s="43">
        <v>12.0</v>
      </c>
      <c r="C16" s="47" t="s">
        <v>32</v>
      </c>
      <c r="D16" s="47" t="s">
        <v>87</v>
      </c>
      <c r="E16" s="47" t="s">
        <v>173</v>
      </c>
      <c r="F16" s="47" t="s">
        <v>80</v>
      </c>
      <c r="G16" s="121" t="str">
        <f t="shared" si="1"/>
        <v>Дорадо Гр  </v>
      </c>
      <c r="H16" s="128" t="s">
        <v>1</v>
      </c>
      <c r="I16" s="112"/>
      <c r="J16" s="112"/>
      <c r="K16" s="112"/>
      <c r="L16" s="112"/>
      <c r="M16" s="112"/>
      <c r="N16" s="112"/>
      <c r="O16" s="112"/>
      <c r="P16" s="112"/>
      <c r="Q16" s="114"/>
      <c r="R16" s="114"/>
      <c r="S16" s="114"/>
      <c r="T16" s="114"/>
      <c r="U16" s="114"/>
      <c r="V16" s="114"/>
      <c r="W16" s="114"/>
      <c r="X16" s="114"/>
      <c r="Y16" s="114"/>
    </row>
    <row r="17" ht="30.0" customHeight="1">
      <c r="A17" s="43" t="s">
        <v>158</v>
      </c>
      <c r="B17" s="43">
        <v>13.0</v>
      </c>
      <c r="C17" s="47" t="s">
        <v>23</v>
      </c>
      <c r="D17" s="47" t="s">
        <v>105</v>
      </c>
      <c r="E17" s="47" t="s">
        <v>187</v>
      </c>
      <c r="F17" s="47"/>
      <c r="G17" s="121" t="str">
        <f t="shared" si="1"/>
        <v>Котл. кур </v>
      </c>
      <c r="H17" s="128" t="s">
        <v>1</v>
      </c>
      <c r="I17" s="112"/>
      <c r="J17" s="112"/>
      <c r="K17" s="112"/>
      <c r="L17" s="112"/>
      <c r="M17" s="112"/>
      <c r="N17" s="112"/>
      <c r="O17" s="112"/>
      <c r="P17" s="112"/>
      <c r="Q17" s="114"/>
      <c r="R17" s="114"/>
      <c r="S17" s="114"/>
      <c r="T17" s="114"/>
      <c r="U17" s="114"/>
      <c r="V17" s="114"/>
      <c r="W17" s="114"/>
      <c r="X17" s="114"/>
      <c r="Y17" s="114"/>
    </row>
    <row r="18" ht="30.0" customHeight="1">
      <c r="A18" s="80" t="s">
        <v>195</v>
      </c>
      <c r="B18" s="43">
        <v>14.0</v>
      </c>
      <c r="C18" s="47" t="s">
        <v>47</v>
      </c>
      <c r="D18" s="47" t="s">
        <v>78</v>
      </c>
      <c r="E18" s="47" t="s">
        <v>112</v>
      </c>
      <c r="F18" s="47" t="s">
        <v>127</v>
      </c>
      <c r="G18" s="121" t="str">
        <f t="shared" si="1"/>
        <v>Поперечка MP </v>
      </c>
      <c r="H18" s="128" t="s">
        <v>1</v>
      </c>
      <c r="I18" s="112"/>
      <c r="J18" s="112"/>
      <c r="K18" s="112"/>
      <c r="L18" s="112"/>
      <c r="M18" s="112"/>
      <c r="N18" s="112"/>
      <c r="O18" s="112"/>
      <c r="P18" s="112"/>
      <c r="Q18" s="114"/>
      <c r="R18" s="114"/>
      <c r="S18" s="114"/>
      <c r="T18" s="114"/>
      <c r="U18" s="114"/>
      <c r="V18" s="114"/>
      <c r="W18" s="114"/>
      <c r="X18" s="114"/>
      <c r="Y18" s="114"/>
    </row>
    <row r="19" ht="30.0" customHeight="1">
      <c r="A19" s="80" t="s">
        <v>170</v>
      </c>
      <c r="B19" s="43">
        <v>15.0</v>
      </c>
      <c r="C19" s="47" t="s">
        <v>5</v>
      </c>
      <c r="D19" s="47"/>
      <c r="E19" s="47" t="s">
        <v>126</v>
      </c>
      <c r="F19" s="47" t="s">
        <v>276</v>
      </c>
      <c r="G19" s="121" t="str">
        <f t="shared" si="1"/>
        <v>S   Фасоль</v>
      </c>
      <c r="H19" s="128" t="s">
        <v>1</v>
      </c>
      <c r="I19" s="19"/>
      <c r="J19" s="112"/>
      <c r="K19" s="112"/>
      <c r="L19" s="112"/>
      <c r="M19" s="112"/>
      <c r="N19" s="112"/>
      <c r="O19" s="112"/>
      <c r="P19" s="112"/>
      <c r="Q19" s="114"/>
      <c r="R19" s="114"/>
      <c r="S19" s="114"/>
      <c r="T19" s="114"/>
      <c r="U19" s="114"/>
      <c r="V19" s="114"/>
      <c r="W19" s="114"/>
      <c r="X19" s="114"/>
      <c r="Y19" s="114"/>
    </row>
    <row r="20" ht="30.0" customHeight="1">
      <c r="A20" s="80" t="s">
        <v>369</v>
      </c>
      <c r="B20" s="43">
        <v>16.0</v>
      </c>
      <c r="C20" s="47" t="s">
        <v>16</v>
      </c>
      <c r="D20" s="47" t="s">
        <v>65</v>
      </c>
      <c r="E20" s="47" t="s">
        <v>209</v>
      </c>
      <c r="F20" s="47" t="s">
        <v>272</v>
      </c>
      <c r="G20" s="121" t="str">
        <f t="shared" si="1"/>
        <v>Шницель Паста  </v>
      </c>
      <c r="H20" s="128" t="s">
        <v>1</v>
      </c>
      <c r="I20" s="123" t="str">
        <f>IFERROR(__xludf.DUMMYFUNCTION("QUERY(A5:H100, ""Select G, count(A), H group by G, H order by H"")"),"")</f>
        <v/>
      </c>
      <c r="J20" s="112" t="str">
        <f>IFERROR(__xludf.DUMMYFUNCTION("""COMPUTED_VALUE"""),"count ")</f>
        <v>count </v>
      </c>
      <c r="K20" s="112" t="str">
        <f>IFERROR(__xludf.DUMMYFUNCTION("""COMPUTED_VALUE"""),"")</f>
        <v/>
      </c>
      <c r="L20" s="112"/>
      <c r="M20" s="112"/>
      <c r="N20" s="112"/>
      <c r="O20" s="112"/>
      <c r="P20" s="112"/>
      <c r="Q20" s="114"/>
      <c r="R20" s="114"/>
      <c r="S20" s="114"/>
      <c r="T20" s="114"/>
      <c r="U20" s="114"/>
      <c r="V20" s="114"/>
      <c r="W20" s="114"/>
      <c r="X20" s="114"/>
      <c r="Y20" s="114"/>
    </row>
    <row r="21" ht="30.0" customHeight="1">
      <c r="A21" s="68" t="s">
        <v>579</v>
      </c>
      <c r="B21" s="43">
        <v>17.0</v>
      </c>
      <c r="C21" s="47" t="s">
        <v>62</v>
      </c>
      <c r="D21" s="47" t="s">
        <v>87</v>
      </c>
      <c r="E21" s="47" t="s">
        <v>187</v>
      </c>
      <c r="F21" s="47" t="s">
        <v>127</v>
      </c>
      <c r="G21" s="121" t="str">
        <f t="shared" si="1"/>
        <v>Котл. кур MP </v>
      </c>
      <c r="H21" s="128" t="s">
        <v>1</v>
      </c>
      <c r="I21" s="19"/>
      <c r="J21" s="112">
        <f>IFERROR(__xludf.DUMMYFUNCTION("""COMPUTED_VALUE"""),0.0)</f>
        <v>0</v>
      </c>
      <c r="K21" s="112"/>
      <c r="L21" s="112"/>
      <c r="M21" s="112"/>
      <c r="N21" s="112"/>
      <c r="O21" s="112"/>
      <c r="P21" s="112"/>
      <c r="Q21" s="114"/>
      <c r="R21" s="114"/>
      <c r="S21" s="114"/>
      <c r="T21" s="114"/>
      <c r="U21" s="114"/>
      <c r="V21" s="114"/>
      <c r="W21" s="114"/>
      <c r="X21" s="114"/>
      <c r="Y21" s="114"/>
    </row>
    <row r="22" ht="30.0" customHeight="1">
      <c r="A22" s="55" t="s">
        <v>374</v>
      </c>
      <c r="B22" s="43">
        <v>18.0</v>
      </c>
      <c r="C22" s="47" t="s">
        <v>62</v>
      </c>
      <c r="D22" s="47" t="s">
        <v>105</v>
      </c>
      <c r="E22" s="47" t="s">
        <v>209</v>
      </c>
      <c r="F22" s="47" t="s">
        <v>122</v>
      </c>
      <c r="G22" s="121" t="str">
        <f t="shared" si="1"/>
        <v>Шницель Туш. кап.</v>
      </c>
      <c r="H22" s="128" t="s">
        <v>1</v>
      </c>
      <c r="I22" s="112" t="str">
        <f>IFERROR(__xludf.DUMMYFUNCTION("""COMPUTED_VALUE"""),"S   ")</f>
        <v>S   </v>
      </c>
      <c r="J22" s="112">
        <f>IFERROR(__xludf.DUMMYFUNCTION("""COMPUTED_VALUE"""),1.0)</f>
        <v>1</v>
      </c>
      <c r="K22" s="112" t="str">
        <f>IFERROR(__xludf.DUMMYFUNCTION("""COMPUTED_VALUE"""),"Олимп")</f>
        <v>Олимп</v>
      </c>
      <c r="L22" s="112"/>
      <c r="M22" s="112"/>
      <c r="N22" s="112"/>
      <c r="O22" s="112"/>
      <c r="P22" s="112"/>
      <c r="Q22" s="114"/>
      <c r="R22" s="114"/>
      <c r="S22" s="114"/>
      <c r="T22" s="114"/>
      <c r="U22" s="114"/>
      <c r="V22" s="114"/>
      <c r="W22" s="114"/>
      <c r="X22" s="114"/>
      <c r="Y22" s="114"/>
    </row>
    <row r="23" ht="30.0" customHeight="1">
      <c r="A23" s="55" t="s">
        <v>383</v>
      </c>
      <c r="B23" s="43">
        <v>19.0</v>
      </c>
      <c r="C23" s="47" t="s">
        <v>16</v>
      </c>
      <c r="D23" s="47" t="s">
        <v>78</v>
      </c>
      <c r="E23" s="47" t="s">
        <v>112</v>
      </c>
      <c r="F23" s="47" t="s">
        <v>98</v>
      </c>
      <c r="G23" s="121" t="str">
        <f t="shared" si="1"/>
        <v>Поперечка Картошка</v>
      </c>
      <c r="H23" s="128" t="s">
        <v>1</v>
      </c>
      <c r="I23" s="112" t="str">
        <f>IFERROR(__xludf.DUMMYFUNCTION("""COMPUTED_VALUE"""),"S    FF")</f>
        <v>S    FF</v>
      </c>
      <c r="J23" s="112">
        <f>IFERROR(__xludf.DUMMYFUNCTION("""COMPUTED_VALUE"""),2.0)</f>
        <v>2</v>
      </c>
      <c r="K23" s="112" t="str">
        <f>IFERROR(__xludf.DUMMYFUNCTION("""COMPUTED_VALUE"""),"Олимп")</f>
        <v>Олимп</v>
      </c>
      <c r="L23" s="112"/>
      <c r="M23" s="112"/>
      <c r="N23" s="112"/>
      <c r="O23" s="112"/>
      <c r="P23" s="112"/>
      <c r="Q23" s="114"/>
      <c r="R23" s="114"/>
      <c r="S23" s="114"/>
      <c r="T23" s="114"/>
      <c r="U23" s="114"/>
      <c r="V23" s="114"/>
      <c r="W23" s="114"/>
      <c r="X23" s="114"/>
      <c r="Y23" s="114"/>
    </row>
    <row r="24" ht="30.0" customHeight="1">
      <c r="A24" s="43" t="s">
        <v>608</v>
      </c>
      <c r="B24" s="43">
        <v>20.0</v>
      </c>
      <c r="C24" s="47" t="s">
        <v>5</v>
      </c>
      <c r="D24" s="47" t="s">
        <v>65</v>
      </c>
      <c r="E24" s="47" t="s">
        <v>187</v>
      </c>
      <c r="F24" s="47" t="s">
        <v>113</v>
      </c>
      <c r="G24" s="121" t="str">
        <f t="shared" si="1"/>
        <v>Котл. кур  FF</v>
      </c>
      <c r="H24" s="128" t="s">
        <v>1</v>
      </c>
      <c r="I24" s="112" t="str">
        <f>IFERROR(__xludf.DUMMYFUNCTION("""COMPUTED_VALUE"""),"S   MP ")</f>
        <v>S   MP </v>
      </c>
      <c r="J24" s="112">
        <f>IFERROR(__xludf.DUMMYFUNCTION("""COMPUTED_VALUE"""),11.0)</f>
        <v>11</v>
      </c>
      <c r="K24" s="112" t="str">
        <f>IFERROR(__xludf.DUMMYFUNCTION("""COMPUTED_VALUE"""),"Олимп")</f>
        <v>Олимп</v>
      </c>
      <c r="L24" s="112"/>
      <c r="M24" s="112"/>
      <c r="N24" s="112"/>
      <c r="O24" s="112"/>
      <c r="P24" s="112"/>
      <c r="Q24" s="114"/>
      <c r="R24" s="114"/>
      <c r="S24" s="114"/>
      <c r="T24" s="114"/>
      <c r="U24" s="114"/>
      <c r="V24" s="114"/>
      <c r="W24" s="114"/>
      <c r="X24" s="114"/>
      <c r="Y24" s="114"/>
    </row>
    <row r="25" ht="30.0" customHeight="1">
      <c r="A25" s="43" t="s">
        <v>224</v>
      </c>
      <c r="B25" s="43">
        <v>21.0</v>
      </c>
      <c r="C25" s="47" t="s">
        <v>32</v>
      </c>
      <c r="D25" s="47" t="s">
        <v>78</v>
      </c>
      <c r="E25" s="47" t="s">
        <v>126</v>
      </c>
      <c r="F25" s="47" t="s">
        <v>276</v>
      </c>
      <c r="G25" s="121" t="str">
        <f t="shared" si="1"/>
        <v>S   Фасоль</v>
      </c>
      <c r="H25" s="128" t="s">
        <v>1</v>
      </c>
      <c r="I25" s="112" t="str">
        <f>IFERROR(__xludf.DUMMYFUNCTION("""COMPUTED_VALUE"""),"S   Гр  ")</f>
        <v>S   Гр  </v>
      </c>
      <c r="J25" s="112">
        <f>IFERROR(__xludf.DUMMYFUNCTION("""COMPUTED_VALUE"""),2.0)</f>
        <v>2</v>
      </c>
      <c r="K25" s="112" t="str">
        <f>IFERROR(__xludf.DUMMYFUNCTION("""COMPUTED_VALUE"""),"Олимп")</f>
        <v>Олимп</v>
      </c>
      <c r="L25" s="112"/>
      <c r="M25" s="112"/>
      <c r="N25" s="112"/>
      <c r="O25" s="111"/>
      <c r="P25" s="112"/>
      <c r="Q25" s="112"/>
      <c r="R25" s="112"/>
      <c r="S25" s="112"/>
      <c r="T25" s="114"/>
      <c r="U25" s="114"/>
      <c r="V25" s="114"/>
      <c r="W25" s="114"/>
      <c r="X25" s="114"/>
      <c r="Y25" s="114"/>
    </row>
    <row r="26" ht="30.0" customHeight="1">
      <c r="A26" s="43" t="s">
        <v>418</v>
      </c>
      <c r="B26" s="43">
        <v>22.0</v>
      </c>
      <c r="C26" s="47" t="s">
        <v>47</v>
      </c>
      <c r="D26" s="47" t="s">
        <v>95</v>
      </c>
      <c r="E26" s="47" t="s">
        <v>211</v>
      </c>
      <c r="F26" s="47" t="s">
        <v>80</v>
      </c>
      <c r="G26" s="121" t="str">
        <f t="shared" si="1"/>
        <v>табака  Гр  </v>
      </c>
      <c r="H26" s="128" t="s">
        <v>1</v>
      </c>
      <c r="I26" s="123" t="str">
        <f>IFERROR(__xludf.DUMMYFUNCTION("""COMPUTED_VALUE"""),"S   Картошка")</f>
        <v>S   Картошка</v>
      </c>
      <c r="J26" s="112">
        <f>IFERROR(__xludf.DUMMYFUNCTION("""COMPUTED_VALUE"""),2.0)</f>
        <v>2</v>
      </c>
      <c r="K26" s="112" t="str">
        <f>IFERROR(__xludf.DUMMYFUNCTION("""COMPUTED_VALUE"""),"Олимп")</f>
        <v>Олимп</v>
      </c>
      <c r="L26" s="112"/>
      <c r="M26" s="112"/>
      <c r="N26" s="112"/>
      <c r="O26" s="112"/>
      <c r="P26" s="112"/>
      <c r="Q26" s="168"/>
      <c r="R26" s="114"/>
      <c r="S26" s="114"/>
      <c r="T26" s="114"/>
      <c r="U26" s="114"/>
      <c r="V26" s="114"/>
      <c r="W26" s="114"/>
      <c r="X26" s="114"/>
      <c r="Y26" s="114"/>
    </row>
    <row r="27" ht="30.0" customHeight="1">
      <c r="A27" s="43" t="s">
        <v>233</v>
      </c>
      <c r="B27" s="43">
        <v>23.0</v>
      </c>
      <c r="C27" s="47" t="s">
        <v>16</v>
      </c>
      <c r="D27" s="47" t="s">
        <v>87</v>
      </c>
      <c r="E27" s="47" t="s">
        <v>191</v>
      </c>
      <c r="F27" s="47" t="s">
        <v>98</v>
      </c>
      <c r="G27" s="121" t="str">
        <f t="shared" si="1"/>
        <v>крылья Картошка</v>
      </c>
      <c r="H27" s="128" t="s">
        <v>1</v>
      </c>
      <c r="I27" s="123" t="str">
        <f>IFERROR(__xludf.DUMMYFUNCTION("""COMPUTED_VALUE"""),"S   Туш. кап.")</f>
        <v>S   Туш. кап.</v>
      </c>
      <c r="J27" s="112">
        <f>IFERROR(__xludf.DUMMYFUNCTION("""COMPUTED_VALUE"""),1.0)</f>
        <v>1</v>
      </c>
      <c r="K27" s="112" t="str">
        <f>IFERROR(__xludf.DUMMYFUNCTION("""COMPUTED_VALUE"""),"Олимп")</f>
        <v>Олимп</v>
      </c>
      <c r="L27" s="112"/>
      <c r="M27" s="112"/>
      <c r="N27" s="112"/>
      <c r="O27" s="112"/>
      <c r="P27" s="112"/>
      <c r="Q27" s="168"/>
      <c r="R27" s="114"/>
      <c r="S27" s="114"/>
      <c r="T27" s="114"/>
      <c r="U27" s="114"/>
      <c r="V27" s="114"/>
      <c r="W27" s="114"/>
      <c r="X27" s="114"/>
      <c r="Y27" s="114"/>
    </row>
    <row r="28" ht="30.0" customHeight="1">
      <c r="A28" s="43" t="s">
        <v>424</v>
      </c>
      <c r="B28" s="43">
        <v>24.0</v>
      </c>
      <c r="C28" s="47" t="s">
        <v>57</v>
      </c>
      <c r="D28" s="47" t="s">
        <v>87</v>
      </c>
      <c r="E28" s="47" t="s">
        <v>126</v>
      </c>
      <c r="F28" s="47" t="s">
        <v>113</v>
      </c>
      <c r="G28" s="121" t="str">
        <f t="shared" si="1"/>
        <v>S    FF</v>
      </c>
      <c r="H28" s="128" t="s">
        <v>1</v>
      </c>
      <c r="I28" s="123" t="str">
        <f>IFERROR(__xludf.DUMMYFUNCTION("""COMPUTED_VALUE"""),"S   Фасоль")</f>
        <v>S   Фасоль</v>
      </c>
      <c r="J28" s="112">
        <f>IFERROR(__xludf.DUMMYFUNCTION("""COMPUTED_VALUE"""),3.0)</f>
        <v>3</v>
      </c>
      <c r="K28" s="112" t="str">
        <f>IFERROR(__xludf.DUMMYFUNCTION("""COMPUTED_VALUE"""),"Олимп")</f>
        <v>Олимп</v>
      </c>
      <c r="L28" s="112"/>
      <c r="M28" s="112"/>
      <c r="N28" s="112"/>
      <c r="O28" s="112"/>
      <c r="P28" s="112"/>
      <c r="Q28" s="168"/>
      <c r="R28" s="114"/>
      <c r="S28" s="114"/>
      <c r="T28" s="114"/>
      <c r="U28" s="114"/>
      <c r="V28" s="114"/>
      <c r="W28" s="114"/>
      <c r="X28" s="114"/>
      <c r="Y28" s="114"/>
    </row>
    <row r="29" ht="30.0" customHeight="1">
      <c r="A29" s="43" t="s">
        <v>427</v>
      </c>
      <c r="B29" s="43">
        <v>25.0</v>
      </c>
      <c r="C29" s="47" t="s">
        <v>57</v>
      </c>
      <c r="D29" s="47" t="s">
        <v>117</v>
      </c>
      <c r="E29" s="47" t="s">
        <v>165</v>
      </c>
      <c r="F29" s="47"/>
      <c r="G29" s="121" t="str">
        <f t="shared" si="1"/>
        <v>Пельмени </v>
      </c>
      <c r="H29" s="128" t="s">
        <v>1</v>
      </c>
      <c r="I29" s="123" t="str">
        <f>IFERROR(__xludf.DUMMYFUNCTION("""COMPUTED_VALUE"""),"Баса MP ")</f>
        <v>Баса MP </v>
      </c>
      <c r="J29" s="112">
        <f>IFERROR(__xludf.DUMMYFUNCTION("""COMPUTED_VALUE"""),1.0)</f>
        <v>1</v>
      </c>
      <c r="K29" s="112" t="str">
        <f>IFERROR(__xludf.DUMMYFUNCTION("""COMPUTED_VALUE"""),"Олимп")</f>
        <v>Олимп</v>
      </c>
      <c r="L29" s="112"/>
      <c r="M29" s="112"/>
      <c r="N29" s="112"/>
      <c r="O29" s="112"/>
      <c r="P29" s="112"/>
      <c r="Q29" s="168"/>
      <c r="R29" s="114"/>
      <c r="S29" s="114"/>
      <c r="T29" s="114"/>
      <c r="U29" s="114"/>
      <c r="V29" s="114"/>
      <c r="W29" s="114"/>
      <c r="X29" s="114"/>
      <c r="Y29" s="114"/>
    </row>
    <row r="30" ht="30.0" customHeight="1">
      <c r="A30" s="55" t="s">
        <v>439</v>
      </c>
      <c r="B30" s="43">
        <v>26.0</v>
      </c>
      <c r="C30" s="47" t="s">
        <v>16</v>
      </c>
      <c r="D30" s="47" t="s">
        <v>87</v>
      </c>
      <c r="E30" s="47" t="s">
        <v>191</v>
      </c>
      <c r="F30" s="47" t="s">
        <v>80</v>
      </c>
      <c r="G30" s="121" t="str">
        <f t="shared" si="1"/>
        <v>крылья Гр  </v>
      </c>
      <c r="H30" s="128" t="s">
        <v>1</v>
      </c>
      <c r="I30" s="123" t="str">
        <f>IFERROR(__xludf.DUMMYFUNCTION("""COMPUTED_VALUE"""),"Бл. мясо ")</f>
        <v>Бл. мясо </v>
      </c>
      <c r="J30" s="112">
        <f>IFERROR(__xludf.DUMMYFUNCTION("""COMPUTED_VALUE"""),2.0)</f>
        <v>2</v>
      </c>
      <c r="K30" s="112" t="str">
        <f>IFERROR(__xludf.DUMMYFUNCTION("""COMPUTED_VALUE"""),"Олимп")</f>
        <v>Олимп</v>
      </c>
      <c r="L30" s="112"/>
      <c r="M30" s="112"/>
      <c r="N30" s="112"/>
      <c r="O30" s="112"/>
      <c r="P30" s="112"/>
      <c r="Q30" s="168"/>
      <c r="R30" s="114"/>
      <c r="S30" s="114"/>
      <c r="T30" s="114"/>
      <c r="U30" s="114"/>
      <c r="V30" s="114"/>
      <c r="W30" s="114"/>
      <c r="X30" s="114"/>
      <c r="Y30" s="114"/>
    </row>
    <row r="31" ht="30.0" customHeight="1">
      <c r="A31" s="43" t="s">
        <v>609</v>
      </c>
      <c r="B31" s="43">
        <v>27.0</v>
      </c>
      <c r="C31" s="47" t="s">
        <v>55</v>
      </c>
      <c r="D31" s="47" t="s">
        <v>65</v>
      </c>
      <c r="E31" s="47" t="s">
        <v>187</v>
      </c>
      <c r="F31" s="47" t="s">
        <v>127</v>
      </c>
      <c r="G31" s="121" t="str">
        <f t="shared" si="1"/>
        <v>Котл. кур MP </v>
      </c>
      <c r="H31" s="128" t="s">
        <v>1</v>
      </c>
      <c r="I31" s="123" t="str">
        <f>IFERROR(__xludf.DUMMYFUNCTION("""COMPUTED_VALUE"""),"Бл. мясо Туш. кап.")</f>
        <v>Бл. мясо Туш. кап.</v>
      </c>
      <c r="J31" s="112">
        <f>IFERROR(__xludf.DUMMYFUNCTION("""COMPUTED_VALUE"""),1.0)</f>
        <v>1</v>
      </c>
      <c r="K31" s="112" t="str">
        <f>IFERROR(__xludf.DUMMYFUNCTION("""COMPUTED_VALUE"""),"Олимп")</f>
        <v>Олимп</v>
      </c>
      <c r="L31" s="112"/>
      <c r="M31" s="112"/>
      <c r="N31" s="112"/>
      <c r="O31" s="112"/>
      <c r="P31" s="112"/>
      <c r="Q31" s="168"/>
      <c r="R31" s="114"/>
      <c r="S31" s="114"/>
      <c r="T31" s="114"/>
      <c r="U31" s="114"/>
      <c r="V31" s="114"/>
      <c r="W31" s="114"/>
      <c r="X31" s="114"/>
      <c r="Y31" s="114"/>
    </row>
    <row r="32" ht="30.0" customHeight="1">
      <c r="A32" s="43" t="s">
        <v>610</v>
      </c>
      <c r="B32" s="43">
        <v>28.0</v>
      </c>
      <c r="C32" s="47" t="s">
        <v>16</v>
      </c>
      <c r="D32" s="47" t="s">
        <v>65</v>
      </c>
      <c r="E32" s="47" t="s">
        <v>173</v>
      </c>
      <c r="F32" s="47"/>
      <c r="G32" s="121" t="str">
        <f t="shared" si="1"/>
        <v>Дорадо </v>
      </c>
      <c r="H32" s="128" t="s">
        <v>1</v>
      </c>
      <c r="I32" s="123" t="str">
        <f>IFERROR(__xludf.DUMMYFUNCTION("""COMPUTED_VALUE"""),"Бл. твор ")</f>
        <v>Бл. твор </v>
      </c>
      <c r="J32" s="112">
        <f>IFERROR(__xludf.DUMMYFUNCTION("""COMPUTED_VALUE"""),6.0)</f>
        <v>6</v>
      </c>
      <c r="K32" s="112" t="str">
        <f>IFERROR(__xludf.DUMMYFUNCTION("""COMPUTED_VALUE"""),"Олимп")</f>
        <v>Олимп</v>
      </c>
      <c r="L32" s="112"/>
      <c r="M32" s="112"/>
      <c r="N32" s="112"/>
      <c r="O32" s="112"/>
      <c r="P32" s="112"/>
      <c r="Q32" s="168"/>
      <c r="R32" s="114"/>
      <c r="S32" s="114"/>
      <c r="T32" s="114"/>
      <c r="U32" s="114"/>
      <c r="V32" s="114"/>
      <c r="W32" s="114"/>
      <c r="X32" s="114"/>
      <c r="Y32" s="114"/>
    </row>
    <row r="33" ht="30.0" customHeight="1">
      <c r="A33" s="80" t="s">
        <v>328</v>
      </c>
      <c r="B33" s="43">
        <v>29.0</v>
      </c>
      <c r="C33" s="47" t="s">
        <v>16</v>
      </c>
      <c r="D33" s="47" t="s">
        <v>117</v>
      </c>
      <c r="E33" s="47" t="s">
        <v>126</v>
      </c>
      <c r="F33" s="131" t="s">
        <v>127</v>
      </c>
      <c r="G33" s="121" t="str">
        <f t="shared" si="1"/>
        <v>S   MP </v>
      </c>
      <c r="H33" s="128" t="s">
        <v>1</v>
      </c>
      <c r="I33" s="123" t="str">
        <f>IFERROR(__xludf.DUMMYFUNCTION("""COMPUTED_VALUE"""),"Вар.Кар ")</f>
        <v>Вар.Кар </v>
      </c>
      <c r="J33" s="112">
        <f>IFERROR(__xludf.DUMMYFUNCTION("""COMPUTED_VALUE"""),1.0)</f>
        <v>1</v>
      </c>
      <c r="K33" s="112" t="str">
        <f>IFERROR(__xludf.DUMMYFUNCTION("""COMPUTED_VALUE"""),"Олимп")</f>
        <v>Олимп</v>
      </c>
      <c r="L33" s="112"/>
      <c r="M33" s="112"/>
      <c r="N33" s="112"/>
      <c r="O33" s="112"/>
      <c r="P33" s="112"/>
      <c r="Q33" s="168"/>
      <c r="R33" s="114"/>
      <c r="S33" s="114"/>
      <c r="T33" s="114"/>
      <c r="U33" s="114"/>
      <c r="V33" s="114"/>
      <c r="W33" s="114"/>
      <c r="X33" s="114"/>
      <c r="Y33" s="114"/>
    </row>
    <row r="34" ht="30.0" customHeight="1">
      <c r="A34" s="55" t="s">
        <v>456</v>
      </c>
      <c r="B34" s="43">
        <v>30.0</v>
      </c>
      <c r="C34" s="47" t="s">
        <v>62</v>
      </c>
      <c r="D34" s="47" t="s">
        <v>87</v>
      </c>
      <c r="E34" s="47" t="s">
        <v>211</v>
      </c>
      <c r="F34" s="47" t="s">
        <v>80</v>
      </c>
      <c r="G34" s="121" t="str">
        <f t="shared" si="1"/>
        <v>табака  Гр  </v>
      </c>
      <c r="H34" s="128" t="s">
        <v>1</v>
      </c>
      <c r="I34" s="123" t="str">
        <f>IFERROR(__xludf.DUMMYFUNCTION("""COMPUTED_VALUE"""),"Вар.Кар Туш. кап.")</f>
        <v>Вар.Кар Туш. кап.</v>
      </c>
      <c r="J34" s="112">
        <f>IFERROR(__xludf.DUMMYFUNCTION("""COMPUTED_VALUE"""),1.0)</f>
        <v>1</v>
      </c>
      <c r="K34" s="112" t="str">
        <f>IFERROR(__xludf.DUMMYFUNCTION("""COMPUTED_VALUE"""),"Олимп")</f>
        <v>Олимп</v>
      </c>
      <c r="L34" s="112"/>
      <c r="M34" s="112"/>
      <c r="N34" s="112"/>
      <c r="O34" s="112"/>
      <c r="P34" s="112"/>
      <c r="Q34" s="168"/>
      <c r="R34" s="114"/>
      <c r="S34" s="114"/>
      <c r="T34" s="114"/>
      <c r="U34" s="114"/>
      <c r="V34" s="114"/>
      <c r="W34" s="114"/>
      <c r="X34" s="114"/>
      <c r="Y34" s="114"/>
    </row>
    <row r="35" ht="30.0" customHeight="1">
      <c r="A35" s="132" t="s">
        <v>404</v>
      </c>
      <c r="B35" s="43">
        <v>31.0</v>
      </c>
      <c r="C35" s="47" t="s">
        <v>55</v>
      </c>
      <c r="D35" s="47"/>
      <c r="E35" s="47" t="s">
        <v>79</v>
      </c>
      <c r="F35" s="47"/>
      <c r="G35" s="121" t="str">
        <f t="shared" si="1"/>
        <v>Чалахач </v>
      </c>
      <c r="H35" s="128" t="s">
        <v>1</v>
      </c>
      <c r="I35" s="123" t="str">
        <f>IFERROR(__xludf.DUMMYFUNCTION("""COMPUTED_VALUE"""),"Гуляш ")</f>
        <v>Гуляш </v>
      </c>
      <c r="J35" s="112">
        <f>IFERROR(__xludf.DUMMYFUNCTION("""COMPUTED_VALUE"""),2.0)</f>
        <v>2</v>
      </c>
      <c r="K35" s="112" t="str">
        <f>IFERROR(__xludf.DUMMYFUNCTION("""COMPUTED_VALUE"""),"Олимп")</f>
        <v>Олимп</v>
      </c>
      <c r="L35" s="112"/>
      <c r="M35" s="112"/>
      <c r="N35" s="112"/>
      <c r="O35" s="112"/>
      <c r="P35" s="112"/>
      <c r="Q35" s="168"/>
      <c r="R35" s="114"/>
      <c r="S35" s="114"/>
      <c r="T35" s="114"/>
      <c r="U35" s="114"/>
      <c r="V35" s="114"/>
      <c r="W35" s="114"/>
      <c r="X35" s="114"/>
      <c r="Y35" s="114"/>
    </row>
    <row r="36" ht="30.0" customHeight="1">
      <c r="A36" s="80" t="s">
        <v>278</v>
      </c>
      <c r="B36" s="43">
        <v>32.0</v>
      </c>
      <c r="C36" s="47" t="s">
        <v>55</v>
      </c>
      <c r="D36" s="47" t="s">
        <v>105</v>
      </c>
      <c r="E36" s="47" t="s">
        <v>126</v>
      </c>
      <c r="F36" s="139" t="s">
        <v>127</v>
      </c>
      <c r="G36" s="121" t="str">
        <f t="shared" si="1"/>
        <v>S   MP </v>
      </c>
      <c r="H36" s="128" t="s">
        <v>1</v>
      </c>
      <c r="I36" s="123" t="str">
        <f>IFERROR(__xludf.DUMMYFUNCTION("""COMPUTED_VALUE"""),"Дорадо ")</f>
        <v>Дорадо </v>
      </c>
      <c r="J36" s="112">
        <f>IFERROR(__xludf.DUMMYFUNCTION("""COMPUTED_VALUE"""),1.0)</f>
        <v>1</v>
      </c>
      <c r="K36" s="112" t="str">
        <f>IFERROR(__xludf.DUMMYFUNCTION("""COMPUTED_VALUE"""),"Олимп")</f>
        <v>Олимп</v>
      </c>
      <c r="L36" s="112"/>
      <c r="M36" s="112"/>
      <c r="N36" s="112"/>
      <c r="O36" s="112"/>
      <c r="P36" s="112"/>
      <c r="Q36" s="168"/>
      <c r="R36" s="114"/>
      <c r="S36" s="114"/>
      <c r="T36" s="114"/>
      <c r="U36" s="114"/>
      <c r="V36" s="114"/>
      <c r="W36" s="114"/>
      <c r="X36" s="114"/>
      <c r="Y36" s="114"/>
    </row>
    <row r="37" ht="30.0" customHeight="1">
      <c r="A37" s="132" t="s">
        <v>283</v>
      </c>
      <c r="B37" s="43">
        <v>33.0</v>
      </c>
      <c r="C37" s="47" t="s">
        <v>32</v>
      </c>
      <c r="D37" s="47" t="s">
        <v>87</v>
      </c>
      <c r="E37" s="47" t="s">
        <v>173</v>
      </c>
      <c r="F37" s="47" t="s">
        <v>80</v>
      </c>
      <c r="G37" s="121" t="str">
        <f t="shared" si="1"/>
        <v>Дорадо Гр  </v>
      </c>
      <c r="H37" s="128" t="s">
        <v>1</v>
      </c>
      <c r="I37" s="112" t="str">
        <f>IFERROR(__xludf.DUMMYFUNCTION("""COMPUTED_VALUE"""),"Дорадо Гр  ")</f>
        <v>Дорадо Гр  </v>
      </c>
      <c r="J37" s="112">
        <f>IFERROR(__xludf.DUMMYFUNCTION("""COMPUTED_VALUE"""),2.0)</f>
        <v>2</v>
      </c>
      <c r="K37" s="112" t="str">
        <f>IFERROR(__xludf.DUMMYFUNCTION("""COMPUTED_VALUE"""),"Олимп")</f>
        <v>Олимп</v>
      </c>
      <c r="L37" s="112"/>
      <c r="M37" s="112"/>
      <c r="N37" s="112"/>
      <c r="O37" s="140"/>
      <c r="P37" s="112"/>
      <c r="Q37" s="114"/>
      <c r="R37" s="114"/>
      <c r="S37" s="114"/>
      <c r="T37" s="114"/>
      <c r="U37" s="114"/>
      <c r="V37" s="114"/>
      <c r="W37" s="114"/>
      <c r="X37" s="114"/>
      <c r="Y37" s="114"/>
    </row>
    <row r="38" ht="30.0" customHeight="1">
      <c r="A38" s="150" t="s">
        <v>466</v>
      </c>
      <c r="B38" s="43">
        <v>34.0</v>
      </c>
      <c r="C38" s="47" t="s">
        <v>16</v>
      </c>
      <c r="D38" s="47" t="s">
        <v>87</v>
      </c>
      <c r="E38" s="47" t="s">
        <v>112</v>
      </c>
      <c r="F38" s="47" t="s">
        <v>272</v>
      </c>
      <c r="G38" s="121" t="str">
        <f t="shared" si="1"/>
        <v>Поперечка Паста  </v>
      </c>
      <c r="H38" s="128" t="s">
        <v>1</v>
      </c>
      <c r="I38" s="112" t="str">
        <f>IFERROR(__xludf.DUMMYFUNCTION("""COMPUTED_VALUE"""),"Жульен Фасоль")</f>
        <v>Жульен Фасоль</v>
      </c>
      <c r="J38" s="112">
        <f>IFERROR(__xludf.DUMMYFUNCTION("""COMPUTED_VALUE"""),1.0)</f>
        <v>1</v>
      </c>
      <c r="K38" s="112" t="str">
        <f>IFERROR(__xludf.DUMMYFUNCTION("""COMPUTED_VALUE"""),"Олимп")</f>
        <v>Олимп</v>
      </c>
      <c r="L38" s="112"/>
      <c r="M38" s="112"/>
      <c r="N38" s="112"/>
      <c r="O38" s="140"/>
      <c r="P38" s="112"/>
      <c r="Q38" s="114"/>
      <c r="R38" s="114"/>
      <c r="S38" s="114"/>
      <c r="T38" s="114"/>
      <c r="U38" s="114"/>
      <c r="V38" s="114"/>
      <c r="W38" s="114"/>
      <c r="X38" s="114"/>
      <c r="Y38" s="114"/>
    </row>
    <row r="39" ht="30.0" customHeight="1">
      <c r="A39" s="55" t="s">
        <v>295</v>
      </c>
      <c r="B39" s="43">
        <v>35.0</v>
      </c>
      <c r="C39" s="47" t="s">
        <v>62</v>
      </c>
      <c r="D39" s="47" t="s">
        <v>65</v>
      </c>
      <c r="E39" s="47" t="s">
        <v>211</v>
      </c>
      <c r="F39" s="47" t="s">
        <v>127</v>
      </c>
      <c r="G39" s="121" t="str">
        <f t="shared" si="1"/>
        <v>табака  MP </v>
      </c>
      <c r="H39" s="128" t="s">
        <v>1</v>
      </c>
      <c r="I39" s="112" t="str">
        <f>IFERROR(__xludf.DUMMYFUNCTION("""COMPUTED_VALUE"""),"Котл. кур ")</f>
        <v>Котл. кур </v>
      </c>
      <c r="J39" s="112">
        <f>IFERROR(__xludf.DUMMYFUNCTION("""COMPUTED_VALUE"""),1.0)</f>
        <v>1</v>
      </c>
      <c r="K39" s="112" t="str">
        <f>IFERROR(__xludf.DUMMYFUNCTION("""COMPUTED_VALUE"""),"Олимп")</f>
        <v>Олимп</v>
      </c>
      <c r="L39" s="112"/>
      <c r="M39" s="112"/>
      <c r="N39" s="112"/>
      <c r="O39" s="140"/>
      <c r="P39" s="112"/>
      <c r="Q39" s="114"/>
      <c r="R39" s="114"/>
      <c r="S39" s="114"/>
      <c r="T39" s="114"/>
      <c r="U39" s="114"/>
      <c r="V39" s="114"/>
      <c r="W39" s="114"/>
      <c r="X39" s="114"/>
      <c r="Y39" s="114"/>
    </row>
    <row r="40" ht="30.0" customHeight="1">
      <c r="A40" s="68" t="s">
        <v>306</v>
      </c>
      <c r="B40" s="43">
        <v>36.0</v>
      </c>
      <c r="C40" s="47" t="s">
        <v>55</v>
      </c>
      <c r="D40" s="47" t="s">
        <v>105</v>
      </c>
      <c r="E40" s="47" t="s">
        <v>126</v>
      </c>
      <c r="F40" s="47" t="s">
        <v>276</v>
      </c>
      <c r="G40" s="121" t="str">
        <f t="shared" si="1"/>
        <v>S   Фасоль</v>
      </c>
      <c r="H40" s="128" t="s">
        <v>1</v>
      </c>
      <c r="I40" s="112" t="str">
        <f>IFERROR(__xludf.DUMMYFUNCTION("""COMPUTED_VALUE"""),"Котл. кур  FF")</f>
        <v>Котл. кур  FF</v>
      </c>
      <c r="J40" s="112">
        <f>IFERROR(__xludf.DUMMYFUNCTION("""COMPUTED_VALUE"""),1.0)</f>
        <v>1</v>
      </c>
      <c r="K40" s="112" t="str">
        <f>IFERROR(__xludf.DUMMYFUNCTION("""COMPUTED_VALUE"""),"Олимп")</f>
        <v>Олимп</v>
      </c>
      <c r="L40" s="112"/>
      <c r="M40" s="112"/>
      <c r="N40" s="112"/>
      <c r="O40" s="112"/>
      <c r="P40" s="112"/>
      <c r="Q40" s="114"/>
      <c r="R40" s="114"/>
      <c r="S40" s="114"/>
      <c r="T40" s="114"/>
      <c r="U40" s="114"/>
      <c r="V40" s="114"/>
      <c r="W40" s="114"/>
      <c r="X40" s="114"/>
      <c r="Y40" s="114"/>
    </row>
    <row r="41" ht="30.0" customHeight="1">
      <c r="A41" s="80" t="s">
        <v>480</v>
      </c>
      <c r="B41" s="43">
        <v>37.0</v>
      </c>
      <c r="C41" s="47" t="s">
        <v>5</v>
      </c>
      <c r="D41" s="47" t="s">
        <v>78</v>
      </c>
      <c r="E41" s="47" t="s">
        <v>126</v>
      </c>
      <c r="F41" s="47" t="s">
        <v>80</v>
      </c>
      <c r="G41" s="121" t="str">
        <f t="shared" si="1"/>
        <v>S   Гр  </v>
      </c>
      <c r="H41" s="128" t="s">
        <v>1</v>
      </c>
      <c r="I41" s="112" t="str">
        <f>IFERROR(__xludf.DUMMYFUNCTION("""COMPUTED_VALUE"""),"Котл. кур MP ")</f>
        <v>Котл. кур MP </v>
      </c>
      <c r="J41" s="112">
        <f>IFERROR(__xludf.DUMMYFUNCTION("""COMPUTED_VALUE"""),3.0)</f>
        <v>3</v>
      </c>
      <c r="K41" s="112" t="str">
        <f>IFERROR(__xludf.DUMMYFUNCTION("""COMPUTED_VALUE"""),"Олимп")</f>
        <v>Олимп</v>
      </c>
      <c r="L41" s="112"/>
      <c r="M41" s="112"/>
      <c r="N41" s="112"/>
      <c r="O41" s="112"/>
      <c r="P41" s="112"/>
      <c r="Q41" s="114"/>
      <c r="R41" s="114"/>
      <c r="S41" s="114"/>
      <c r="T41" s="114"/>
      <c r="U41" s="114"/>
      <c r="V41" s="114"/>
      <c r="W41" s="114"/>
      <c r="X41" s="114"/>
      <c r="Y41" s="114"/>
    </row>
    <row r="42" ht="30.0" customHeight="1">
      <c r="A42" s="43" t="s">
        <v>482</v>
      </c>
      <c r="B42" s="43">
        <v>38.0</v>
      </c>
      <c r="C42" s="129" t="s">
        <v>5</v>
      </c>
      <c r="D42" s="47" t="s">
        <v>78</v>
      </c>
      <c r="E42" s="129" t="s">
        <v>157</v>
      </c>
      <c r="F42" s="129"/>
      <c r="G42" s="121" t="str">
        <f t="shared" si="1"/>
        <v>Бл. твор </v>
      </c>
      <c r="H42" s="128" t="s">
        <v>1</v>
      </c>
      <c r="I42" s="112" t="str">
        <f>IFERROR(__xludf.DUMMYFUNCTION("""COMPUTED_VALUE"""),"Котл. кур Гр  ")</f>
        <v>Котл. кур Гр  </v>
      </c>
      <c r="J42" s="112">
        <f>IFERROR(__xludf.DUMMYFUNCTION("""COMPUTED_VALUE"""),1.0)</f>
        <v>1</v>
      </c>
      <c r="K42" s="112" t="str">
        <f>IFERROR(__xludf.DUMMYFUNCTION("""COMPUTED_VALUE"""),"Олимп")</f>
        <v>Олимп</v>
      </c>
      <c r="L42" s="112"/>
      <c r="M42" s="112"/>
      <c r="N42" s="112"/>
      <c r="O42" s="112"/>
      <c r="P42" s="112"/>
      <c r="Q42" s="114"/>
      <c r="R42" s="114"/>
      <c r="S42" s="114"/>
      <c r="T42" s="114"/>
      <c r="U42" s="114"/>
      <c r="V42" s="114"/>
      <c r="W42" s="114"/>
      <c r="X42" s="114"/>
      <c r="Y42" s="114"/>
    </row>
    <row r="43" ht="30.0" customHeight="1">
      <c r="A43" s="55" t="s">
        <v>429</v>
      </c>
      <c r="B43" s="43">
        <v>39.0</v>
      </c>
      <c r="C43" s="47" t="s">
        <v>57</v>
      </c>
      <c r="D43" s="129" t="s">
        <v>95</v>
      </c>
      <c r="E43" s="47" t="s">
        <v>126</v>
      </c>
      <c r="F43" s="47"/>
      <c r="G43" s="121" t="str">
        <f t="shared" si="1"/>
        <v>S   </v>
      </c>
      <c r="H43" s="128" t="s">
        <v>1</v>
      </c>
      <c r="I43" s="112" t="str">
        <f>IFERROR(__xludf.DUMMYFUNCTION("""COMPUTED_VALUE"""),"Котл. кур Паста  ")</f>
        <v>Котл. кур Паста  </v>
      </c>
      <c r="J43" s="112">
        <f>IFERROR(__xludf.DUMMYFUNCTION("""COMPUTED_VALUE"""),1.0)</f>
        <v>1</v>
      </c>
      <c r="K43" s="112" t="str">
        <f>IFERROR(__xludf.DUMMYFUNCTION("""COMPUTED_VALUE"""),"Олимп")</f>
        <v>Олимп</v>
      </c>
      <c r="L43" s="112"/>
      <c r="M43" s="112"/>
      <c r="N43" s="112"/>
      <c r="O43" s="112"/>
      <c r="P43" s="112"/>
      <c r="Q43" s="114"/>
      <c r="R43" s="114"/>
      <c r="S43" s="114"/>
      <c r="T43" s="114"/>
      <c r="U43" s="114"/>
      <c r="V43" s="114"/>
      <c r="W43" s="114"/>
      <c r="X43" s="114"/>
      <c r="Y43" s="114"/>
    </row>
    <row r="44" ht="30.0" customHeight="1">
      <c r="A44" s="43" t="s">
        <v>314</v>
      </c>
      <c r="B44" s="43">
        <v>40.0</v>
      </c>
      <c r="C44" s="47" t="s">
        <v>16</v>
      </c>
      <c r="D44" s="129" t="s">
        <v>95</v>
      </c>
      <c r="E44" s="47" t="s">
        <v>150</v>
      </c>
      <c r="F44" s="47" t="s">
        <v>122</v>
      </c>
      <c r="G44" s="121" t="str">
        <f t="shared" si="1"/>
        <v>Бл. мясо Туш. кап.</v>
      </c>
      <c r="H44" s="128" t="s">
        <v>1</v>
      </c>
      <c r="I44" s="112" t="str">
        <f>IFERROR(__xludf.DUMMYFUNCTION("""COMPUTED_VALUE"""),"Котл. кур Фасоль")</f>
        <v>Котл. кур Фасоль</v>
      </c>
      <c r="J44" s="112">
        <f>IFERROR(__xludf.DUMMYFUNCTION("""COMPUTED_VALUE"""),1.0)</f>
        <v>1</v>
      </c>
      <c r="K44" s="112" t="str">
        <f>IFERROR(__xludf.DUMMYFUNCTION("""COMPUTED_VALUE"""),"Олимп")</f>
        <v>Олимп</v>
      </c>
      <c r="L44" s="112"/>
      <c r="M44" s="112"/>
      <c r="N44" s="112"/>
      <c r="O44" s="112"/>
      <c r="P44" s="112"/>
      <c r="Q44" s="114"/>
      <c r="R44" s="114"/>
      <c r="S44" s="114"/>
      <c r="T44" s="114"/>
      <c r="U44" s="114"/>
      <c r="V44" s="114"/>
      <c r="W44" s="114"/>
      <c r="X44" s="114"/>
      <c r="Y44" s="114"/>
    </row>
    <row r="45" ht="30.0" customHeight="1">
      <c r="A45" s="43" t="s">
        <v>316</v>
      </c>
      <c r="B45" s="43">
        <v>41.0</v>
      </c>
      <c r="C45" s="47" t="s">
        <v>16</v>
      </c>
      <c r="D45" s="47" t="s">
        <v>105</v>
      </c>
      <c r="E45" s="47" t="s">
        <v>187</v>
      </c>
      <c r="F45" s="47" t="s">
        <v>272</v>
      </c>
      <c r="G45" s="121" t="str">
        <f t="shared" si="1"/>
        <v>Котл. кур Паста  </v>
      </c>
      <c r="H45" s="128" t="s">
        <v>1</v>
      </c>
      <c r="I45" s="112" t="str">
        <f>IFERROR(__xludf.DUMMYFUNCTION("""COMPUTED_VALUE"""),"Пельмени ")</f>
        <v>Пельмени </v>
      </c>
      <c r="J45" s="112">
        <f>IFERROR(__xludf.DUMMYFUNCTION("""COMPUTED_VALUE"""),2.0)</f>
        <v>2</v>
      </c>
      <c r="K45" s="112" t="str">
        <f>IFERROR(__xludf.DUMMYFUNCTION("""COMPUTED_VALUE"""),"Олимп")</f>
        <v>Олимп</v>
      </c>
      <c r="L45" s="112"/>
      <c r="M45" s="112"/>
      <c r="N45" s="112"/>
      <c r="O45" s="112"/>
      <c r="P45" s="112"/>
      <c r="Q45" s="114"/>
      <c r="R45" s="114"/>
      <c r="S45" s="114"/>
      <c r="T45" s="114"/>
      <c r="U45" s="114"/>
      <c r="V45" s="114"/>
      <c r="W45" s="114"/>
      <c r="X45" s="114"/>
      <c r="Y45" s="114"/>
    </row>
    <row r="46" ht="30.0" customHeight="1">
      <c r="A46" s="80" t="s">
        <v>319</v>
      </c>
      <c r="B46" s="43">
        <v>42.0</v>
      </c>
      <c r="C46" s="47" t="s">
        <v>32</v>
      </c>
      <c r="D46" s="47" t="s">
        <v>85</v>
      </c>
      <c r="E46" s="129" t="s">
        <v>126</v>
      </c>
      <c r="F46" s="47" t="s">
        <v>98</v>
      </c>
      <c r="G46" s="121" t="str">
        <f t="shared" si="1"/>
        <v>S   Картошка</v>
      </c>
      <c r="H46" s="128" t="s">
        <v>1</v>
      </c>
      <c r="I46" s="112" t="str">
        <f>IFERROR(__xludf.DUMMYFUNCTION("""COMPUTED_VALUE"""),"Поперечка MP ")</f>
        <v>Поперечка MP </v>
      </c>
      <c r="J46" s="112">
        <f>IFERROR(__xludf.DUMMYFUNCTION("""COMPUTED_VALUE"""),1.0)</f>
        <v>1</v>
      </c>
      <c r="K46" s="112" t="str">
        <f>IFERROR(__xludf.DUMMYFUNCTION("""COMPUTED_VALUE"""),"Олимп")</f>
        <v>Олимп</v>
      </c>
      <c r="L46" s="112"/>
      <c r="M46" s="112"/>
      <c r="N46" s="112"/>
      <c r="O46" s="112"/>
      <c r="P46" s="112"/>
      <c r="Q46" s="114"/>
      <c r="R46" s="114"/>
      <c r="S46" s="114"/>
      <c r="T46" s="114"/>
      <c r="U46" s="114"/>
      <c r="V46" s="114"/>
      <c r="W46" s="114"/>
      <c r="X46" s="114"/>
      <c r="Y46" s="114"/>
    </row>
    <row r="47" ht="30.0" customHeight="1">
      <c r="A47" s="80" t="s">
        <v>321</v>
      </c>
      <c r="B47" s="43">
        <v>43.0</v>
      </c>
      <c r="C47" s="47" t="s">
        <v>55</v>
      </c>
      <c r="D47" s="47" t="s">
        <v>78</v>
      </c>
      <c r="E47" s="47" t="s">
        <v>79</v>
      </c>
      <c r="F47" s="47" t="s">
        <v>122</v>
      </c>
      <c r="G47" s="121" t="str">
        <f t="shared" si="1"/>
        <v>Чалахач Туш. кап.</v>
      </c>
      <c r="H47" s="128" t="s">
        <v>1</v>
      </c>
      <c r="I47" s="112" t="str">
        <f>IFERROR(__xludf.DUMMYFUNCTION("""COMPUTED_VALUE"""),"Поперечка Картошка")</f>
        <v>Поперечка Картошка</v>
      </c>
      <c r="J47" s="112">
        <f>IFERROR(__xludf.DUMMYFUNCTION("""COMPUTED_VALUE"""),1.0)</f>
        <v>1</v>
      </c>
      <c r="K47" s="112" t="str">
        <f>IFERROR(__xludf.DUMMYFUNCTION("""COMPUTED_VALUE"""),"Олимп")</f>
        <v>Олимп</v>
      </c>
      <c r="L47" s="112"/>
      <c r="M47" s="112"/>
      <c r="N47" s="112"/>
      <c r="O47" s="140"/>
      <c r="P47" s="112"/>
      <c r="Q47" s="114"/>
      <c r="R47" s="114"/>
      <c r="S47" s="114"/>
      <c r="T47" s="114"/>
      <c r="U47" s="114"/>
      <c r="V47" s="114"/>
      <c r="W47" s="114"/>
      <c r="X47" s="114"/>
      <c r="Y47" s="114"/>
    </row>
    <row r="48" ht="30.0" customHeight="1">
      <c r="A48" s="80" t="s">
        <v>323</v>
      </c>
      <c r="B48" s="43">
        <v>44.0</v>
      </c>
      <c r="C48" s="47" t="s">
        <v>16</v>
      </c>
      <c r="D48" s="47" t="s">
        <v>105</v>
      </c>
      <c r="E48" s="47" t="s">
        <v>204</v>
      </c>
      <c r="F48" s="47" t="s">
        <v>272</v>
      </c>
      <c r="G48" s="121" t="str">
        <f t="shared" si="1"/>
        <v>Св. отбив   Паста  </v>
      </c>
      <c r="H48" s="128" t="s">
        <v>1</v>
      </c>
      <c r="I48" s="112" t="str">
        <f>IFERROR(__xludf.DUMMYFUNCTION("""COMPUTED_VALUE"""),"Поперечка Паста  ")</f>
        <v>Поперечка Паста  </v>
      </c>
      <c r="J48" s="112">
        <f>IFERROR(__xludf.DUMMYFUNCTION("""COMPUTED_VALUE"""),1.0)</f>
        <v>1</v>
      </c>
      <c r="K48" s="112" t="str">
        <f>IFERROR(__xludf.DUMMYFUNCTION("""COMPUTED_VALUE"""),"Олимп")</f>
        <v>Олимп</v>
      </c>
      <c r="L48" s="112"/>
      <c r="M48" s="112"/>
      <c r="N48" s="112"/>
      <c r="O48" s="140"/>
      <c r="P48" s="112"/>
      <c r="Q48" s="114"/>
      <c r="R48" s="114"/>
      <c r="S48" s="114"/>
      <c r="T48" s="114"/>
      <c r="U48" s="114"/>
      <c r="V48" s="114"/>
      <c r="W48" s="114"/>
      <c r="X48" s="114"/>
      <c r="Y48" s="114"/>
    </row>
    <row r="49" ht="29.25" customHeight="1">
      <c r="A49" s="80" t="s">
        <v>327</v>
      </c>
      <c r="B49" s="43">
        <v>45.0</v>
      </c>
      <c r="C49" s="47" t="s">
        <v>5</v>
      </c>
      <c r="D49" s="47" t="s">
        <v>78</v>
      </c>
      <c r="E49" s="47" t="s">
        <v>79</v>
      </c>
      <c r="F49" s="47" t="s">
        <v>127</v>
      </c>
      <c r="G49" s="121" t="str">
        <f t="shared" si="1"/>
        <v>Чалахач MP </v>
      </c>
      <c r="H49" s="128" t="s">
        <v>1</v>
      </c>
      <c r="I49" s="112" t="str">
        <f>IFERROR(__xludf.DUMMYFUNCTION("""COMPUTED_VALUE"""),"Св. отбив    FF")</f>
        <v>Св. отбив    FF</v>
      </c>
      <c r="J49" s="112">
        <f>IFERROR(__xludf.DUMMYFUNCTION("""COMPUTED_VALUE"""),2.0)</f>
        <v>2</v>
      </c>
      <c r="K49" s="112" t="str">
        <f>IFERROR(__xludf.DUMMYFUNCTION("""COMPUTED_VALUE"""),"Олимп")</f>
        <v>Олимп</v>
      </c>
      <c r="L49" s="112"/>
      <c r="M49" s="112"/>
      <c r="N49" s="112"/>
      <c r="O49" s="140"/>
      <c r="P49" s="112"/>
      <c r="Q49" s="114"/>
      <c r="R49" s="114"/>
      <c r="S49" s="114"/>
      <c r="T49" s="114"/>
      <c r="U49" s="114"/>
      <c r="V49" s="114"/>
      <c r="W49" s="114"/>
      <c r="X49" s="114"/>
      <c r="Y49" s="114"/>
    </row>
    <row r="50" ht="30.0" customHeight="1">
      <c r="A50" s="80" t="s">
        <v>494</v>
      </c>
      <c r="B50" s="43">
        <v>46.0</v>
      </c>
      <c r="C50" s="47" t="s">
        <v>16</v>
      </c>
      <c r="D50" s="47" t="s">
        <v>65</v>
      </c>
      <c r="E50" s="47" t="s">
        <v>165</v>
      </c>
      <c r="F50" s="47"/>
      <c r="G50" s="121" t="str">
        <f t="shared" si="1"/>
        <v>Пельмени </v>
      </c>
      <c r="H50" s="128" t="s">
        <v>1</v>
      </c>
      <c r="I50" s="123" t="str">
        <f>IFERROR(__xludf.DUMMYFUNCTION("""COMPUTED_VALUE"""),"Св. отбив   MP ")</f>
        <v>Св. отбив   MP </v>
      </c>
      <c r="J50" s="112">
        <f>IFERROR(__xludf.DUMMYFUNCTION("""COMPUTED_VALUE"""),1.0)</f>
        <v>1</v>
      </c>
      <c r="K50" s="112" t="str">
        <f>IFERROR(__xludf.DUMMYFUNCTION("""COMPUTED_VALUE"""),"Олимп")</f>
        <v>Олимп</v>
      </c>
      <c r="L50" s="112"/>
      <c r="M50" s="112"/>
      <c r="N50" s="112"/>
      <c r="O50" s="112"/>
      <c r="P50" s="112"/>
      <c r="Q50" s="114"/>
      <c r="R50" s="114"/>
      <c r="S50" s="114"/>
      <c r="T50" s="114"/>
      <c r="U50" s="114"/>
      <c r="V50" s="114"/>
      <c r="W50" s="114"/>
      <c r="X50" s="114"/>
      <c r="Y50" s="114"/>
    </row>
    <row r="51" ht="30.0" customHeight="1">
      <c r="A51" s="80" t="s">
        <v>455</v>
      </c>
      <c r="B51" s="43">
        <v>47.0</v>
      </c>
      <c r="C51" s="47" t="s">
        <v>16</v>
      </c>
      <c r="D51" s="47" t="s">
        <v>78</v>
      </c>
      <c r="E51" s="129" t="s">
        <v>126</v>
      </c>
      <c r="F51" s="47" t="s">
        <v>127</v>
      </c>
      <c r="G51" s="121" t="str">
        <f t="shared" si="1"/>
        <v>S   MP </v>
      </c>
      <c r="H51" s="128" t="s">
        <v>1</v>
      </c>
      <c r="I51" s="112" t="str">
        <f>IFERROR(__xludf.DUMMYFUNCTION("""COMPUTED_VALUE"""),"Св. отбив   Паста  ")</f>
        <v>Св. отбив   Паста  </v>
      </c>
      <c r="J51" s="112">
        <f>IFERROR(__xludf.DUMMYFUNCTION("""COMPUTED_VALUE"""),1.0)</f>
        <v>1</v>
      </c>
      <c r="K51" s="112" t="str">
        <f>IFERROR(__xludf.DUMMYFUNCTION("""COMPUTED_VALUE"""),"Олимп")</f>
        <v>Олимп</v>
      </c>
      <c r="L51" s="112"/>
      <c r="M51" s="112"/>
      <c r="N51" s="112"/>
      <c r="O51" s="112"/>
      <c r="P51" s="112"/>
      <c r="Q51" s="114"/>
      <c r="R51" s="114"/>
      <c r="S51" s="114"/>
      <c r="T51" s="114"/>
      <c r="U51" s="114"/>
      <c r="V51" s="114"/>
      <c r="W51" s="114"/>
      <c r="X51" s="114"/>
      <c r="Y51" s="114"/>
    </row>
    <row r="52" ht="30.0" customHeight="1">
      <c r="A52" s="80" t="s">
        <v>612</v>
      </c>
      <c r="B52" s="43">
        <v>48.0</v>
      </c>
      <c r="C52" s="47" t="s">
        <v>16</v>
      </c>
      <c r="D52" s="47" t="s">
        <v>87</v>
      </c>
      <c r="E52" s="129" t="s">
        <v>204</v>
      </c>
      <c r="F52" s="47" t="s">
        <v>113</v>
      </c>
      <c r="G52" s="121" t="str">
        <f t="shared" si="1"/>
        <v>Св. отбив    FF</v>
      </c>
      <c r="H52" s="128" t="s">
        <v>1</v>
      </c>
      <c r="I52" s="112" t="str">
        <f>IFERROR(__xludf.DUMMYFUNCTION("""COMPUTED_VALUE"""),"Терияки MP ")</f>
        <v>Терияки MP </v>
      </c>
      <c r="J52" s="112">
        <f>IFERROR(__xludf.DUMMYFUNCTION("""COMPUTED_VALUE"""),1.0)</f>
        <v>1</v>
      </c>
      <c r="K52" s="112" t="str">
        <f>IFERROR(__xludf.DUMMYFUNCTION("""COMPUTED_VALUE"""),"Олимп")</f>
        <v>Олимп</v>
      </c>
      <c r="L52" s="112"/>
      <c r="M52" s="112"/>
      <c r="N52" s="112"/>
      <c r="O52" s="112"/>
      <c r="P52" s="112"/>
      <c r="Q52" s="114"/>
      <c r="R52" s="114"/>
      <c r="S52" s="114"/>
      <c r="T52" s="114"/>
      <c r="U52" s="114"/>
      <c r="V52" s="114"/>
      <c r="W52" s="114"/>
      <c r="X52" s="114"/>
      <c r="Y52" s="114"/>
    </row>
    <row r="53" ht="30.0" customHeight="1">
      <c r="A53" s="55" t="s">
        <v>505</v>
      </c>
      <c r="B53" s="43">
        <v>49.0</v>
      </c>
      <c r="C53" s="75" t="s">
        <v>16</v>
      </c>
      <c r="D53" s="75" t="s">
        <v>105</v>
      </c>
      <c r="E53" s="75" t="s">
        <v>157</v>
      </c>
      <c r="F53" s="154"/>
      <c r="G53" s="133" t="str">
        <f t="shared" si="1"/>
        <v>Бл. твор </v>
      </c>
      <c r="H53" s="133" t="s">
        <v>1</v>
      </c>
      <c r="I53" s="112" t="str">
        <f>IFERROR(__xludf.DUMMYFUNCTION("""COMPUTED_VALUE"""),"Терияки Туш. кап.")</f>
        <v>Терияки Туш. кап.</v>
      </c>
      <c r="J53" s="112">
        <f>IFERROR(__xludf.DUMMYFUNCTION("""COMPUTED_VALUE"""),1.0)</f>
        <v>1</v>
      </c>
      <c r="K53" s="112" t="str">
        <f>IFERROR(__xludf.DUMMYFUNCTION("""COMPUTED_VALUE"""),"Олимп")</f>
        <v>Олимп</v>
      </c>
      <c r="L53" s="112"/>
      <c r="M53" s="112"/>
      <c r="N53" s="112"/>
      <c r="O53" s="112"/>
      <c r="P53" s="112"/>
      <c r="Q53" s="114"/>
      <c r="R53" s="114"/>
      <c r="S53" s="114"/>
      <c r="T53" s="114"/>
      <c r="U53" s="114"/>
      <c r="V53" s="114"/>
      <c r="W53" s="114"/>
      <c r="X53" s="114"/>
      <c r="Y53" s="114"/>
    </row>
    <row r="54" ht="30.0" customHeight="1">
      <c r="A54" s="80" t="s">
        <v>599</v>
      </c>
      <c r="B54" s="43">
        <v>50.0</v>
      </c>
      <c r="C54" s="47" t="s">
        <v>23</v>
      </c>
      <c r="D54" s="47" t="s">
        <v>105</v>
      </c>
      <c r="E54" s="129" t="s">
        <v>79</v>
      </c>
      <c r="F54" s="47" t="s">
        <v>276</v>
      </c>
      <c r="G54" s="121" t="str">
        <f t="shared" si="1"/>
        <v>Чалахач Фасоль</v>
      </c>
      <c r="H54" s="128" t="s">
        <v>1</v>
      </c>
      <c r="I54" s="112" t="str">
        <f>IFERROR(__xludf.DUMMYFUNCTION("""COMPUTED_VALUE"""),"Чалахач ")</f>
        <v>Чалахач </v>
      </c>
      <c r="J54" s="112">
        <f>IFERROR(__xludf.DUMMYFUNCTION("""COMPUTED_VALUE"""),3.0)</f>
        <v>3</v>
      </c>
      <c r="K54" s="112" t="str">
        <f>IFERROR(__xludf.DUMMYFUNCTION("""COMPUTED_VALUE"""),"Олимп")</f>
        <v>Олимп</v>
      </c>
      <c r="L54" s="112"/>
      <c r="M54" s="112"/>
      <c r="N54" s="112"/>
      <c r="O54" s="112"/>
      <c r="P54" s="112"/>
      <c r="Q54" s="114"/>
      <c r="R54" s="114"/>
      <c r="S54" s="114"/>
      <c r="T54" s="114"/>
      <c r="U54" s="114"/>
      <c r="V54" s="114"/>
      <c r="W54" s="114"/>
      <c r="X54" s="114"/>
      <c r="Y54" s="114"/>
    </row>
    <row r="55" ht="30.0" customHeight="1">
      <c r="A55" s="43" t="s">
        <v>334</v>
      </c>
      <c r="B55" s="43">
        <v>51.0</v>
      </c>
      <c r="C55" s="47" t="s">
        <v>16</v>
      </c>
      <c r="D55" s="47" t="s">
        <v>65</v>
      </c>
      <c r="E55" s="47" t="s">
        <v>211</v>
      </c>
      <c r="F55" s="47" t="s">
        <v>122</v>
      </c>
      <c r="G55" s="121" t="str">
        <f t="shared" si="1"/>
        <v>табака  Туш. кап.</v>
      </c>
      <c r="H55" s="128" t="s">
        <v>1</v>
      </c>
      <c r="I55" s="112" t="str">
        <f>IFERROR(__xludf.DUMMYFUNCTION("""COMPUTED_VALUE"""),"Чалахач MP ")</f>
        <v>Чалахач MP </v>
      </c>
      <c r="J55" s="112">
        <f>IFERROR(__xludf.DUMMYFUNCTION("""COMPUTED_VALUE"""),2.0)</f>
        <v>2</v>
      </c>
      <c r="K55" s="112" t="str">
        <f>IFERROR(__xludf.DUMMYFUNCTION("""COMPUTED_VALUE"""),"Олимп")</f>
        <v>Олимп</v>
      </c>
      <c r="L55" s="112"/>
      <c r="M55" s="112"/>
      <c r="N55" s="112"/>
      <c r="O55" s="112"/>
      <c r="P55" s="112"/>
      <c r="Q55" s="114"/>
      <c r="R55" s="114"/>
      <c r="S55" s="114"/>
      <c r="T55" s="114"/>
      <c r="U55" s="114"/>
      <c r="V55" s="114"/>
      <c r="W55" s="114"/>
      <c r="X55" s="114"/>
      <c r="Y55" s="114"/>
    </row>
    <row r="56" ht="30.0" customHeight="1">
      <c r="A56" s="80" t="s">
        <v>338</v>
      </c>
      <c r="B56" s="43">
        <v>52.0</v>
      </c>
      <c r="C56" s="47" t="s">
        <v>16</v>
      </c>
      <c r="D56" s="47" t="s">
        <v>105</v>
      </c>
      <c r="E56" s="47" t="s">
        <v>211</v>
      </c>
      <c r="F56" s="47" t="s">
        <v>80</v>
      </c>
      <c r="G56" s="121" t="str">
        <f t="shared" si="1"/>
        <v>табака  Гр  </v>
      </c>
      <c r="H56" s="128" t="s">
        <v>1</v>
      </c>
      <c r="I56" s="112" t="str">
        <f>IFERROR(__xludf.DUMMYFUNCTION("""COMPUTED_VALUE"""),"Чалахач Гр  ")</f>
        <v>Чалахач Гр  </v>
      </c>
      <c r="J56" s="112">
        <f>IFERROR(__xludf.DUMMYFUNCTION("""COMPUTED_VALUE"""),1.0)</f>
        <v>1</v>
      </c>
      <c r="K56" s="112" t="str">
        <f>IFERROR(__xludf.DUMMYFUNCTION("""COMPUTED_VALUE"""),"Олимп")</f>
        <v>Олимп</v>
      </c>
      <c r="L56" s="112"/>
      <c r="M56" s="112"/>
      <c r="N56" s="112"/>
      <c r="O56" s="112"/>
      <c r="P56" s="112"/>
      <c r="Q56" s="114"/>
      <c r="R56" s="114"/>
      <c r="S56" s="114"/>
      <c r="T56" s="114"/>
      <c r="U56" s="114"/>
      <c r="V56" s="114"/>
      <c r="W56" s="114"/>
      <c r="X56" s="114"/>
      <c r="Y56" s="114"/>
    </row>
    <row r="57" ht="30.0" customHeight="1">
      <c r="A57" s="6" t="s">
        <v>520</v>
      </c>
      <c r="B57" s="43">
        <v>53.0</v>
      </c>
      <c r="C57" s="129"/>
      <c r="D57" s="129" t="s">
        <v>85</v>
      </c>
      <c r="E57" s="129" t="s">
        <v>191</v>
      </c>
      <c r="F57" s="47" t="s">
        <v>113</v>
      </c>
      <c r="G57" s="121" t="str">
        <f t="shared" si="1"/>
        <v>крылья  FF</v>
      </c>
      <c r="H57" s="128" t="s">
        <v>1</v>
      </c>
      <c r="I57" s="112" t="str">
        <f>IFERROR(__xludf.DUMMYFUNCTION("""COMPUTED_VALUE"""),"Чалахач Картошка")</f>
        <v>Чалахач Картошка</v>
      </c>
      <c r="J57" s="112">
        <f>IFERROR(__xludf.DUMMYFUNCTION("""COMPUTED_VALUE"""),1.0)</f>
        <v>1</v>
      </c>
      <c r="K57" s="112" t="str">
        <f>IFERROR(__xludf.DUMMYFUNCTION("""COMPUTED_VALUE"""),"Олимп")</f>
        <v>Олимп</v>
      </c>
      <c r="L57" s="112"/>
      <c r="M57" s="112"/>
      <c r="N57" s="112"/>
      <c r="O57" s="112"/>
      <c r="P57" s="112"/>
      <c r="Q57" s="114"/>
      <c r="R57" s="114"/>
      <c r="S57" s="114"/>
      <c r="T57" s="114"/>
      <c r="U57" s="114"/>
      <c r="V57" s="114"/>
      <c r="W57" s="114"/>
      <c r="X57" s="114"/>
      <c r="Y57" s="114"/>
    </row>
    <row r="58" ht="30.0" customHeight="1">
      <c r="A58" s="43" t="s">
        <v>269</v>
      </c>
      <c r="B58" s="43">
        <v>54.0</v>
      </c>
      <c r="C58" s="47" t="s">
        <v>5</v>
      </c>
      <c r="D58" s="47" t="s">
        <v>117</v>
      </c>
      <c r="E58" s="47" t="s">
        <v>187</v>
      </c>
      <c r="F58" s="47" t="s">
        <v>127</v>
      </c>
      <c r="G58" s="121" t="str">
        <f t="shared" si="1"/>
        <v>Котл. кур MP </v>
      </c>
      <c r="H58" s="128" t="s">
        <v>1</v>
      </c>
      <c r="I58" s="112" t="str">
        <f>IFERROR(__xludf.DUMMYFUNCTION("""COMPUTED_VALUE"""),"Чалахач Туш. кап.")</f>
        <v>Чалахач Туш. кап.</v>
      </c>
      <c r="J58" s="112">
        <f>IFERROR(__xludf.DUMMYFUNCTION("""COMPUTED_VALUE"""),1.0)</f>
        <v>1</v>
      </c>
      <c r="K58" s="112" t="str">
        <f>IFERROR(__xludf.DUMMYFUNCTION("""COMPUTED_VALUE"""),"Олимп")</f>
        <v>Олимп</v>
      </c>
      <c r="L58" s="112"/>
      <c r="M58" s="112"/>
      <c r="N58" s="112"/>
      <c r="O58" s="112"/>
      <c r="P58" s="112"/>
      <c r="Q58" s="114"/>
      <c r="R58" s="114"/>
      <c r="S58" s="114"/>
      <c r="T58" s="114"/>
      <c r="U58" s="114"/>
      <c r="V58" s="114"/>
      <c r="W58" s="114"/>
      <c r="X58" s="114"/>
      <c r="Y58" s="114"/>
    </row>
    <row r="59" ht="30.0" customHeight="1">
      <c r="A59" s="80" t="s">
        <v>538</v>
      </c>
      <c r="B59" s="43">
        <v>55.0</v>
      </c>
      <c r="C59" s="47" t="s">
        <v>57</v>
      </c>
      <c r="D59" s="47" t="s">
        <v>105</v>
      </c>
      <c r="E59" s="47" t="s">
        <v>126</v>
      </c>
      <c r="F59" s="47" t="s">
        <v>127</v>
      </c>
      <c r="G59" s="121" t="str">
        <f t="shared" si="1"/>
        <v>S   MP </v>
      </c>
      <c r="H59" s="128" t="s">
        <v>1</v>
      </c>
      <c r="I59" s="112" t="str">
        <f>IFERROR(__xludf.DUMMYFUNCTION("""COMPUTED_VALUE"""),"Чалахач Фасоль")</f>
        <v>Чалахач Фасоль</v>
      </c>
      <c r="J59" s="112">
        <f>IFERROR(__xludf.DUMMYFUNCTION("""COMPUTED_VALUE"""),1.0)</f>
        <v>1</v>
      </c>
      <c r="K59" s="112" t="str">
        <f>IFERROR(__xludf.DUMMYFUNCTION("""COMPUTED_VALUE"""),"Олимп")</f>
        <v>Олимп</v>
      </c>
      <c r="L59" s="112"/>
      <c r="M59" s="112"/>
      <c r="N59" s="112"/>
      <c r="O59" s="112"/>
      <c r="P59" s="112"/>
      <c r="Q59" s="114"/>
      <c r="R59" s="114"/>
      <c r="S59" s="114"/>
      <c r="T59" s="114"/>
      <c r="U59" s="114"/>
      <c r="V59" s="114"/>
      <c r="W59" s="114"/>
      <c r="X59" s="114"/>
      <c r="Y59" s="114"/>
    </row>
    <row r="60" ht="30.0" customHeight="1">
      <c r="A60" s="55" t="s">
        <v>614</v>
      </c>
      <c r="B60" s="43">
        <v>56.0</v>
      </c>
      <c r="C60" s="47" t="s">
        <v>47</v>
      </c>
      <c r="D60" s="47" t="s">
        <v>105</v>
      </c>
      <c r="E60" s="47" t="s">
        <v>67</v>
      </c>
      <c r="F60" s="47" t="s">
        <v>127</v>
      </c>
      <c r="G60" s="121" t="str">
        <f t="shared" si="1"/>
        <v>Баса MP </v>
      </c>
      <c r="H60" s="128" t="s">
        <v>1</v>
      </c>
      <c r="I60" s="112" t="str">
        <f>IFERROR(__xludf.DUMMYFUNCTION("""COMPUTED_VALUE"""),"Чебуреки  ")</f>
        <v>Чебуреки  </v>
      </c>
      <c r="J60" s="112">
        <f>IFERROR(__xludf.DUMMYFUNCTION("""COMPUTED_VALUE"""),3.0)</f>
        <v>3</v>
      </c>
      <c r="K60" s="112" t="str">
        <f>IFERROR(__xludf.DUMMYFUNCTION("""COMPUTED_VALUE"""),"Олимп")</f>
        <v>Олимп</v>
      </c>
      <c r="L60" s="112"/>
      <c r="M60" s="112"/>
      <c r="N60" s="112"/>
      <c r="O60" s="112"/>
      <c r="P60" s="112"/>
      <c r="Q60" s="114"/>
      <c r="R60" s="114"/>
      <c r="S60" s="114"/>
      <c r="T60" s="114"/>
      <c r="U60" s="114"/>
      <c r="V60" s="114"/>
      <c r="W60" s="114"/>
      <c r="X60" s="114"/>
      <c r="Y60" s="114"/>
    </row>
    <row r="61" ht="30.0" customHeight="1">
      <c r="A61" s="43" t="s">
        <v>342</v>
      </c>
      <c r="B61" s="43">
        <v>57.0</v>
      </c>
      <c r="C61" s="47" t="s">
        <v>16</v>
      </c>
      <c r="D61" s="47" t="s">
        <v>105</v>
      </c>
      <c r="E61" s="129" t="s">
        <v>126</v>
      </c>
      <c r="F61" s="47" t="s">
        <v>127</v>
      </c>
      <c r="G61" s="121" t="str">
        <f t="shared" si="1"/>
        <v>S   MP </v>
      </c>
      <c r="H61" s="128" t="s">
        <v>1</v>
      </c>
      <c r="I61" s="112" t="str">
        <f>IFERROR(__xludf.DUMMYFUNCTION("""COMPUTED_VALUE"""),"Чебуреки  Паста  ")</f>
        <v>Чебуреки  Паста  </v>
      </c>
      <c r="J61" s="112">
        <f>IFERROR(__xludf.DUMMYFUNCTION("""COMPUTED_VALUE"""),1.0)</f>
        <v>1</v>
      </c>
      <c r="K61" s="112" t="str">
        <f>IFERROR(__xludf.DUMMYFUNCTION("""COMPUTED_VALUE"""),"Олимп")</f>
        <v>Олимп</v>
      </c>
      <c r="L61" s="112"/>
      <c r="M61" s="112"/>
      <c r="N61" s="112"/>
      <c r="O61" s="112"/>
      <c r="P61" s="112"/>
      <c r="Q61" s="114"/>
      <c r="R61" s="114"/>
      <c r="S61" s="114"/>
      <c r="T61" s="114"/>
      <c r="U61" s="114"/>
      <c r="V61" s="114"/>
      <c r="W61" s="114"/>
      <c r="X61" s="114"/>
      <c r="Y61" s="114"/>
    </row>
    <row r="62" ht="30.0" customHeight="1">
      <c r="A62" s="80" t="s">
        <v>344</v>
      </c>
      <c r="B62" s="43">
        <v>58.0</v>
      </c>
      <c r="C62" s="47"/>
      <c r="D62" s="47" t="s">
        <v>78</v>
      </c>
      <c r="E62" s="47" t="s">
        <v>191</v>
      </c>
      <c r="F62" s="47" t="s">
        <v>113</v>
      </c>
      <c r="G62" s="121" t="str">
        <f t="shared" si="1"/>
        <v>крылья  FF</v>
      </c>
      <c r="H62" s="128" t="s">
        <v>1</v>
      </c>
      <c r="I62" s="112" t="str">
        <f>IFERROR(__xludf.DUMMYFUNCTION("""COMPUTED_VALUE"""),"Шницель ")</f>
        <v>Шницель </v>
      </c>
      <c r="J62" s="112">
        <f>IFERROR(__xludf.DUMMYFUNCTION("""COMPUTED_VALUE"""),1.0)</f>
        <v>1</v>
      </c>
      <c r="K62" s="112" t="str">
        <f>IFERROR(__xludf.DUMMYFUNCTION("""COMPUTED_VALUE"""),"Олимп")</f>
        <v>Олимп</v>
      </c>
      <c r="L62" s="112"/>
      <c r="M62" s="112"/>
      <c r="N62" s="112"/>
      <c r="O62" s="112"/>
      <c r="P62" s="112"/>
      <c r="Q62" s="114"/>
      <c r="R62" s="114"/>
      <c r="S62" s="114"/>
      <c r="T62" s="114"/>
      <c r="U62" s="114"/>
      <c r="V62" s="114"/>
      <c r="W62" s="114"/>
      <c r="X62" s="114"/>
      <c r="Y62" s="114"/>
    </row>
    <row r="63" ht="33.0" customHeight="1">
      <c r="A63" s="55" t="s">
        <v>345</v>
      </c>
      <c r="B63" s="43">
        <v>59.0</v>
      </c>
      <c r="C63" s="47" t="s">
        <v>23</v>
      </c>
      <c r="D63" s="47" t="s">
        <v>85</v>
      </c>
      <c r="E63" s="47" t="s">
        <v>79</v>
      </c>
      <c r="F63" s="47" t="s">
        <v>127</v>
      </c>
      <c r="G63" s="121" t="str">
        <f t="shared" si="1"/>
        <v>Чалахач MP </v>
      </c>
      <c r="H63" s="128" t="s">
        <v>1</v>
      </c>
      <c r="I63" s="112" t="str">
        <f>IFERROR(__xludf.DUMMYFUNCTION("""COMPUTED_VALUE"""),"Шницель MP ")</f>
        <v>Шницель MP </v>
      </c>
      <c r="J63" s="112">
        <f>IFERROR(__xludf.DUMMYFUNCTION("""COMPUTED_VALUE"""),1.0)</f>
        <v>1</v>
      </c>
      <c r="K63" s="112" t="str">
        <f>IFERROR(__xludf.DUMMYFUNCTION("""COMPUTED_VALUE"""),"Олимп")</f>
        <v>Олимп</v>
      </c>
      <c r="L63" s="112"/>
      <c r="M63" s="112"/>
      <c r="N63" s="112"/>
      <c r="O63" s="112"/>
      <c r="P63" s="112"/>
      <c r="Q63" s="114"/>
      <c r="R63" s="114"/>
      <c r="S63" s="114"/>
      <c r="T63" s="114"/>
      <c r="U63" s="114"/>
      <c r="V63" s="114"/>
      <c r="W63" s="114"/>
      <c r="X63" s="114"/>
      <c r="Y63" s="114"/>
    </row>
    <row r="64" ht="30.0" customHeight="1">
      <c r="A64" s="80" t="s">
        <v>470</v>
      </c>
      <c r="B64" s="43">
        <v>60.0</v>
      </c>
      <c r="C64" s="47" t="s">
        <v>12</v>
      </c>
      <c r="D64" s="47" t="s">
        <v>87</v>
      </c>
      <c r="E64" s="47" t="s">
        <v>204</v>
      </c>
      <c r="F64" s="47" t="s">
        <v>127</v>
      </c>
      <c r="G64" s="121" t="str">
        <f t="shared" si="1"/>
        <v>Св. отбив   MP </v>
      </c>
      <c r="H64" s="128" t="s">
        <v>1</v>
      </c>
      <c r="I64" s="112" t="str">
        <f>IFERROR(__xludf.DUMMYFUNCTION("""COMPUTED_VALUE"""),"Шницель Паста  ")</f>
        <v>Шницель Паста  </v>
      </c>
      <c r="J64" s="112">
        <f>IFERROR(__xludf.DUMMYFUNCTION("""COMPUTED_VALUE"""),2.0)</f>
        <v>2</v>
      </c>
      <c r="K64" s="112" t="str">
        <f>IFERROR(__xludf.DUMMYFUNCTION("""COMPUTED_VALUE"""),"Олимп")</f>
        <v>Олимп</v>
      </c>
      <c r="L64" s="112"/>
      <c r="M64" s="112"/>
      <c r="N64" s="112"/>
      <c r="O64" s="112"/>
      <c r="P64" s="112"/>
      <c r="Q64" s="114"/>
      <c r="R64" s="114"/>
      <c r="S64" s="114"/>
      <c r="T64" s="114"/>
      <c r="U64" s="114"/>
      <c r="V64" s="114"/>
      <c r="W64" s="114"/>
      <c r="X64" s="114"/>
      <c r="Y64" s="114"/>
    </row>
    <row r="65" ht="30.0" customHeight="1">
      <c r="A65" s="80" t="s">
        <v>347</v>
      </c>
      <c r="B65" s="43">
        <v>61.0</v>
      </c>
      <c r="C65" s="47" t="s">
        <v>55</v>
      </c>
      <c r="D65" s="47" t="s">
        <v>105</v>
      </c>
      <c r="E65" s="47" t="s">
        <v>157</v>
      </c>
      <c r="F65" s="47"/>
      <c r="G65" s="121" t="str">
        <f t="shared" si="1"/>
        <v>Бл. твор </v>
      </c>
      <c r="H65" s="128" t="s">
        <v>1</v>
      </c>
      <c r="I65" s="112" t="str">
        <f>IFERROR(__xludf.DUMMYFUNCTION("""COMPUTED_VALUE"""),"Шницель Туш. кап.")</f>
        <v>Шницель Туш. кап.</v>
      </c>
      <c r="J65" s="112">
        <f>IFERROR(__xludf.DUMMYFUNCTION("""COMPUTED_VALUE"""),2.0)</f>
        <v>2</v>
      </c>
      <c r="K65" s="112" t="str">
        <f>IFERROR(__xludf.DUMMYFUNCTION("""COMPUTED_VALUE"""),"Олимп")</f>
        <v>Олимп</v>
      </c>
      <c r="L65" s="112"/>
      <c r="M65" s="112"/>
      <c r="N65" s="112"/>
      <c r="O65" s="112"/>
      <c r="P65" s="112"/>
      <c r="Q65" s="114"/>
      <c r="R65" s="114"/>
      <c r="S65" s="114"/>
      <c r="T65" s="114"/>
      <c r="U65" s="114"/>
      <c r="V65" s="114"/>
      <c r="W65" s="114"/>
      <c r="X65" s="114"/>
      <c r="Y65" s="114"/>
    </row>
    <row r="66" ht="30.0" customHeight="1">
      <c r="A66" s="80" t="s">
        <v>349</v>
      </c>
      <c r="B66" s="43">
        <v>62.0</v>
      </c>
      <c r="C66" s="47" t="s">
        <v>55</v>
      </c>
      <c r="D66" s="47" t="s">
        <v>105</v>
      </c>
      <c r="E66" s="47" t="s">
        <v>97</v>
      </c>
      <c r="F66" s="47" t="s">
        <v>127</v>
      </c>
      <c r="G66" s="121" t="str">
        <f t="shared" si="1"/>
        <v>Терияки MP </v>
      </c>
      <c r="H66" s="128" t="s">
        <v>1</v>
      </c>
      <c r="I66" s="112" t="str">
        <f>IFERROR(__xludf.DUMMYFUNCTION("""COMPUTED_VALUE"""),"крылья  FF")</f>
        <v>крылья  FF</v>
      </c>
      <c r="J66" s="112">
        <f>IFERROR(__xludf.DUMMYFUNCTION("""COMPUTED_VALUE"""),3.0)</f>
        <v>3</v>
      </c>
      <c r="K66" s="112" t="str">
        <f>IFERROR(__xludf.DUMMYFUNCTION("""COMPUTED_VALUE"""),"Олимп")</f>
        <v>Олимп</v>
      </c>
      <c r="L66" s="112"/>
      <c r="M66" s="112"/>
      <c r="N66" s="112"/>
      <c r="O66" s="112"/>
      <c r="P66" s="112"/>
      <c r="Q66" s="114"/>
      <c r="R66" s="114"/>
      <c r="S66" s="114"/>
      <c r="T66" s="114"/>
      <c r="U66" s="114"/>
      <c r="V66" s="114"/>
      <c r="W66" s="114"/>
      <c r="X66" s="114"/>
      <c r="Y66" s="114"/>
    </row>
    <row r="67" ht="30.0" customHeight="1">
      <c r="A67" s="80" t="s">
        <v>549</v>
      </c>
      <c r="B67" s="43">
        <v>63.0</v>
      </c>
      <c r="C67" s="47" t="s">
        <v>16</v>
      </c>
      <c r="D67" s="47" t="s">
        <v>78</v>
      </c>
      <c r="E67" s="47" t="s">
        <v>126</v>
      </c>
      <c r="F67" s="47" t="s">
        <v>127</v>
      </c>
      <c r="G67" s="121" t="str">
        <f t="shared" si="1"/>
        <v>S   MP </v>
      </c>
      <c r="H67" s="128" t="s">
        <v>1</v>
      </c>
      <c r="I67" s="112" t="str">
        <f>IFERROR(__xludf.DUMMYFUNCTION("""COMPUTED_VALUE"""),"крылья Гр  ")</f>
        <v>крылья Гр  </v>
      </c>
      <c r="J67" s="112">
        <f>IFERROR(__xludf.DUMMYFUNCTION("""COMPUTED_VALUE"""),1.0)</f>
        <v>1</v>
      </c>
      <c r="K67" s="112" t="str">
        <f>IFERROR(__xludf.DUMMYFUNCTION("""COMPUTED_VALUE"""),"Олимп")</f>
        <v>Олимп</v>
      </c>
      <c r="L67" s="112"/>
      <c r="M67" s="112"/>
      <c r="N67" s="112"/>
      <c r="O67" s="112"/>
      <c r="P67" s="112"/>
      <c r="Q67" s="114"/>
      <c r="R67" s="114"/>
      <c r="S67" s="114"/>
      <c r="T67" s="114"/>
      <c r="U67" s="114"/>
      <c r="V67" s="114"/>
      <c r="W67" s="114"/>
      <c r="X67" s="114"/>
      <c r="Y67" s="114"/>
    </row>
    <row r="68" ht="30.0" customHeight="1">
      <c r="A68" s="80" t="s">
        <v>270</v>
      </c>
      <c r="B68" s="43">
        <v>64.0</v>
      </c>
      <c r="C68" s="47" t="s">
        <v>16</v>
      </c>
      <c r="D68" s="47" t="s">
        <v>87</v>
      </c>
      <c r="E68" s="47" t="s">
        <v>97</v>
      </c>
      <c r="F68" s="47" t="s">
        <v>122</v>
      </c>
      <c r="G68" s="121" t="str">
        <f t="shared" si="1"/>
        <v>Терияки Туш. кап.</v>
      </c>
      <c r="H68" s="128" t="s">
        <v>1</v>
      </c>
      <c r="I68" s="112" t="str">
        <f>IFERROR(__xludf.DUMMYFUNCTION("""COMPUTED_VALUE"""),"крылья Картошка")</f>
        <v>крылья Картошка</v>
      </c>
      <c r="J68" s="112">
        <f>IFERROR(__xludf.DUMMYFUNCTION("""COMPUTED_VALUE"""),1.0)</f>
        <v>1</v>
      </c>
      <c r="K68" s="112" t="str">
        <f>IFERROR(__xludf.DUMMYFUNCTION("""COMPUTED_VALUE"""),"Олимп")</f>
        <v>Олимп</v>
      </c>
      <c r="L68" s="112"/>
      <c r="M68" s="112"/>
      <c r="N68" s="112"/>
      <c r="O68" s="112"/>
      <c r="P68" s="112"/>
      <c r="Q68" s="114"/>
      <c r="R68" s="114"/>
      <c r="S68" s="114"/>
      <c r="T68" s="114"/>
      <c r="U68" s="114"/>
      <c r="V68" s="114"/>
      <c r="W68" s="114"/>
      <c r="X68" s="114"/>
      <c r="Y68" s="114"/>
    </row>
    <row r="69" ht="30.0" customHeight="1">
      <c r="A69" s="55" t="s">
        <v>354</v>
      </c>
      <c r="B69" s="43">
        <v>65.0</v>
      </c>
      <c r="C69" s="47" t="s">
        <v>16</v>
      </c>
      <c r="D69" s="47" t="s">
        <v>105</v>
      </c>
      <c r="E69" s="47" t="s">
        <v>187</v>
      </c>
      <c r="F69" s="47" t="s">
        <v>80</v>
      </c>
      <c r="G69" s="121" t="str">
        <f t="shared" si="1"/>
        <v>Котл. кур Гр  </v>
      </c>
      <c r="H69" s="128" t="s">
        <v>1</v>
      </c>
      <c r="I69" s="112" t="str">
        <f>IFERROR(__xludf.DUMMYFUNCTION("""COMPUTED_VALUE"""),"крылья Паста  ")</f>
        <v>крылья Паста  </v>
      </c>
      <c r="J69" s="112">
        <f>IFERROR(__xludf.DUMMYFUNCTION("""COMPUTED_VALUE"""),1.0)</f>
        <v>1</v>
      </c>
      <c r="K69" s="112" t="str">
        <f>IFERROR(__xludf.DUMMYFUNCTION("""COMPUTED_VALUE"""),"Олимп")</f>
        <v>Олимп</v>
      </c>
      <c r="L69" s="112"/>
      <c r="M69" s="112"/>
      <c r="N69" s="112"/>
      <c r="O69" s="112"/>
      <c r="P69" s="112"/>
      <c r="Q69" s="114"/>
      <c r="R69" s="114"/>
      <c r="S69" s="114"/>
      <c r="T69" s="114"/>
      <c r="U69" s="114"/>
      <c r="V69" s="114"/>
      <c r="W69" s="114"/>
      <c r="X69" s="114"/>
      <c r="Y69" s="114"/>
    </row>
    <row r="70" ht="30.0" customHeight="1">
      <c r="A70" s="80" t="s">
        <v>563</v>
      </c>
      <c r="B70" s="43">
        <v>66.0</v>
      </c>
      <c r="C70" s="47" t="s">
        <v>16</v>
      </c>
      <c r="D70" s="129" t="s">
        <v>87</v>
      </c>
      <c r="E70" s="47" t="s">
        <v>209</v>
      </c>
      <c r="F70" s="129" t="s">
        <v>272</v>
      </c>
      <c r="G70" s="121" t="str">
        <f t="shared" si="1"/>
        <v>Шницель Паста  </v>
      </c>
      <c r="H70" s="128" t="s">
        <v>1</v>
      </c>
      <c r="I70" s="112" t="str">
        <f>IFERROR(__xludf.DUMMYFUNCTION("""COMPUTED_VALUE"""),"табака  MP ")</f>
        <v>табака  MP </v>
      </c>
      <c r="J70" s="112">
        <f>IFERROR(__xludf.DUMMYFUNCTION("""COMPUTED_VALUE"""),3.0)</f>
        <v>3</v>
      </c>
      <c r="K70" s="112" t="str">
        <f>IFERROR(__xludf.DUMMYFUNCTION("""COMPUTED_VALUE"""),"Олимп")</f>
        <v>Олимп</v>
      </c>
      <c r="L70" s="112"/>
      <c r="M70" s="112"/>
      <c r="N70" s="112"/>
      <c r="O70" s="112"/>
      <c r="P70" s="112"/>
      <c r="Q70" s="114"/>
      <c r="R70" s="114"/>
      <c r="S70" s="114"/>
      <c r="T70" s="114"/>
      <c r="U70" s="114"/>
      <c r="V70" s="114"/>
      <c r="W70" s="114"/>
      <c r="X70" s="114"/>
      <c r="Y70" s="114"/>
    </row>
    <row r="71" ht="30.0" customHeight="1">
      <c r="A71" s="6" t="s">
        <v>362</v>
      </c>
      <c r="B71" s="43">
        <v>67.0</v>
      </c>
      <c r="C71" s="47" t="s">
        <v>32</v>
      </c>
      <c r="D71" s="47" t="s">
        <v>105</v>
      </c>
      <c r="E71" s="129" t="s">
        <v>126</v>
      </c>
      <c r="F71" s="129" t="s">
        <v>127</v>
      </c>
      <c r="G71" s="121" t="str">
        <f t="shared" si="1"/>
        <v>S   MP </v>
      </c>
      <c r="H71" s="128" t="s">
        <v>1</v>
      </c>
      <c r="I71" s="112" t="str">
        <f>IFERROR(__xludf.DUMMYFUNCTION("""COMPUTED_VALUE"""),"табака  Гр  ")</f>
        <v>табака  Гр  </v>
      </c>
      <c r="J71" s="112">
        <f>IFERROR(__xludf.DUMMYFUNCTION("""COMPUTED_VALUE"""),3.0)</f>
        <v>3</v>
      </c>
      <c r="K71" s="112" t="str">
        <f>IFERROR(__xludf.DUMMYFUNCTION("""COMPUTED_VALUE"""),"Олимп")</f>
        <v>Олимп</v>
      </c>
      <c r="L71" s="112"/>
      <c r="M71" s="112"/>
      <c r="N71" s="112"/>
      <c r="O71" s="112"/>
      <c r="P71" s="112"/>
      <c r="Q71" s="114"/>
      <c r="R71" s="114"/>
      <c r="S71" s="114"/>
      <c r="T71" s="114"/>
      <c r="U71" s="114"/>
      <c r="V71" s="114"/>
      <c r="W71" s="114"/>
      <c r="X71" s="114"/>
      <c r="Y71" s="114"/>
    </row>
    <row r="72" ht="30.0" customHeight="1">
      <c r="A72" s="6" t="s">
        <v>363</v>
      </c>
      <c r="B72" s="43">
        <v>68.0</v>
      </c>
      <c r="C72" s="47" t="s">
        <v>62</v>
      </c>
      <c r="D72" s="47" t="s">
        <v>117</v>
      </c>
      <c r="E72" s="47" t="s">
        <v>222</v>
      </c>
      <c r="F72" s="47" t="s">
        <v>272</v>
      </c>
      <c r="G72" s="121" t="str">
        <f t="shared" si="1"/>
        <v>Чебуреки  Паста  </v>
      </c>
      <c r="H72" s="128" t="s">
        <v>1</v>
      </c>
      <c r="I72" s="112" t="str">
        <f>IFERROR(__xludf.DUMMYFUNCTION("""COMPUTED_VALUE"""),"табака  Туш. кап.")</f>
        <v>табака  Туш. кап.</v>
      </c>
      <c r="J72" s="112">
        <f>IFERROR(__xludf.DUMMYFUNCTION("""COMPUTED_VALUE"""),1.0)</f>
        <v>1</v>
      </c>
      <c r="K72" s="112" t="str">
        <f>IFERROR(__xludf.DUMMYFUNCTION("""COMPUTED_VALUE"""),"Олимп")</f>
        <v>Олимп</v>
      </c>
      <c r="L72" s="112"/>
      <c r="M72" s="112"/>
      <c r="N72" s="112"/>
      <c r="O72" s="112"/>
      <c r="P72" s="112"/>
      <c r="Q72" s="114"/>
      <c r="R72" s="114"/>
      <c r="S72" s="114"/>
      <c r="T72" s="114"/>
      <c r="U72" s="114"/>
      <c r="V72" s="114"/>
      <c r="W72" s="114"/>
      <c r="X72" s="114"/>
      <c r="Y72" s="114"/>
    </row>
    <row r="73" ht="30.0" customHeight="1">
      <c r="A73" s="80" t="s">
        <v>366</v>
      </c>
      <c r="B73" s="43">
        <v>69.0</v>
      </c>
      <c r="C73" s="47" t="s">
        <v>55</v>
      </c>
      <c r="D73" s="47" t="s">
        <v>85</v>
      </c>
      <c r="E73" s="47" t="s">
        <v>222</v>
      </c>
      <c r="F73" s="47"/>
      <c r="G73" s="121" t="str">
        <f t="shared" si="1"/>
        <v>Чебуреки  </v>
      </c>
      <c r="H73" s="128" t="s">
        <v>1</v>
      </c>
      <c r="I73" s="112"/>
      <c r="J73" s="112"/>
      <c r="K73" s="112"/>
      <c r="L73" s="112"/>
      <c r="M73" s="112"/>
      <c r="N73" s="112"/>
      <c r="O73" s="112"/>
      <c r="P73" s="112"/>
      <c r="Q73" s="114"/>
      <c r="R73" s="114"/>
      <c r="S73" s="114"/>
      <c r="T73" s="114"/>
      <c r="U73" s="114"/>
      <c r="V73" s="114"/>
      <c r="W73" s="114"/>
      <c r="X73" s="114"/>
      <c r="Y73" s="114"/>
    </row>
    <row r="74" ht="30.0" customHeight="1">
      <c r="A74" s="6" t="s">
        <v>368</v>
      </c>
      <c r="B74" s="43">
        <v>70.0</v>
      </c>
      <c r="C74" s="47" t="s">
        <v>12</v>
      </c>
      <c r="D74" s="47" t="s">
        <v>87</v>
      </c>
      <c r="E74" s="47" t="s">
        <v>126</v>
      </c>
      <c r="F74" s="47" t="s">
        <v>127</v>
      </c>
      <c r="G74" s="121" t="str">
        <f t="shared" si="1"/>
        <v>S   MP </v>
      </c>
      <c r="H74" s="128" t="s">
        <v>1</v>
      </c>
      <c r="I74" s="112"/>
      <c r="J74" s="112"/>
      <c r="K74" s="112"/>
      <c r="L74" s="112"/>
      <c r="M74" s="112"/>
      <c r="N74" s="112"/>
      <c r="O74" s="112"/>
      <c r="P74" s="112"/>
      <c r="Q74" s="114"/>
      <c r="R74" s="114"/>
      <c r="S74" s="114"/>
      <c r="T74" s="114"/>
      <c r="U74" s="114"/>
      <c r="V74" s="114"/>
      <c r="W74" s="114"/>
      <c r="X74" s="114"/>
      <c r="Y74" s="114"/>
    </row>
    <row r="75" ht="30.0" customHeight="1">
      <c r="A75" s="80" t="s">
        <v>378</v>
      </c>
      <c r="B75" s="43">
        <v>71.0</v>
      </c>
      <c r="C75" s="47" t="s">
        <v>23</v>
      </c>
      <c r="D75" s="47" t="s">
        <v>117</v>
      </c>
      <c r="E75" s="47" t="s">
        <v>191</v>
      </c>
      <c r="F75" s="47" t="s">
        <v>113</v>
      </c>
      <c r="G75" s="121" t="str">
        <f t="shared" si="1"/>
        <v>крылья  FF</v>
      </c>
      <c r="H75" s="128" t="s">
        <v>1</v>
      </c>
      <c r="I75" s="112"/>
      <c r="J75" s="112"/>
      <c r="K75" s="112"/>
      <c r="L75" s="112"/>
      <c r="M75" s="112"/>
      <c r="N75" s="112"/>
      <c r="O75" s="112"/>
      <c r="P75" s="112"/>
      <c r="Q75" s="114"/>
      <c r="R75" s="114"/>
      <c r="S75" s="114"/>
      <c r="T75" s="114"/>
      <c r="U75" s="114"/>
      <c r="V75" s="114"/>
      <c r="W75" s="114"/>
      <c r="X75" s="114"/>
      <c r="Y75" s="114"/>
    </row>
    <row r="76" ht="30.0" customHeight="1">
      <c r="A76" s="55" t="s">
        <v>615</v>
      </c>
      <c r="B76" s="43">
        <v>72.0</v>
      </c>
      <c r="C76" s="47" t="s">
        <v>47</v>
      </c>
      <c r="D76" s="129" t="s">
        <v>87</v>
      </c>
      <c r="E76" s="47" t="s">
        <v>181</v>
      </c>
      <c r="F76" s="47" t="s">
        <v>276</v>
      </c>
      <c r="G76" s="121" t="str">
        <f t="shared" si="1"/>
        <v>Жульен Фасоль</v>
      </c>
      <c r="H76" s="128" t="s">
        <v>1</v>
      </c>
      <c r="I76" s="112"/>
      <c r="J76" s="112"/>
      <c r="K76" s="112"/>
      <c r="L76" s="112"/>
      <c r="M76" s="112"/>
      <c r="N76" s="112"/>
      <c r="O76" s="112"/>
      <c r="P76" s="112"/>
      <c r="Q76" s="114"/>
      <c r="R76" s="114"/>
      <c r="S76" s="114"/>
      <c r="T76" s="114"/>
      <c r="U76" s="114"/>
      <c r="V76" s="114"/>
      <c r="W76" s="114"/>
      <c r="X76" s="114"/>
      <c r="Y76" s="114"/>
    </row>
    <row r="77" ht="30.0" customHeight="1">
      <c r="A77" s="80" t="s">
        <v>385</v>
      </c>
      <c r="B77" s="43">
        <v>73.0</v>
      </c>
      <c r="C77" s="47" t="s">
        <v>55</v>
      </c>
      <c r="D77" s="47" t="s">
        <v>78</v>
      </c>
      <c r="E77" s="47" t="s">
        <v>161</v>
      </c>
      <c r="F77" s="47" t="s">
        <v>122</v>
      </c>
      <c r="G77" s="121" t="str">
        <f t="shared" si="1"/>
        <v>Вар.Кар Туш. кап.</v>
      </c>
      <c r="H77" s="128" t="s">
        <v>1</v>
      </c>
      <c r="I77" s="112"/>
      <c r="J77" s="112"/>
      <c r="K77" s="112"/>
      <c r="L77" s="112"/>
      <c r="M77" s="112"/>
      <c r="N77" s="112"/>
      <c r="O77" s="112"/>
      <c r="P77" s="112"/>
      <c r="Q77" s="114"/>
      <c r="R77" s="114"/>
      <c r="S77" s="114"/>
      <c r="T77" s="114"/>
      <c r="U77" s="114"/>
      <c r="V77" s="114"/>
      <c r="W77" s="114"/>
      <c r="X77" s="114"/>
      <c r="Y77" s="114"/>
    </row>
    <row r="78" ht="30.0" customHeight="1">
      <c r="A78" s="55" t="s">
        <v>389</v>
      </c>
      <c r="B78" s="43">
        <v>74.0</v>
      </c>
      <c r="C78" s="47" t="s">
        <v>12</v>
      </c>
      <c r="D78" s="47" t="s">
        <v>105</v>
      </c>
      <c r="E78" s="47" t="s">
        <v>126</v>
      </c>
      <c r="F78" s="47" t="s">
        <v>127</v>
      </c>
      <c r="G78" s="121" t="str">
        <f t="shared" si="1"/>
        <v>S   MP </v>
      </c>
      <c r="H78" s="128" t="s">
        <v>1</v>
      </c>
      <c r="I78" s="112"/>
      <c r="J78" s="112"/>
      <c r="K78" s="112"/>
      <c r="L78" s="112"/>
      <c r="M78" s="112"/>
      <c r="N78" s="112"/>
      <c r="O78" s="112"/>
      <c r="P78" s="112"/>
      <c r="Q78" s="114"/>
      <c r="R78" s="114"/>
      <c r="S78" s="114"/>
      <c r="T78" s="114"/>
      <c r="U78" s="114"/>
      <c r="V78" s="114"/>
      <c r="W78" s="114"/>
      <c r="X78" s="114"/>
      <c r="Y78" s="114"/>
    </row>
    <row r="79" ht="30.0" customHeight="1">
      <c r="A79" s="6" t="s">
        <v>502</v>
      </c>
      <c r="B79" s="43">
        <v>75.0</v>
      </c>
      <c r="C79" s="47" t="s">
        <v>57</v>
      </c>
      <c r="D79" s="47" t="s">
        <v>85</v>
      </c>
      <c r="E79" s="47" t="s">
        <v>79</v>
      </c>
      <c r="F79" s="47" t="s">
        <v>98</v>
      </c>
      <c r="G79" s="121" t="str">
        <f t="shared" si="1"/>
        <v>Чалахач Картошка</v>
      </c>
      <c r="H79" s="128" t="s">
        <v>1</v>
      </c>
      <c r="I79" s="112"/>
      <c r="J79" s="112"/>
      <c r="K79" s="112"/>
      <c r="L79" s="112"/>
      <c r="M79" s="112"/>
      <c r="N79" s="112"/>
      <c r="O79" s="112"/>
      <c r="P79" s="112"/>
      <c r="Q79" s="114"/>
      <c r="R79" s="114"/>
      <c r="S79" s="114"/>
      <c r="T79" s="114"/>
      <c r="U79" s="114"/>
      <c r="V79" s="114"/>
      <c r="W79" s="114"/>
      <c r="X79" s="114"/>
      <c r="Y79" s="114"/>
    </row>
    <row r="80" ht="30.0" customHeight="1">
      <c r="A80" s="55" t="s">
        <v>576</v>
      </c>
      <c r="B80" s="43">
        <v>76.0</v>
      </c>
      <c r="C80" s="47" t="s">
        <v>16</v>
      </c>
      <c r="D80" s="47" t="s">
        <v>87</v>
      </c>
      <c r="E80" s="47" t="s">
        <v>79</v>
      </c>
      <c r="F80" s="47"/>
      <c r="G80" s="121" t="str">
        <f t="shared" si="1"/>
        <v>Чалахач </v>
      </c>
      <c r="H80" s="128" t="s">
        <v>1</v>
      </c>
      <c r="I80" s="112"/>
      <c r="J80" s="112"/>
      <c r="K80" s="112"/>
      <c r="L80" s="112"/>
      <c r="M80" s="112"/>
      <c r="N80" s="112"/>
      <c r="O80" s="112"/>
      <c r="P80" s="112"/>
      <c r="Q80" s="114"/>
      <c r="R80" s="114"/>
      <c r="S80" s="114"/>
      <c r="T80" s="114"/>
      <c r="U80" s="114"/>
      <c r="V80" s="114"/>
      <c r="W80" s="114"/>
      <c r="X80" s="114"/>
      <c r="Y80" s="114"/>
    </row>
    <row r="81" ht="30.0" customHeight="1">
      <c r="A81" s="43" t="s">
        <v>577</v>
      </c>
      <c r="B81" s="43">
        <v>77.0</v>
      </c>
      <c r="C81" s="47" t="s">
        <v>55</v>
      </c>
      <c r="D81" s="47" t="s">
        <v>65</v>
      </c>
      <c r="E81" s="47" t="s">
        <v>157</v>
      </c>
      <c r="F81" s="47"/>
      <c r="G81" s="121" t="str">
        <f t="shared" si="1"/>
        <v>Бл. твор </v>
      </c>
      <c r="H81" s="128" t="s">
        <v>1</v>
      </c>
      <c r="I81" s="112"/>
      <c r="J81" s="112"/>
      <c r="K81" s="112"/>
      <c r="L81" s="112"/>
      <c r="M81" s="112"/>
      <c r="N81" s="112"/>
      <c r="O81" s="112"/>
      <c r="P81" s="112"/>
      <c r="Q81" s="114"/>
      <c r="R81" s="114"/>
      <c r="S81" s="114"/>
      <c r="T81" s="114"/>
      <c r="U81" s="114"/>
      <c r="V81" s="114"/>
      <c r="W81" s="114"/>
      <c r="X81" s="114"/>
      <c r="Y81" s="114"/>
    </row>
    <row r="82" ht="30.0" customHeight="1">
      <c r="A82" s="80" t="s">
        <v>616</v>
      </c>
      <c r="B82" s="43">
        <v>78.0</v>
      </c>
      <c r="C82" s="47" t="s">
        <v>23</v>
      </c>
      <c r="D82" s="47" t="s">
        <v>105</v>
      </c>
      <c r="E82" s="47" t="s">
        <v>211</v>
      </c>
      <c r="F82" s="47" t="s">
        <v>127</v>
      </c>
      <c r="G82" s="121" t="str">
        <f t="shared" si="1"/>
        <v>табака  MP </v>
      </c>
      <c r="H82" s="128" t="s">
        <v>1</v>
      </c>
      <c r="I82" s="112"/>
      <c r="J82" s="112"/>
      <c r="K82" s="112"/>
      <c r="L82" s="112"/>
      <c r="M82" s="112"/>
      <c r="N82" s="112"/>
      <c r="O82" s="112"/>
      <c r="P82" s="112"/>
      <c r="Q82" s="114"/>
      <c r="R82" s="114"/>
      <c r="S82" s="114"/>
      <c r="T82" s="114"/>
      <c r="U82" s="114"/>
      <c r="V82" s="114"/>
      <c r="W82" s="114"/>
      <c r="X82" s="114"/>
      <c r="Y82" s="114"/>
    </row>
    <row r="83" ht="30.0" customHeight="1">
      <c r="A83" s="6" t="s">
        <v>509</v>
      </c>
      <c r="B83" s="43">
        <v>79.0</v>
      </c>
      <c r="C83" s="47" t="s">
        <v>16</v>
      </c>
      <c r="D83" s="47" t="s">
        <v>85</v>
      </c>
      <c r="E83" s="47" t="s">
        <v>222</v>
      </c>
      <c r="F83" s="47"/>
      <c r="G83" s="121" t="str">
        <f t="shared" si="1"/>
        <v>Чебуреки  </v>
      </c>
      <c r="H83" s="128" t="s">
        <v>1</v>
      </c>
      <c r="I83" s="112"/>
      <c r="J83" s="112"/>
      <c r="K83" s="112"/>
      <c r="L83" s="112"/>
      <c r="M83" s="112"/>
      <c r="N83" s="112"/>
      <c r="O83" s="112"/>
      <c r="P83" s="112"/>
      <c r="Q83" s="114"/>
      <c r="R83" s="114"/>
      <c r="S83" s="114"/>
      <c r="T83" s="114"/>
      <c r="U83" s="114"/>
      <c r="V83" s="114"/>
      <c r="W83" s="114"/>
      <c r="X83" s="114"/>
      <c r="Y83" s="114"/>
    </row>
    <row r="84" ht="30.0" customHeight="1">
      <c r="A84" s="166" t="s">
        <v>402</v>
      </c>
      <c r="B84" s="43">
        <v>80.0</v>
      </c>
      <c r="C84" s="47" t="s">
        <v>16</v>
      </c>
      <c r="D84" s="47" t="s">
        <v>95</v>
      </c>
      <c r="E84" s="47" t="s">
        <v>187</v>
      </c>
      <c r="F84" s="47" t="s">
        <v>276</v>
      </c>
      <c r="G84" s="121" t="str">
        <f t="shared" si="1"/>
        <v>Котл. кур Фасоль</v>
      </c>
      <c r="H84" s="128" t="s">
        <v>1</v>
      </c>
      <c r="I84" s="112"/>
      <c r="J84" s="112"/>
      <c r="K84" s="112"/>
      <c r="L84" s="112"/>
      <c r="M84" s="112"/>
      <c r="N84" s="112"/>
      <c r="O84" s="112"/>
      <c r="P84" s="112"/>
      <c r="Q84" s="114"/>
      <c r="R84" s="114"/>
      <c r="S84" s="114"/>
      <c r="T84" s="114"/>
      <c r="U84" s="114"/>
      <c r="V84" s="114"/>
      <c r="W84" s="114"/>
      <c r="X84" s="114"/>
      <c r="Y84" s="114"/>
    </row>
    <row r="85" ht="30.0" customHeight="1">
      <c r="A85" s="68" t="s">
        <v>406</v>
      </c>
      <c r="B85" s="43">
        <v>81.0</v>
      </c>
      <c r="C85" s="47" t="s">
        <v>16</v>
      </c>
      <c r="D85" s="47" t="s">
        <v>65</v>
      </c>
      <c r="E85" s="47" t="s">
        <v>126</v>
      </c>
      <c r="F85" s="47" t="s">
        <v>113</v>
      </c>
      <c r="G85" s="121" t="str">
        <f t="shared" si="1"/>
        <v>S    FF</v>
      </c>
      <c r="H85" s="128" t="s">
        <v>1</v>
      </c>
      <c r="I85" s="112"/>
      <c r="J85" s="112"/>
      <c r="K85" s="112"/>
      <c r="L85" s="112"/>
      <c r="M85" s="112"/>
      <c r="N85" s="112"/>
      <c r="O85" s="112"/>
      <c r="P85" s="112"/>
      <c r="Q85" s="114"/>
      <c r="R85" s="114"/>
      <c r="S85" s="114"/>
      <c r="T85" s="114"/>
      <c r="U85" s="114"/>
      <c r="V85" s="114"/>
      <c r="W85" s="114"/>
      <c r="X85" s="114"/>
      <c r="Y85" s="114"/>
    </row>
    <row r="86" ht="30.0" customHeight="1">
      <c r="A86" s="68" t="s">
        <v>516</v>
      </c>
      <c r="B86" s="43">
        <v>82.0</v>
      </c>
      <c r="C86" s="47" t="s">
        <v>57</v>
      </c>
      <c r="D86" s="47" t="s">
        <v>105</v>
      </c>
      <c r="E86" s="47" t="s">
        <v>126</v>
      </c>
      <c r="F86" s="129" t="s">
        <v>122</v>
      </c>
      <c r="G86" s="121" t="str">
        <f t="shared" si="1"/>
        <v>S   Туш. кап.</v>
      </c>
      <c r="H86" s="128" t="s">
        <v>1</v>
      </c>
      <c r="I86" s="112"/>
      <c r="J86" s="112"/>
      <c r="K86" s="112"/>
      <c r="L86" s="112"/>
      <c r="M86" s="112"/>
      <c r="N86" s="112"/>
      <c r="O86" s="112"/>
      <c r="P86" s="112"/>
      <c r="Q86" s="114"/>
      <c r="R86" s="114"/>
      <c r="S86" s="114"/>
      <c r="T86" s="114"/>
      <c r="U86" s="114"/>
      <c r="V86" s="114"/>
      <c r="W86" s="114"/>
      <c r="X86" s="114"/>
      <c r="Y86" s="114"/>
    </row>
    <row r="87" ht="30.0" customHeight="1">
      <c r="A87" s="166" t="s">
        <v>580</v>
      </c>
      <c r="B87" s="43">
        <v>83.0</v>
      </c>
      <c r="C87" s="47" t="s">
        <v>55</v>
      </c>
      <c r="D87" s="47" t="s">
        <v>65</v>
      </c>
      <c r="E87" s="47" t="s">
        <v>169</v>
      </c>
      <c r="G87" s="121" t="str">
        <f t="shared" si="1"/>
        <v>Гуляш </v>
      </c>
      <c r="H87" s="128" t="s">
        <v>1</v>
      </c>
      <c r="I87" s="112"/>
      <c r="J87" s="112"/>
      <c r="K87" s="112"/>
      <c r="L87" s="112"/>
      <c r="M87" s="112"/>
      <c r="N87" s="112"/>
      <c r="O87" s="111"/>
      <c r="P87" s="112"/>
      <c r="Q87" s="112"/>
      <c r="R87" s="112"/>
      <c r="S87" s="112"/>
      <c r="T87" s="114"/>
      <c r="U87" s="114"/>
      <c r="V87" s="114"/>
      <c r="W87" s="114"/>
      <c r="X87" s="114"/>
      <c r="Y87" s="114"/>
    </row>
    <row r="88" ht="30.0" customHeight="1">
      <c r="A88" s="80" t="s">
        <v>423</v>
      </c>
      <c r="B88" s="43">
        <v>84.0</v>
      </c>
      <c r="C88" s="47" t="s">
        <v>62</v>
      </c>
      <c r="D88" s="47" t="s">
        <v>105</v>
      </c>
      <c r="E88" s="47" t="s">
        <v>211</v>
      </c>
      <c r="F88" s="47" t="s">
        <v>127</v>
      </c>
      <c r="G88" s="121" t="str">
        <f t="shared" si="1"/>
        <v>табака  MP </v>
      </c>
      <c r="H88" s="128" t="s">
        <v>1</v>
      </c>
      <c r="I88" s="112"/>
      <c r="J88" s="112"/>
      <c r="K88" s="112"/>
      <c r="L88" s="112"/>
      <c r="M88" s="112"/>
      <c r="N88" s="112"/>
      <c r="O88" s="111"/>
      <c r="P88" s="112"/>
      <c r="Q88" s="112"/>
      <c r="R88" s="112"/>
      <c r="S88" s="112"/>
      <c r="T88" s="114"/>
      <c r="U88" s="114"/>
      <c r="V88" s="114"/>
      <c r="W88" s="114"/>
      <c r="X88" s="114"/>
      <c r="Y88" s="114"/>
    </row>
    <row r="89" ht="30.0" customHeight="1">
      <c r="A89" s="68" t="s">
        <v>582</v>
      </c>
      <c r="B89" s="43">
        <v>85.0</v>
      </c>
      <c r="C89" s="47" t="s">
        <v>32</v>
      </c>
      <c r="D89" s="47" t="s">
        <v>105</v>
      </c>
      <c r="E89" s="47" t="s">
        <v>126</v>
      </c>
      <c r="F89" s="47" t="s">
        <v>127</v>
      </c>
      <c r="G89" s="121" t="str">
        <f t="shared" si="1"/>
        <v>S   MP </v>
      </c>
      <c r="H89" s="128" t="s">
        <v>1</v>
      </c>
      <c r="I89" s="112"/>
      <c r="J89" s="112"/>
      <c r="K89" s="112"/>
      <c r="L89" s="112"/>
      <c r="M89" s="112"/>
      <c r="N89" s="112"/>
      <c r="O89" s="112"/>
      <c r="P89" s="112"/>
      <c r="Q89" s="114"/>
      <c r="R89" s="114"/>
      <c r="S89" s="114"/>
      <c r="T89" s="114"/>
      <c r="U89" s="114"/>
      <c r="V89" s="114"/>
      <c r="W89" s="114"/>
      <c r="X89" s="114"/>
      <c r="Y89" s="114"/>
    </row>
    <row r="90" ht="30.0" customHeight="1">
      <c r="A90" s="68" t="s">
        <v>584</v>
      </c>
      <c r="B90" s="43">
        <v>86.0</v>
      </c>
      <c r="C90" s="47" t="s">
        <v>47</v>
      </c>
      <c r="D90" s="47" t="s">
        <v>78</v>
      </c>
      <c r="E90" s="47" t="s">
        <v>126</v>
      </c>
      <c r="F90" s="47" t="s">
        <v>127</v>
      </c>
      <c r="G90" s="121" t="str">
        <f t="shared" si="1"/>
        <v>S   MP </v>
      </c>
      <c r="H90" s="128" t="s">
        <v>1</v>
      </c>
      <c r="I90" s="112"/>
      <c r="J90" s="112"/>
      <c r="K90" s="112"/>
      <c r="L90" s="112"/>
      <c r="M90" s="112"/>
      <c r="N90" s="112"/>
      <c r="O90" s="112"/>
      <c r="P90" s="112"/>
      <c r="Q90" s="114"/>
      <c r="R90" s="114"/>
      <c r="S90" s="114"/>
      <c r="T90" s="114"/>
      <c r="U90" s="114"/>
      <c r="V90" s="114"/>
      <c r="W90" s="114"/>
      <c r="X90" s="114"/>
      <c r="Y90" s="114"/>
    </row>
    <row r="91" ht="30.0" customHeight="1">
      <c r="A91" s="6" t="s">
        <v>425</v>
      </c>
      <c r="B91" s="43">
        <v>87.0</v>
      </c>
      <c r="C91" s="47" t="s">
        <v>23</v>
      </c>
      <c r="D91" s="47" t="s">
        <v>117</v>
      </c>
      <c r="E91" s="47" t="s">
        <v>79</v>
      </c>
      <c r="F91" s="155"/>
      <c r="G91" s="121" t="str">
        <f t="shared" si="1"/>
        <v>Чалахач </v>
      </c>
      <c r="H91" s="128" t="s">
        <v>1</v>
      </c>
      <c r="I91" s="112"/>
      <c r="J91" s="112"/>
      <c r="K91" s="112"/>
      <c r="L91" s="112"/>
      <c r="M91" s="112"/>
      <c r="N91" s="177"/>
      <c r="O91" s="112"/>
      <c r="P91" s="112"/>
      <c r="Q91" s="114"/>
      <c r="R91" s="114"/>
      <c r="S91" s="114"/>
      <c r="T91" s="114"/>
      <c r="U91" s="114"/>
      <c r="V91" s="114"/>
      <c r="W91" s="114"/>
      <c r="X91" s="114"/>
      <c r="Y91" s="114"/>
    </row>
    <row r="92" ht="30.0" customHeight="1">
      <c r="A92" s="68" t="s">
        <v>315</v>
      </c>
      <c r="B92" s="43">
        <v>88.0</v>
      </c>
      <c r="C92" s="47" t="s">
        <v>55</v>
      </c>
      <c r="D92" s="47" t="s">
        <v>65</v>
      </c>
      <c r="E92" s="47" t="s">
        <v>209</v>
      </c>
      <c r="F92" s="47"/>
      <c r="G92" s="121" t="str">
        <f t="shared" si="1"/>
        <v>Шницель </v>
      </c>
      <c r="H92" s="128" t="s">
        <v>1</v>
      </c>
      <c r="I92" s="112"/>
      <c r="J92" s="112"/>
      <c r="K92" s="112"/>
      <c r="L92" s="112"/>
      <c r="M92" s="112"/>
      <c r="N92" s="177"/>
      <c r="O92" s="112"/>
      <c r="P92" s="112"/>
      <c r="Q92" s="114"/>
      <c r="R92" s="114"/>
      <c r="S92" s="114"/>
      <c r="T92" s="114"/>
      <c r="U92" s="114"/>
      <c r="V92" s="114"/>
      <c r="W92" s="114"/>
      <c r="X92" s="114"/>
      <c r="Y92" s="114"/>
    </row>
    <row r="93" ht="30.0" customHeight="1">
      <c r="A93" s="80" t="s">
        <v>434</v>
      </c>
      <c r="B93" s="43">
        <v>89.0</v>
      </c>
      <c r="C93" s="47" t="s">
        <v>12</v>
      </c>
      <c r="D93" s="47" t="s">
        <v>87</v>
      </c>
      <c r="E93" s="47" t="s">
        <v>157</v>
      </c>
      <c r="F93" s="47"/>
      <c r="G93" s="121" t="str">
        <f t="shared" si="1"/>
        <v>Бл. твор </v>
      </c>
      <c r="H93" s="128" t="s">
        <v>1</v>
      </c>
      <c r="I93" s="112"/>
      <c r="J93" s="112"/>
      <c r="K93" s="112"/>
      <c r="L93" s="112"/>
      <c r="M93" s="112"/>
      <c r="N93" s="112"/>
      <c r="O93" s="112"/>
      <c r="P93" s="112"/>
      <c r="Q93" s="114"/>
      <c r="R93" s="114"/>
      <c r="S93" s="114"/>
      <c r="T93" s="114"/>
      <c r="U93" s="114"/>
      <c r="V93" s="114"/>
      <c r="W93" s="114"/>
      <c r="X93" s="114"/>
      <c r="Y93" s="114"/>
    </row>
    <row r="94" ht="30.0" customHeight="1">
      <c r="A94" s="80" t="s">
        <v>528</v>
      </c>
      <c r="B94" s="43">
        <v>90.0</v>
      </c>
      <c r="C94" s="47" t="s">
        <v>16</v>
      </c>
      <c r="D94" s="47" t="s">
        <v>105</v>
      </c>
      <c r="E94" s="47" t="s">
        <v>126</v>
      </c>
      <c r="F94" s="47" t="s">
        <v>80</v>
      </c>
      <c r="G94" s="121" t="str">
        <f t="shared" si="1"/>
        <v>S   Гр  </v>
      </c>
      <c r="H94" s="128" t="s">
        <v>1</v>
      </c>
      <c r="I94" s="112"/>
      <c r="J94" s="112"/>
      <c r="K94" s="112"/>
      <c r="L94" s="112"/>
      <c r="M94" s="112"/>
      <c r="N94" s="112"/>
      <c r="O94" s="112"/>
      <c r="P94" s="112"/>
      <c r="Q94" s="114"/>
      <c r="R94" s="114"/>
      <c r="S94" s="114"/>
      <c r="T94" s="114"/>
      <c r="U94" s="114"/>
      <c r="V94" s="114"/>
      <c r="W94" s="114"/>
      <c r="X94" s="114"/>
      <c r="Y94" s="114"/>
    </row>
    <row r="95">
      <c r="A95" s="80" t="s">
        <v>441</v>
      </c>
      <c r="B95" s="43">
        <v>91.0</v>
      </c>
      <c r="C95" s="47" t="s">
        <v>5</v>
      </c>
      <c r="D95" s="47" t="s">
        <v>95</v>
      </c>
      <c r="E95" s="47" t="s">
        <v>209</v>
      </c>
      <c r="F95" s="47" t="s">
        <v>127</v>
      </c>
      <c r="G95" s="121" t="str">
        <f t="shared" si="1"/>
        <v>Шницель MP </v>
      </c>
      <c r="H95" s="128" t="s">
        <v>1</v>
      </c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78"/>
    </row>
    <row r="96">
      <c r="A96" s="19"/>
      <c r="B96" s="19"/>
      <c r="C96" s="19"/>
      <c r="D96" s="19"/>
      <c r="E96" s="19"/>
      <c r="F96" s="19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78"/>
    </row>
    <row r="97">
      <c r="A97" s="19"/>
      <c r="B97" s="19"/>
      <c r="C97" s="19"/>
      <c r="D97" s="19"/>
      <c r="E97" s="19"/>
      <c r="F97" s="19"/>
      <c r="G97" s="19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78"/>
    </row>
    <row r="98">
      <c r="A98" s="19"/>
      <c r="B98" s="19"/>
      <c r="C98" s="19"/>
      <c r="D98" s="19"/>
      <c r="E98" s="19"/>
      <c r="F98" s="19"/>
      <c r="G98" s="19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78"/>
    </row>
    <row r="99">
      <c r="A99" s="19"/>
      <c r="B99" s="19"/>
      <c r="C99" s="19"/>
      <c r="D99" s="19"/>
      <c r="E99" s="19"/>
      <c r="F99" s="19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78"/>
    </row>
    <row r="100">
      <c r="A100" s="19"/>
      <c r="B100" s="19"/>
      <c r="C100" s="19"/>
      <c r="D100" s="19"/>
      <c r="E100" s="19"/>
      <c r="F100" s="19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78"/>
    </row>
    <row r="101">
      <c r="A101" s="19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78"/>
    </row>
    <row r="102">
      <c r="A102" s="80" t="s">
        <v>330</v>
      </c>
      <c r="B102" s="106" t="s">
        <v>331</v>
      </c>
      <c r="C102" s="47" t="s">
        <v>23</v>
      </c>
      <c r="D102" s="47" t="s">
        <v>117</v>
      </c>
      <c r="E102" s="47" t="s">
        <v>173</v>
      </c>
      <c r="F102" s="47" t="s">
        <v>276</v>
      </c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78"/>
    </row>
    <row r="103">
      <c r="A103" s="19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78"/>
    </row>
    <row r="104">
      <c r="A104" s="150" t="s">
        <v>332</v>
      </c>
      <c r="B104" s="106" t="s">
        <v>333</v>
      </c>
      <c r="C104" s="47" t="s">
        <v>55</v>
      </c>
      <c r="D104" s="47" t="s">
        <v>85</v>
      </c>
      <c r="E104" s="47" t="s">
        <v>79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78"/>
    </row>
    <row r="105">
      <c r="A105" s="80" t="s">
        <v>360</v>
      </c>
      <c r="B105" s="156" t="s">
        <v>617</v>
      </c>
      <c r="C105" s="47" t="s">
        <v>62</v>
      </c>
      <c r="D105" s="47" t="s">
        <v>105</v>
      </c>
      <c r="E105" s="47" t="s">
        <v>209</v>
      </c>
      <c r="F105" s="47" t="s">
        <v>276</v>
      </c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78"/>
    </row>
    <row r="106">
      <c r="A106" s="55" t="s">
        <v>375</v>
      </c>
      <c r="B106" s="157" t="s">
        <v>547</v>
      </c>
      <c r="C106" s="47" t="s">
        <v>62</v>
      </c>
      <c r="D106" s="47" t="s">
        <v>105</v>
      </c>
      <c r="E106" s="47" t="s">
        <v>79</v>
      </c>
      <c r="F106" s="178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78"/>
    </row>
    <row r="107">
      <c r="A107" s="80" t="s">
        <v>390</v>
      </c>
      <c r="B107" s="156" t="s">
        <v>618</v>
      </c>
      <c r="C107" s="47" t="s">
        <v>32</v>
      </c>
      <c r="D107" s="47" t="s">
        <v>117</v>
      </c>
      <c r="E107" s="47" t="s">
        <v>126</v>
      </c>
      <c r="F107" s="47" t="s">
        <v>80</v>
      </c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78"/>
    </row>
    <row r="108">
      <c r="A108" s="80" t="s">
        <v>619</v>
      </c>
      <c r="B108" s="156" t="s">
        <v>618</v>
      </c>
      <c r="C108" s="47" t="s">
        <v>16</v>
      </c>
      <c r="D108" s="129" t="s">
        <v>87</v>
      </c>
      <c r="E108" s="47" t="s">
        <v>126</v>
      </c>
      <c r="F108" s="47" t="s">
        <v>80</v>
      </c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78"/>
    </row>
    <row r="109">
      <c r="A109" s="178"/>
      <c r="B109" s="179"/>
      <c r="C109" s="178"/>
      <c r="D109" s="178"/>
      <c r="E109" s="178"/>
      <c r="F109" s="178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78"/>
    </row>
    <row r="110">
      <c r="A110" s="178"/>
      <c r="B110" s="179"/>
      <c r="C110" s="178"/>
      <c r="D110" s="178"/>
      <c r="E110" s="178"/>
      <c r="F110" s="178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78"/>
    </row>
    <row r="111">
      <c r="A111" s="178"/>
      <c r="B111" s="179"/>
      <c r="C111" s="178"/>
      <c r="D111" s="178"/>
      <c r="E111" s="178"/>
      <c r="F111" s="178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78"/>
    </row>
    <row r="112">
      <c r="A112" s="178"/>
      <c r="B112" s="179"/>
      <c r="C112" s="178"/>
      <c r="D112" s="178"/>
      <c r="E112" s="178"/>
      <c r="F112" s="178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78"/>
    </row>
    <row r="113">
      <c r="A113" s="178"/>
      <c r="B113" s="179"/>
      <c r="C113" s="178"/>
      <c r="D113" s="178"/>
      <c r="E113" s="178"/>
      <c r="F113" s="178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78"/>
    </row>
    <row r="114">
      <c r="A114" s="178"/>
      <c r="B114" s="179"/>
      <c r="C114" s="178"/>
      <c r="D114" s="178"/>
      <c r="E114" s="178"/>
      <c r="F114" s="178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78"/>
    </row>
    <row r="115">
      <c r="A115" s="178"/>
      <c r="B115" s="179"/>
      <c r="C115" s="178"/>
      <c r="D115" s="178"/>
      <c r="E115" s="178"/>
      <c r="F115" s="178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78"/>
    </row>
    <row r="116">
      <c r="A116" s="178"/>
      <c r="B116" s="179"/>
      <c r="C116" s="178"/>
      <c r="D116" s="178"/>
      <c r="E116" s="178"/>
      <c r="F116" s="178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78"/>
    </row>
    <row r="117">
      <c r="A117" s="178"/>
      <c r="B117" s="179"/>
      <c r="C117" s="178"/>
      <c r="D117" s="178"/>
      <c r="E117" s="178"/>
      <c r="F117" s="178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78"/>
    </row>
    <row r="118">
      <c r="A118" s="178"/>
      <c r="B118" s="179"/>
      <c r="C118" s="178"/>
      <c r="D118" s="178"/>
      <c r="E118" s="178"/>
      <c r="F118" s="178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78"/>
    </row>
    <row r="119">
      <c r="A119" s="178"/>
      <c r="B119" s="179"/>
      <c r="C119" s="178"/>
      <c r="D119" s="178"/>
      <c r="E119" s="178"/>
      <c r="F119" s="178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78"/>
    </row>
    <row r="120">
      <c r="A120" s="178"/>
      <c r="B120" s="179"/>
      <c r="C120" s="178"/>
      <c r="D120" s="178"/>
      <c r="E120" s="178"/>
      <c r="F120" s="178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78"/>
    </row>
    <row r="121">
      <c r="A121" s="178"/>
      <c r="B121" s="179"/>
      <c r="C121" s="178"/>
      <c r="D121" s="178"/>
      <c r="E121" s="178"/>
      <c r="F121" s="178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78"/>
    </row>
    <row r="122">
      <c r="A122" s="178"/>
      <c r="B122" s="179"/>
      <c r="C122" s="178"/>
      <c r="D122" s="178"/>
      <c r="E122" s="178"/>
      <c r="F122" s="178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78"/>
    </row>
    <row r="123">
      <c r="A123" s="178"/>
      <c r="B123" s="179"/>
      <c r="C123" s="178"/>
      <c r="D123" s="178"/>
      <c r="E123" s="178"/>
      <c r="F123" s="178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78"/>
    </row>
    <row r="124">
      <c r="A124" s="178"/>
      <c r="B124" s="179"/>
      <c r="C124" s="178"/>
      <c r="D124" s="178"/>
      <c r="E124" s="178"/>
      <c r="F124" s="178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78"/>
    </row>
    <row r="125">
      <c r="A125" s="178"/>
      <c r="B125" s="179"/>
      <c r="C125" s="178"/>
      <c r="D125" s="178"/>
      <c r="E125" s="178"/>
      <c r="F125" s="178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78"/>
    </row>
    <row r="126">
      <c r="A126" s="178"/>
      <c r="B126" s="179"/>
      <c r="C126" s="178"/>
      <c r="D126" s="178"/>
      <c r="E126" s="178"/>
      <c r="F126" s="178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78"/>
    </row>
    <row r="127">
      <c r="A127" s="178"/>
      <c r="B127" s="179"/>
      <c r="C127" s="178"/>
      <c r="D127" s="178"/>
      <c r="E127" s="178"/>
      <c r="F127" s="178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78"/>
    </row>
    <row r="128">
      <c r="A128" s="178"/>
      <c r="B128" s="179"/>
      <c r="C128" s="178"/>
      <c r="D128" s="178"/>
      <c r="E128" s="178"/>
      <c r="F128" s="178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78"/>
    </row>
    <row r="129">
      <c r="A129" s="178"/>
      <c r="B129" s="179"/>
      <c r="C129" s="178"/>
      <c r="D129" s="178"/>
      <c r="E129" s="178"/>
      <c r="F129" s="178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78"/>
    </row>
    <row r="130">
      <c r="A130" s="178"/>
      <c r="B130" s="179"/>
      <c r="C130" s="178"/>
      <c r="D130" s="178"/>
      <c r="E130" s="178"/>
      <c r="F130" s="178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78"/>
    </row>
    <row r="131">
      <c r="A131" s="178"/>
      <c r="B131" s="179"/>
      <c r="C131" s="178"/>
      <c r="D131" s="178"/>
      <c r="E131" s="178"/>
      <c r="F131" s="178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78"/>
    </row>
    <row r="132">
      <c r="A132" s="178"/>
      <c r="B132" s="179"/>
      <c r="C132" s="178"/>
      <c r="D132" s="178"/>
      <c r="E132" s="178"/>
      <c r="F132" s="178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78"/>
    </row>
    <row r="133">
      <c r="A133" s="178"/>
      <c r="B133" s="179"/>
      <c r="C133" s="178"/>
      <c r="D133" s="178"/>
      <c r="E133" s="178"/>
      <c r="F133" s="178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78"/>
    </row>
    <row r="134">
      <c r="A134" s="178"/>
      <c r="B134" s="179"/>
      <c r="C134" s="178"/>
      <c r="D134" s="178"/>
      <c r="E134" s="178"/>
      <c r="F134" s="178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78"/>
    </row>
    <row r="135">
      <c r="A135" s="178"/>
      <c r="B135" s="179"/>
      <c r="C135" s="178"/>
      <c r="D135" s="178"/>
      <c r="E135" s="178"/>
      <c r="F135" s="178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78"/>
    </row>
    <row r="136">
      <c r="A136" s="178"/>
      <c r="B136" s="179"/>
      <c r="C136" s="178"/>
      <c r="D136" s="178"/>
      <c r="E136" s="178"/>
      <c r="F136" s="178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78"/>
    </row>
    <row r="137">
      <c r="A137" s="178"/>
      <c r="B137" s="179"/>
      <c r="C137" s="178"/>
      <c r="D137" s="178"/>
      <c r="E137" s="178"/>
      <c r="F137" s="178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78"/>
    </row>
    <row r="138">
      <c r="A138" s="178"/>
      <c r="B138" s="179"/>
      <c r="C138" s="178"/>
      <c r="D138" s="178"/>
      <c r="E138" s="178"/>
      <c r="F138" s="178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78"/>
    </row>
    <row r="139">
      <c r="A139" s="178"/>
      <c r="B139" s="179"/>
      <c r="C139" s="178"/>
      <c r="D139" s="178"/>
      <c r="E139" s="178"/>
      <c r="F139" s="178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78"/>
    </row>
    <row r="140">
      <c r="A140" s="178"/>
      <c r="B140" s="179"/>
      <c r="C140" s="178"/>
      <c r="D140" s="178"/>
      <c r="E140" s="178"/>
      <c r="F140" s="178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78"/>
    </row>
    <row r="141">
      <c r="A141" s="178"/>
      <c r="B141" s="179"/>
      <c r="C141" s="178"/>
      <c r="D141" s="178"/>
      <c r="E141" s="178"/>
      <c r="F141" s="178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78"/>
    </row>
    <row r="142">
      <c r="A142" s="178"/>
      <c r="B142" s="179"/>
      <c r="C142" s="178"/>
      <c r="D142" s="178"/>
      <c r="E142" s="178"/>
      <c r="F142" s="178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78"/>
    </row>
    <row r="143">
      <c r="A143" s="178"/>
      <c r="B143" s="179"/>
      <c r="C143" s="178"/>
      <c r="D143" s="178"/>
      <c r="E143" s="178"/>
      <c r="F143" s="178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78"/>
    </row>
    <row r="144">
      <c r="A144" s="178"/>
      <c r="B144" s="179"/>
      <c r="C144" s="178"/>
      <c r="D144" s="178"/>
      <c r="E144" s="178"/>
      <c r="F144" s="178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78"/>
    </row>
    <row r="145">
      <c r="A145" s="178"/>
      <c r="B145" s="179"/>
      <c r="C145" s="178"/>
      <c r="D145" s="178"/>
      <c r="E145" s="178"/>
      <c r="F145" s="178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78"/>
    </row>
    <row r="146">
      <c r="A146" s="178"/>
      <c r="B146" s="179"/>
      <c r="C146" s="178"/>
      <c r="D146" s="178"/>
      <c r="E146" s="178"/>
      <c r="F146" s="178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78"/>
    </row>
    <row r="147">
      <c r="A147" s="178"/>
      <c r="B147" s="179"/>
      <c r="C147" s="178"/>
      <c r="D147" s="178"/>
      <c r="E147" s="178"/>
      <c r="F147" s="178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78"/>
    </row>
    <row r="148">
      <c r="A148" s="178"/>
      <c r="B148" s="179"/>
      <c r="C148" s="178"/>
      <c r="D148" s="178"/>
      <c r="E148" s="178"/>
      <c r="F148" s="178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78"/>
    </row>
    <row r="149">
      <c r="A149" s="178"/>
      <c r="B149" s="179"/>
      <c r="C149" s="178"/>
      <c r="D149" s="178"/>
      <c r="E149" s="178"/>
      <c r="F149" s="178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78"/>
    </row>
    <row r="150">
      <c r="A150" s="178"/>
      <c r="B150" s="179"/>
      <c r="C150" s="178"/>
      <c r="D150" s="178"/>
      <c r="E150" s="178"/>
      <c r="F150" s="178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78"/>
    </row>
    <row r="151">
      <c r="A151" s="178"/>
      <c r="B151" s="179"/>
      <c r="C151" s="178"/>
      <c r="D151" s="178"/>
      <c r="E151" s="178"/>
      <c r="F151" s="178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78"/>
    </row>
    <row r="152">
      <c r="A152" s="178"/>
      <c r="B152" s="179"/>
      <c r="C152" s="178"/>
      <c r="D152" s="178"/>
      <c r="E152" s="178"/>
      <c r="F152" s="178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78"/>
    </row>
    <row r="153">
      <c r="A153" s="178"/>
      <c r="B153" s="179"/>
      <c r="C153" s="178"/>
      <c r="D153" s="178"/>
      <c r="E153" s="178"/>
      <c r="F153" s="178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78"/>
    </row>
    <row r="154">
      <c r="A154" s="178"/>
      <c r="B154" s="179"/>
      <c r="C154" s="178"/>
      <c r="D154" s="178"/>
      <c r="E154" s="178"/>
      <c r="F154" s="178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78"/>
    </row>
    <row r="155">
      <c r="A155" s="178"/>
      <c r="B155" s="179"/>
      <c r="C155" s="178"/>
      <c r="D155" s="178"/>
      <c r="E155" s="178"/>
      <c r="F155" s="178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78"/>
    </row>
    <row r="156">
      <c r="A156" s="178"/>
      <c r="B156" s="179"/>
      <c r="C156" s="178"/>
      <c r="D156" s="178"/>
      <c r="E156" s="178"/>
      <c r="F156" s="178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78"/>
    </row>
    <row r="157">
      <c r="A157" s="178"/>
      <c r="B157" s="179"/>
      <c r="C157" s="178"/>
      <c r="D157" s="178"/>
      <c r="E157" s="178"/>
      <c r="F157" s="178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78"/>
    </row>
    <row r="158">
      <c r="A158" s="178"/>
      <c r="B158" s="179"/>
      <c r="C158" s="178"/>
      <c r="D158" s="178"/>
      <c r="E158" s="178"/>
      <c r="F158" s="178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78"/>
    </row>
    <row r="159">
      <c r="A159" s="178"/>
      <c r="B159" s="179"/>
      <c r="C159" s="178"/>
      <c r="D159" s="178"/>
      <c r="E159" s="178"/>
      <c r="F159" s="178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78"/>
    </row>
    <row r="160">
      <c r="A160" s="178"/>
      <c r="B160" s="179"/>
      <c r="C160" s="178"/>
      <c r="D160" s="178"/>
      <c r="E160" s="178"/>
      <c r="F160" s="178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78"/>
    </row>
    <row r="161">
      <c r="A161" s="178"/>
      <c r="B161" s="179"/>
      <c r="C161" s="178"/>
      <c r="D161" s="178"/>
      <c r="E161" s="178"/>
      <c r="F161" s="178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78"/>
    </row>
    <row r="162">
      <c r="A162" s="178"/>
      <c r="B162" s="179"/>
      <c r="C162" s="178"/>
      <c r="D162" s="178"/>
      <c r="E162" s="178"/>
      <c r="F162" s="178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78"/>
    </row>
    <row r="163">
      <c r="A163" s="178"/>
      <c r="B163" s="179"/>
      <c r="C163" s="178"/>
      <c r="D163" s="178"/>
      <c r="E163" s="178"/>
      <c r="F163" s="178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78"/>
    </row>
    <row r="164">
      <c r="A164" s="178"/>
      <c r="B164" s="179"/>
      <c r="C164" s="178"/>
      <c r="D164" s="178"/>
      <c r="E164" s="178"/>
      <c r="F164" s="178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78"/>
    </row>
    <row r="165">
      <c r="A165" s="178"/>
      <c r="B165" s="179"/>
      <c r="C165" s="178"/>
      <c r="D165" s="178"/>
      <c r="E165" s="178"/>
      <c r="F165" s="178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78"/>
    </row>
    <row r="166">
      <c r="A166" s="178"/>
      <c r="B166" s="179"/>
      <c r="C166" s="178"/>
      <c r="D166" s="178"/>
      <c r="E166" s="178"/>
      <c r="F166" s="178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78"/>
    </row>
    <row r="167">
      <c r="A167" s="178"/>
      <c r="B167" s="179"/>
      <c r="C167" s="178"/>
      <c r="D167" s="178"/>
      <c r="E167" s="178"/>
      <c r="F167" s="178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78"/>
    </row>
    <row r="168">
      <c r="A168" s="178"/>
      <c r="B168" s="179"/>
      <c r="C168" s="178"/>
      <c r="D168" s="178"/>
      <c r="E168" s="178"/>
      <c r="F168" s="178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78"/>
    </row>
    <row r="169">
      <c r="A169" s="178"/>
      <c r="B169" s="179"/>
      <c r="C169" s="178"/>
      <c r="D169" s="178"/>
      <c r="E169" s="178"/>
      <c r="F169" s="178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78"/>
    </row>
    <row r="170">
      <c r="A170" s="178"/>
      <c r="B170" s="179"/>
      <c r="C170" s="178"/>
      <c r="D170" s="178"/>
      <c r="E170" s="178"/>
      <c r="F170" s="178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78"/>
    </row>
    <row r="171">
      <c r="A171" s="178"/>
      <c r="B171" s="179"/>
      <c r="C171" s="178"/>
      <c r="D171" s="178"/>
      <c r="E171" s="178"/>
      <c r="F171" s="178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78"/>
    </row>
    <row r="172">
      <c r="A172" s="178"/>
      <c r="B172" s="179"/>
      <c r="C172" s="178"/>
      <c r="D172" s="178"/>
      <c r="E172" s="178"/>
      <c r="F172" s="178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78"/>
    </row>
    <row r="173">
      <c r="A173" s="178"/>
      <c r="B173" s="179"/>
      <c r="C173" s="178"/>
      <c r="D173" s="178"/>
      <c r="E173" s="178"/>
      <c r="F173" s="178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78"/>
    </row>
    <row r="174">
      <c r="A174" s="178"/>
      <c r="B174" s="179"/>
      <c r="C174" s="178"/>
      <c r="D174" s="178"/>
      <c r="E174" s="178"/>
      <c r="F174" s="178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78"/>
    </row>
    <row r="175">
      <c r="A175" s="178"/>
      <c r="B175" s="179"/>
      <c r="C175" s="178"/>
      <c r="D175" s="178"/>
      <c r="E175" s="178"/>
      <c r="F175" s="178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78"/>
    </row>
    <row r="176">
      <c r="A176" s="178"/>
      <c r="B176" s="179"/>
      <c r="C176" s="178"/>
      <c r="D176" s="178"/>
      <c r="E176" s="178"/>
      <c r="F176" s="178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78"/>
    </row>
    <row r="177">
      <c r="A177" s="178"/>
      <c r="B177" s="179"/>
      <c r="C177" s="178"/>
      <c r="D177" s="178"/>
      <c r="E177" s="178"/>
      <c r="F177" s="178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78"/>
    </row>
    <row r="178">
      <c r="A178" s="178"/>
      <c r="B178" s="179"/>
      <c r="C178" s="178"/>
      <c r="D178" s="178"/>
      <c r="E178" s="178"/>
      <c r="F178" s="178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78"/>
    </row>
    <row r="179">
      <c r="A179" s="178"/>
      <c r="B179" s="179"/>
      <c r="C179" s="178"/>
      <c r="D179" s="178"/>
      <c r="E179" s="178"/>
      <c r="F179" s="178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78"/>
    </row>
    <row r="180">
      <c r="A180" s="178"/>
      <c r="B180" s="179"/>
      <c r="C180" s="178"/>
      <c r="D180" s="178"/>
      <c r="E180" s="178"/>
      <c r="F180" s="178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78"/>
    </row>
    <row r="181">
      <c r="A181" s="178"/>
      <c r="B181" s="179"/>
      <c r="C181" s="178"/>
      <c r="D181" s="178"/>
      <c r="E181" s="178"/>
      <c r="F181" s="178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78"/>
    </row>
    <row r="182">
      <c r="A182" s="178"/>
      <c r="B182" s="179"/>
      <c r="C182" s="178"/>
      <c r="D182" s="178"/>
      <c r="E182" s="178"/>
      <c r="F182" s="178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78"/>
    </row>
    <row r="183">
      <c r="A183" s="178"/>
      <c r="B183" s="179"/>
      <c r="C183" s="178"/>
      <c r="D183" s="178"/>
      <c r="E183" s="178"/>
      <c r="F183" s="178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78"/>
    </row>
    <row r="184">
      <c r="A184" s="178"/>
      <c r="B184" s="179"/>
      <c r="C184" s="178"/>
      <c r="D184" s="178"/>
      <c r="E184" s="178"/>
      <c r="F184" s="178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78"/>
    </row>
    <row r="185">
      <c r="A185" s="178"/>
      <c r="B185" s="179"/>
      <c r="C185" s="178"/>
      <c r="D185" s="178"/>
      <c r="E185" s="178"/>
      <c r="F185" s="178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78"/>
    </row>
    <row r="186">
      <c r="A186" s="178"/>
      <c r="B186" s="179"/>
      <c r="C186" s="178"/>
      <c r="D186" s="178"/>
      <c r="E186" s="178"/>
      <c r="F186" s="178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78"/>
    </row>
    <row r="187">
      <c r="A187" s="178"/>
      <c r="B187" s="179"/>
      <c r="C187" s="178"/>
      <c r="D187" s="178"/>
      <c r="E187" s="178"/>
      <c r="F187" s="178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78"/>
    </row>
    <row r="188">
      <c r="A188" s="178"/>
      <c r="B188" s="179"/>
      <c r="C188" s="178"/>
      <c r="D188" s="178"/>
      <c r="E188" s="178"/>
      <c r="F188" s="178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78"/>
    </row>
    <row r="189">
      <c r="A189" s="178"/>
      <c r="B189" s="179"/>
      <c r="C189" s="178"/>
      <c r="D189" s="178"/>
      <c r="E189" s="178"/>
      <c r="F189" s="178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78"/>
    </row>
    <row r="190">
      <c r="A190" s="178"/>
      <c r="B190" s="179"/>
      <c r="C190" s="178"/>
      <c r="D190" s="178"/>
      <c r="E190" s="178"/>
      <c r="F190" s="178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78"/>
    </row>
    <row r="191">
      <c r="A191" s="178"/>
      <c r="B191" s="179"/>
      <c r="C191" s="178"/>
      <c r="D191" s="178"/>
      <c r="E191" s="178"/>
      <c r="F191" s="178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78"/>
    </row>
    <row r="192">
      <c r="A192" s="178"/>
      <c r="B192" s="179"/>
      <c r="C192" s="178"/>
      <c r="D192" s="178"/>
      <c r="E192" s="178"/>
      <c r="F192" s="178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78"/>
    </row>
    <row r="193">
      <c r="A193" s="178"/>
      <c r="B193" s="179"/>
      <c r="C193" s="178"/>
      <c r="D193" s="178"/>
      <c r="E193" s="178"/>
      <c r="F193" s="178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78"/>
    </row>
    <row r="194">
      <c r="A194" s="178"/>
      <c r="B194" s="179"/>
      <c r="C194" s="178"/>
      <c r="D194" s="178"/>
      <c r="E194" s="178"/>
      <c r="F194" s="178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78"/>
    </row>
    <row r="195">
      <c r="A195" s="178"/>
      <c r="B195" s="179"/>
      <c r="C195" s="178"/>
      <c r="D195" s="178"/>
      <c r="E195" s="178"/>
      <c r="F195" s="178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78"/>
    </row>
    <row r="196">
      <c r="A196" s="178"/>
      <c r="B196" s="179"/>
      <c r="C196" s="178"/>
      <c r="D196" s="178"/>
      <c r="E196" s="178"/>
      <c r="F196" s="178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78"/>
    </row>
    <row r="197">
      <c r="A197" s="178"/>
      <c r="B197" s="179"/>
      <c r="C197" s="178"/>
      <c r="D197" s="178"/>
      <c r="E197" s="178"/>
      <c r="F197" s="178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78"/>
    </row>
    <row r="198">
      <c r="A198" s="178"/>
      <c r="B198" s="179"/>
      <c r="C198" s="178"/>
      <c r="D198" s="178"/>
      <c r="E198" s="178"/>
      <c r="F198" s="178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78"/>
    </row>
    <row r="199">
      <c r="A199" s="178"/>
      <c r="B199" s="179"/>
      <c r="C199" s="178"/>
      <c r="D199" s="178"/>
      <c r="E199" s="178"/>
      <c r="F199" s="178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78"/>
    </row>
    <row r="200">
      <c r="A200" s="178"/>
      <c r="B200" s="179"/>
      <c r="C200" s="178"/>
      <c r="D200" s="178"/>
      <c r="E200" s="178"/>
      <c r="F200" s="178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78"/>
    </row>
    <row r="201">
      <c r="A201" s="178"/>
      <c r="B201" s="179"/>
      <c r="C201" s="178"/>
      <c r="D201" s="178"/>
      <c r="E201" s="178"/>
      <c r="F201" s="178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78"/>
    </row>
    <row r="202">
      <c r="A202" s="178"/>
      <c r="B202" s="179"/>
      <c r="C202" s="178"/>
      <c r="D202" s="178"/>
      <c r="E202" s="178"/>
      <c r="F202" s="178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78"/>
    </row>
    <row r="203">
      <c r="A203" s="178"/>
      <c r="B203" s="179"/>
      <c r="C203" s="178"/>
      <c r="D203" s="178"/>
      <c r="E203" s="178"/>
      <c r="F203" s="178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78"/>
    </row>
    <row r="204">
      <c r="A204" s="178"/>
      <c r="B204" s="179"/>
      <c r="C204" s="178"/>
      <c r="D204" s="178"/>
      <c r="E204" s="178"/>
      <c r="F204" s="178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78"/>
    </row>
    <row r="205">
      <c r="A205" s="178"/>
      <c r="B205" s="179"/>
      <c r="C205" s="178"/>
      <c r="D205" s="178"/>
      <c r="E205" s="178"/>
      <c r="F205" s="178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78"/>
    </row>
    <row r="206">
      <c r="A206" s="178"/>
      <c r="B206" s="179"/>
      <c r="C206" s="178"/>
      <c r="D206" s="178"/>
      <c r="E206" s="178"/>
      <c r="F206" s="178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78"/>
    </row>
    <row r="207">
      <c r="A207" s="178"/>
      <c r="B207" s="179"/>
      <c r="C207" s="178"/>
      <c r="D207" s="178"/>
      <c r="E207" s="178"/>
      <c r="F207" s="178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78"/>
    </row>
    <row r="208">
      <c r="A208" s="178"/>
      <c r="B208" s="179"/>
      <c r="C208" s="178"/>
      <c r="D208" s="178"/>
      <c r="E208" s="178"/>
      <c r="F208" s="178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78"/>
    </row>
    <row r="209">
      <c r="A209" s="178"/>
      <c r="B209" s="179"/>
      <c r="C209" s="178"/>
      <c r="D209" s="178"/>
      <c r="E209" s="178"/>
      <c r="F209" s="178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78"/>
    </row>
    <row r="210">
      <c r="A210" s="178"/>
      <c r="B210" s="179"/>
      <c r="C210" s="178"/>
      <c r="D210" s="178"/>
      <c r="E210" s="178"/>
      <c r="F210" s="178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78"/>
    </row>
    <row r="211">
      <c r="A211" s="178"/>
      <c r="B211" s="179"/>
      <c r="C211" s="178"/>
      <c r="D211" s="178"/>
      <c r="E211" s="178"/>
      <c r="F211" s="178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78"/>
    </row>
    <row r="212">
      <c r="A212" s="178"/>
      <c r="B212" s="179"/>
      <c r="C212" s="178"/>
      <c r="D212" s="178"/>
      <c r="E212" s="178"/>
      <c r="F212" s="178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78"/>
    </row>
    <row r="213">
      <c r="A213" s="178"/>
      <c r="B213" s="179"/>
      <c r="C213" s="178"/>
      <c r="D213" s="178"/>
      <c r="E213" s="178"/>
      <c r="F213" s="178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78"/>
    </row>
    <row r="214">
      <c r="A214" s="178"/>
      <c r="B214" s="179"/>
      <c r="C214" s="178"/>
      <c r="D214" s="178"/>
      <c r="E214" s="178"/>
      <c r="F214" s="178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78"/>
    </row>
    <row r="215">
      <c r="A215" s="178"/>
      <c r="B215" s="179"/>
      <c r="C215" s="178"/>
      <c r="D215" s="178"/>
      <c r="E215" s="178"/>
      <c r="F215" s="178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78"/>
    </row>
    <row r="216">
      <c r="A216" s="178"/>
      <c r="B216" s="179"/>
      <c r="C216" s="178"/>
      <c r="D216" s="178"/>
      <c r="E216" s="178"/>
      <c r="F216" s="178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78"/>
    </row>
    <row r="217">
      <c r="A217" s="178"/>
      <c r="B217" s="179"/>
      <c r="C217" s="178"/>
      <c r="D217" s="178"/>
      <c r="E217" s="178"/>
      <c r="F217" s="178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78"/>
    </row>
    <row r="218">
      <c r="A218" s="178"/>
      <c r="B218" s="179"/>
      <c r="C218" s="178"/>
      <c r="D218" s="178"/>
      <c r="E218" s="178"/>
      <c r="F218" s="178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78"/>
    </row>
    <row r="219">
      <c r="A219" s="178"/>
      <c r="B219" s="179"/>
      <c r="C219" s="178"/>
      <c r="D219" s="178"/>
      <c r="E219" s="178"/>
      <c r="F219" s="178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78"/>
    </row>
    <row r="220">
      <c r="A220" s="178"/>
      <c r="B220" s="179"/>
      <c r="C220" s="178"/>
      <c r="D220" s="178"/>
      <c r="E220" s="178"/>
      <c r="F220" s="178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78"/>
    </row>
    <row r="221">
      <c r="A221" s="178"/>
      <c r="B221" s="179"/>
      <c r="C221" s="178"/>
      <c r="D221" s="178"/>
      <c r="E221" s="178"/>
      <c r="F221" s="178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78"/>
    </row>
    <row r="222">
      <c r="A222" s="178"/>
      <c r="B222" s="179"/>
      <c r="C222" s="178"/>
      <c r="D222" s="178"/>
      <c r="E222" s="178"/>
      <c r="F222" s="178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78"/>
    </row>
    <row r="223">
      <c r="A223" s="178"/>
      <c r="B223" s="179"/>
      <c r="C223" s="178"/>
      <c r="D223" s="178"/>
      <c r="E223" s="178"/>
      <c r="F223" s="178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78"/>
    </row>
    <row r="224">
      <c r="A224" s="178"/>
      <c r="B224" s="179"/>
      <c r="C224" s="178"/>
      <c r="D224" s="178"/>
      <c r="E224" s="178"/>
      <c r="F224" s="178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78"/>
    </row>
    <row r="225">
      <c r="A225" s="178"/>
      <c r="B225" s="179"/>
      <c r="C225" s="178"/>
      <c r="D225" s="178"/>
      <c r="E225" s="178"/>
      <c r="F225" s="178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78"/>
    </row>
    <row r="226">
      <c r="A226" s="178"/>
      <c r="B226" s="179"/>
      <c r="C226" s="178"/>
      <c r="D226" s="178"/>
      <c r="E226" s="178"/>
      <c r="F226" s="178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78"/>
    </row>
    <row r="227">
      <c r="A227" s="178"/>
      <c r="B227" s="179"/>
      <c r="C227" s="178"/>
      <c r="D227" s="178"/>
      <c r="E227" s="178"/>
      <c r="F227" s="178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78"/>
    </row>
    <row r="228">
      <c r="A228" s="178"/>
      <c r="B228" s="179"/>
      <c r="C228" s="178"/>
      <c r="D228" s="178"/>
      <c r="E228" s="178"/>
      <c r="F228" s="178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78"/>
    </row>
    <row r="229">
      <c r="A229" s="178"/>
      <c r="B229" s="179"/>
      <c r="C229" s="178"/>
      <c r="D229" s="178"/>
      <c r="E229" s="178"/>
      <c r="F229" s="178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78"/>
    </row>
    <row r="230">
      <c r="A230" s="178"/>
      <c r="B230" s="179"/>
      <c r="C230" s="178"/>
      <c r="D230" s="178"/>
      <c r="E230" s="178"/>
      <c r="F230" s="178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78"/>
    </row>
    <row r="231">
      <c r="A231" s="178"/>
      <c r="B231" s="179"/>
      <c r="C231" s="178"/>
      <c r="D231" s="178"/>
      <c r="E231" s="178"/>
      <c r="F231" s="178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78"/>
    </row>
    <row r="232">
      <c r="A232" s="178"/>
      <c r="B232" s="179"/>
      <c r="C232" s="178"/>
      <c r="D232" s="178"/>
      <c r="E232" s="178"/>
      <c r="F232" s="178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78"/>
    </row>
    <row r="233">
      <c r="A233" s="178"/>
      <c r="B233" s="179"/>
      <c r="C233" s="178"/>
      <c r="D233" s="178"/>
      <c r="E233" s="178"/>
      <c r="F233" s="178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78"/>
    </row>
    <row r="234">
      <c r="A234" s="178"/>
      <c r="B234" s="179"/>
      <c r="C234" s="178"/>
      <c r="D234" s="178"/>
      <c r="E234" s="178"/>
      <c r="F234" s="178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78"/>
    </row>
    <row r="235">
      <c r="A235" s="178"/>
      <c r="B235" s="179"/>
      <c r="C235" s="178"/>
      <c r="D235" s="178"/>
      <c r="E235" s="178"/>
      <c r="F235" s="178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78"/>
    </row>
    <row r="236">
      <c r="A236" s="178"/>
      <c r="B236" s="179"/>
      <c r="C236" s="178"/>
      <c r="D236" s="178"/>
      <c r="E236" s="178"/>
      <c r="F236" s="178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78"/>
    </row>
    <row r="237">
      <c r="A237" s="178"/>
      <c r="B237" s="179"/>
      <c r="C237" s="178"/>
      <c r="D237" s="178"/>
      <c r="E237" s="178"/>
      <c r="F237" s="178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78"/>
    </row>
    <row r="238">
      <c r="A238" s="178"/>
      <c r="B238" s="179"/>
      <c r="C238" s="178"/>
      <c r="D238" s="178"/>
      <c r="E238" s="178"/>
      <c r="F238" s="178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78"/>
    </row>
    <row r="239">
      <c r="A239" s="178"/>
      <c r="B239" s="179"/>
      <c r="C239" s="178"/>
      <c r="D239" s="178"/>
      <c r="E239" s="178"/>
      <c r="F239" s="178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78"/>
    </row>
    <row r="240">
      <c r="A240" s="178"/>
      <c r="B240" s="179"/>
      <c r="C240" s="178"/>
      <c r="D240" s="178"/>
      <c r="E240" s="178"/>
      <c r="F240" s="178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78"/>
    </row>
    <row r="241">
      <c r="A241" s="178"/>
      <c r="B241" s="179"/>
      <c r="C241" s="178"/>
      <c r="D241" s="178"/>
      <c r="E241" s="178"/>
      <c r="F241" s="178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78"/>
    </row>
    <row r="242">
      <c r="A242" s="178"/>
      <c r="B242" s="179"/>
      <c r="C242" s="178"/>
      <c r="D242" s="178"/>
      <c r="E242" s="178"/>
      <c r="F242" s="178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78"/>
    </row>
    <row r="243">
      <c r="A243" s="178"/>
      <c r="B243" s="179"/>
      <c r="C243" s="178"/>
      <c r="D243" s="178"/>
      <c r="E243" s="178"/>
      <c r="F243" s="178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78"/>
    </row>
    <row r="244">
      <c r="A244" s="178"/>
      <c r="B244" s="179"/>
      <c r="C244" s="178"/>
      <c r="D244" s="178"/>
      <c r="E244" s="178"/>
      <c r="F244" s="178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78"/>
    </row>
    <row r="245">
      <c r="A245" s="178"/>
      <c r="B245" s="179"/>
      <c r="C245" s="178"/>
      <c r="D245" s="178"/>
      <c r="E245" s="178"/>
      <c r="F245" s="178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78"/>
    </row>
    <row r="246">
      <c r="A246" s="178"/>
      <c r="B246" s="179"/>
      <c r="C246" s="178"/>
      <c r="D246" s="178"/>
      <c r="E246" s="178"/>
      <c r="F246" s="178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78"/>
    </row>
    <row r="247">
      <c r="A247" s="178"/>
      <c r="B247" s="179"/>
      <c r="C247" s="178"/>
      <c r="D247" s="178"/>
      <c r="E247" s="178"/>
      <c r="F247" s="178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78"/>
    </row>
    <row r="248">
      <c r="A248" s="178"/>
      <c r="B248" s="179"/>
      <c r="C248" s="178"/>
      <c r="D248" s="178"/>
      <c r="E248" s="178"/>
      <c r="F248" s="178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78"/>
    </row>
    <row r="249">
      <c r="A249" s="178"/>
      <c r="B249" s="179"/>
      <c r="C249" s="178"/>
      <c r="D249" s="178"/>
      <c r="E249" s="178"/>
      <c r="F249" s="178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78"/>
    </row>
    <row r="250">
      <c r="A250" s="178"/>
      <c r="B250" s="179"/>
      <c r="C250" s="178"/>
      <c r="D250" s="178"/>
      <c r="E250" s="178"/>
      <c r="F250" s="178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78"/>
    </row>
    <row r="251">
      <c r="A251" s="178"/>
      <c r="B251" s="179"/>
      <c r="C251" s="178"/>
      <c r="D251" s="178"/>
      <c r="E251" s="178"/>
      <c r="F251" s="178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78"/>
    </row>
    <row r="252">
      <c r="A252" s="178"/>
      <c r="B252" s="179"/>
      <c r="C252" s="178"/>
      <c r="D252" s="178"/>
      <c r="E252" s="178"/>
      <c r="F252" s="178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78"/>
    </row>
    <row r="253">
      <c r="A253" s="178"/>
      <c r="B253" s="179"/>
      <c r="C253" s="178"/>
      <c r="D253" s="178"/>
      <c r="E253" s="178"/>
      <c r="F253" s="178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78"/>
    </row>
    <row r="254">
      <c r="A254" s="178"/>
      <c r="B254" s="179"/>
      <c r="C254" s="178"/>
      <c r="D254" s="178"/>
      <c r="E254" s="178"/>
      <c r="F254" s="178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78"/>
    </row>
    <row r="255">
      <c r="A255" s="178"/>
      <c r="B255" s="179"/>
      <c r="C255" s="178"/>
      <c r="D255" s="178"/>
      <c r="E255" s="178"/>
      <c r="F255" s="178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78"/>
    </row>
    <row r="256">
      <c r="A256" s="178"/>
      <c r="B256" s="179"/>
      <c r="C256" s="178"/>
      <c r="D256" s="178"/>
      <c r="E256" s="178"/>
      <c r="F256" s="178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78"/>
    </row>
    <row r="257">
      <c r="A257" s="178"/>
      <c r="B257" s="179"/>
      <c r="C257" s="178"/>
      <c r="D257" s="178"/>
      <c r="E257" s="178"/>
      <c r="F257" s="178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78"/>
    </row>
    <row r="258">
      <c r="A258" s="178"/>
      <c r="B258" s="179"/>
      <c r="C258" s="178"/>
      <c r="D258" s="178"/>
      <c r="E258" s="178"/>
      <c r="F258" s="178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78"/>
    </row>
    <row r="259">
      <c r="A259" s="178"/>
      <c r="B259" s="179"/>
      <c r="C259" s="178"/>
      <c r="D259" s="178"/>
      <c r="E259" s="178"/>
      <c r="F259" s="178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78"/>
    </row>
    <row r="260">
      <c r="A260" s="178"/>
      <c r="B260" s="179"/>
      <c r="C260" s="178"/>
      <c r="D260" s="178"/>
      <c r="E260" s="178"/>
      <c r="F260" s="178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78"/>
    </row>
    <row r="261">
      <c r="A261" s="178"/>
      <c r="B261" s="179"/>
      <c r="C261" s="178"/>
      <c r="D261" s="178"/>
      <c r="E261" s="178"/>
      <c r="F261" s="178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78"/>
    </row>
    <row r="262">
      <c r="A262" s="178"/>
      <c r="B262" s="179"/>
      <c r="C262" s="178"/>
      <c r="D262" s="178"/>
      <c r="E262" s="178"/>
      <c r="F262" s="178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78"/>
    </row>
    <row r="263">
      <c r="A263" s="178"/>
      <c r="B263" s="179"/>
      <c r="C263" s="178"/>
      <c r="D263" s="178"/>
      <c r="E263" s="178"/>
      <c r="F263" s="178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78"/>
    </row>
    <row r="264">
      <c r="A264" s="178"/>
      <c r="B264" s="179"/>
      <c r="C264" s="178"/>
      <c r="D264" s="178"/>
      <c r="E264" s="178"/>
      <c r="F264" s="178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78"/>
    </row>
    <row r="265">
      <c r="A265" s="178"/>
      <c r="B265" s="179"/>
      <c r="C265" s="178"/>
      <c r="D265" s="178"/>
      <c r="E265" s="178"/>
      <c r="F265" s="178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78"/>
    </row>
    <row r="266">
      <c r="A266" s="178"/>
      <c r="B266" s="179"/>
      <c r="C266" s="178"/>
      <c r="D266" s="178"/>
      <c r="E266" s="178"/>
      <c r="F266" s="178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78"/>
    </row>
    <row r="267">
      <c r="A267" s="178"/>
      <c r="B267" s="179"/>
      <c r="C267" s="178"/>
      <c r="D267" s="178"/>
      <c r="E267" s="178"/>
      <c r="F267" s="178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78"/>
    </row>
    <row r="268">
      <c r="A268" s="178"/>
      <c r="B268" s="179"/>
      <c r="C268" s="178"/>
      <c r="D268" s="178"/>
      <c r="E268" s="178"/>
      <c r="F268" s="178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78"/>
    </row>
    <row r="269">
      <c r="A269" s="178"/>
      <c r="B269" s="179"/>
      <c r="C269" s="178"/>
      <c r="D269" s="178"/>
      <c r="E269" s="178"/>
      <c r="F269" s="178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78"/>
    </row>
    <row r="270">
      <c r="A270" s="178"/>
      <c r="B270" s="179"/>
      <c r="C270" s="178"/>
      <c r="D270" s="178"/>
      <c r="E270" s="178"/>
      <c r="F270" s="178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78"/>
    </row>
    <row r="271">
      <c r="A271" s="178"/>
      <c r="B271" s="179"/>
      <c r="C271" s="178"/>
      <c r="D271" s="178"/>
      <c r="E271" s="178"/>
      <c r="F271" s="178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78"/>
    </row>
    <row r="272">
      <c r="A272" s="178"/>
      <c r="B272" s="179"/>
      <c r="C272" s="178"/>
      <c r="D272" s="178"/>
      <c r="E272" s="178"/>
      <c r="F272" s="178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78"/>
    </row>
    <row r="273">
      <c r="A273" s="178"/>
      <c r="B273" s="179"/>
      <c r="C273" s="178"/>
      <c r="D273" s="178"/>
      <c r="E273" s="178"/>
      <c r="F273" s="178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78"/>
    </row>
    <row r="274">
      <c r="A274" s="178"/>
      <c r="B274" s="179"/>
      <c r="C274" s="178"/>
      <c r="D274" s="178"/>
      <c r="E274" s="178"/>
      <c r="F274" s="178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78"/>
    </row>
    <row r="275">
      <c r="A275" s="178"/>
      <c r="B275" s="179"/>
      <c r="C275" s="178"/>
      <c r="D275" s="178"/>
      <c r="E275" s="178"/>
      <c r="F275" s="178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78"/>
    </row>
    <row r="276">
      <c r="A276" s="178"/>
      <c r="B276" s="179"/>
      <c r="C276" s="178"/>
      <c r="D276" s="178"/>
      <c r="E276" s="178"/>
      <c r="F276" s="178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78"/>
    </row>
    <row r="277">
      <c r="A277" s="178"/>
      <c r="B277" s="179"/>
      <c r="C277" s="178"/>
      <c r="D277" s="178"/>
      <c r="E277" s="178"/>
      <c r="F277" s="178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78"/>
    </row>
    <row r="278">
      <c r="A278" s="178"/>
      <c r="B278" s="179"/>
      <c r="C278" s="178"/>
      <c r="D278" s="178"/>
      <c r="E278" s="178"/>
      <c r="F278" s="178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78"/>
    </row>
    <row r="279">
      <c r="A279" s="178"/>
      <c r="B279" s="179"/>
      <c r="C279" s="178"/>
      <c r="D279" s="178"/>
      <c r="E279" s="178"/>
      <c r="F279" s="178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78"/>
    </row>
    <row r="280">
      <c r="A280" s="178"/>
      <c r="B280" s="179"/>
      <c r="C280" s="178"/>
      <c r="D280" s="178"/>
      <c r="E280" s="178"/>
      <c r="F280" s="178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78"/>
    </row>
    <row r="281">
      <c r="A281" s="178"/>
      <c r="B281" s="179"/>
      <c r="C281" s="178"/>
      <c r="D281" s="178"/>
      <c r="E281" s="178"/>
      <c r="F281" s="178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78"/>
    </row>
    <row r="282">
      <c r="A282" s="178"/>
      <c r="B282" s="179"/>
      <c r="C282" s="178"/>
      <c r="D282" s="178"/>
      <c r="E282" s="178"/>
      <c r="F282" s="178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78"/>
    </row>
    <row r="283">
      <c r="A283" s="178"/>
      <c r="B283" s="179"/>
      <c r="C283" s="178"/>
      <c r="D283" s="178"/>
      <c r="E283" s="178"/>
      <c r="F283" s="178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78"/>
    </row>
    <row r="284">
      <c r="A284" s="178"/>
      <c r="B284" s="179"/>
      <c r="C284" s="178"/>
      <c r="D284" s="178"/>
      <c r="E284" s="178"/>
      <c r="F284" s="178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78"/>
    </row>
    <row r="285">
      <c r="A285" s="178"/>
      <c r="B285" s="179"/>
      <c r="C285" s="178"/>
      <c r="D285" s="178"/>
      <c r="E285" s="178"/>
      <c r="F285" s="178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78"/>
    </row>
    <row r="286">
      <c r="A286" s="178"/>
      <c r="B286" s="179"/>
      <c r="C286" s="178"/>
      <c r="D286" s="178"/>
      <c r="E286" s="178"/>
      <c r="F286" s="178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78"/>
    </row>
    <row r="287">
      <c r="A287" s="178"/>
      <c r="B287" s="179"/>
      <c r="C287" s="178"/>
      <c r="D287" s="178"/>
      <c r="E287" s="178"/>
      <c r="F287" s="178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78"/>
    </row>
    <row r="288">
      <c r="A288" s="178"/>
      <c r="B288" s="179"/>
      <c r="C288" s="178"/>
      <c r="D288" s="178"/>
      <c r="E288" s="178"/>
      <c r="F288" s="178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78"/>
    </row>
    <row r="289">
      <c r="A289" s="178"/>
      <c r="B289" s="179"/>
      <c r="C289" s="178"/>
      <c r="D289" s="178"/>
      <c r="E289" s="178"/>
      <c r="F289" s="178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78"/>
    </row>
    <row r="290">
      <c r="A290" s="178"/>
      <c r="B290" s="179"/>
      <c r="C290" s="178"/>
      <c r="D290" s="178"/>
      <c r="E290" s="178"/>
      <c r="F290" s="178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78"/>
    </row>
    <row r="291">
      <c r="A291" s="178"/>
      <c r="B291" s="179"/>
      <c r="C291" s="178"/>
      <c r="D291" s="178"/>
      <c r="E291" s="178"/>
      <c r="F291" s="178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78"/>
    </row>
    <row r="292">
      <c r="A292" s="178"/>
      <c r="B292" s="179"/>
      <c r="C292" s="178"/>
      <c r="D292" s="178"/>
      <c r="E292" s="178"/>
      <c r="F292" s="178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78"/>
    </row>
    <row r="293">
      <c r="A293" s="178"/>
      <c r="B293" s="179"/>
      <c r="C293" s="178"/>
      <c r="D293" s="178"/>
      <c r="E293" s="178"/>
      <c r="F293" s="178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78"/>
    </row>
    <row r="294">
      <c r="A294" s="178"/>
      <c r="B294" s="179"/>
      <c r="C294" s="178"/>
      <c r="D294" s="178"/>
      <c r="E294" s="178"/>
      <c r="F294" s="178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78"/>
    </row>
    <row r="295">
      <c r="A295" s="178"/>
      <c r="B295" s="179"/>
      <c r="C295" s="178"/>
      <c r="D295" s="178"/>
      <c r="E295" s="178"/>
      <c r="F295" s="178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78"/>
    </row>
    <row r="296">
      <c r="A296" s="178"/>
      <c r="B296" s="179"/>
      <c r="C296" s="178"/>
      <c r="D296" s="178"/>
      <c r="E296" s="178"/>
      <c r="F296" s="178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78"/>
    </row>
    <row r="297">
      <c r="A297" s="178"/>
      <c r="B297" s="179"/>
      <c r="C297" s="178"/>
      <c r="D297" s="178"/>
      <c r="E297" s="178"/>
      <c r="F297" s="178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78"/>
    </row>
    <row r="298">
      <c r="A298" s="178"/>
      <c r="B298" s="179"/>
      <c r="C298" s="178"/>
      <c r="D298" s="178"/>
      <c r="E298" s="178"/>
      <c r="F298" s="178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78"/>
    </row>
    <row r="299">
      <c r="A299" s="178"/>
      <c r="B299" s="179"/>
      <c r="C299" s="178"/>
      <c r="D299" s="178"/>
      <c r="E299" s="178"/>
      <c r="F299" s="178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78"/>
    </row>
    <row r="300">
      <c r="A300" s="178"/>
      <c r="B300" s="179"/>
      <c r="C300" s="178"/>
      <c r="D300" s="178"/>
      <c r="E300" s="178"/>
      <c r="F300" s="178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78"/>
    </row>
    <row r="301">
      <c r="A301" s="178"/>
      <c r="B301" s="179"/>
      <c r="C301" s="178"/>
      <c r="D301" s="178"/>
      <c r="E301" s="178"/>
      <c r="F301" s="178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78"/>
    </row>
    <row r="302">
      <c r="A302" s="178"/>
      <c r="B302" s="179"/>
      <c r="C302" s="178"/>
      <c r="D302" s="178"/>
      <c r="E302" s="178"/>
      <c r="F302" s="178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78"/>
    </row>
    <row r="303">
      <c r="A303" s="178"/>
      <c r="B303" s="179"/>
      <c r="C303" s="178"/>
      <c r="D303" s="178"/>
      <c r="E303" s="178"/>
      <c r="F303" s="178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78"/>
    </row>
    <row r="304">
      <c r="A304" s="178"/>
      <c r="B304" s="179"/>
      <c r="C304" s="178"/>
      <c r="D304" s="178"/>
      <c r="E304" s="178"/>
      <c r="F304" s="178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78"/>
    </row>
    <row r="305">
      <c r="A305" s="178"/>
      <c r="B305" s="179"/>
      <c r="C305" s="178"/>
      <c r="D305" s="178"/>
      <c r="E305" s="178"/>
      <c r="F305" s="178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78"/>
    </row>
    <row r="306">
      <c r="A306" s="178"/>
      <c r="B306" s="179"/>
      <c r="C306" s="178"/>
      <c r="D306" s="178"/>
      <c r="E306" s="178"/>
      <c r="F306" s="178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78"/>
    </row>
    <row r="307">
      <c r="A307" s="178"/>
      <c r="B307" s="179"/>
      <c r="C307" s="178"/>
      <c r="D307" s="178"/>
      <c r="E307" s="178"/>
      <c r="F307" s="178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78"/>
    </row>
    <row r="308">
      <c r="A308" s="178"/>
      <c r="B308" s="179"/>
      <c r="C308" s="178"/>
      <c r="D308" s="178"/>
      <c r="E308" s="178"/>
      <c r="F308" s="178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78"/>
    </row>
    <row r="309">
      <c r="A309" s="178"/>
      <c r="B309" s="179"/>
      <c r="C309" s="178"/>
      <c r="D309" s="178"/>
      <c r="E309" s="178"/>
      <c r="F309" s="178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78"/>
    </row>
    <row r="310">
      <c r="A310" s="178"/>
      <c r="B310" s="179"/>
      <c r="C310" s="178"/>
      <c r="D310" s="178"/>
      <c r="E310" s="178"/>
      <c r="F310" s="178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78"/>
    </row>
    <row r="311">
      <c r="A311" s="178"/>
      <c r="B311" s="179"/>
      <c r="C311" s="178"/>
      <c r="D311" s="178"/>
      <c r="E311" s="178"/>
      <c r="F311" s="178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78"/>
    </row>
    <row r="312">
      <c r="A312" s="178"/>
      <c r="B312" s="179"/>
      <c r="C312" s="178"/>
      <c r="D312" s="178"/>
      <c r="E312" s="178"/>
      <c r="F312" s="178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78"/>
    </row>
    <row r="313">
      <c r="A313" s="178"/>
      <c r="B313" s="179"/>
      <c r="C313" s="178"/>
      <c r="D313" s="178"/>
      <c r="E313" s="178"/>
      <c r="F313" s="178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78"/>
    </row>
    <row r="314">
      <c r="A314" s="178"/>
      <c r="B314" s="179"/>
      <c r="C314" s="178"/>
      <c r="D314" s="178"/>
      <c r="E314" s="178"/>
      <c r="F314" s="178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78"/>
    </row>
    <row r="315">
      <c r="A315" s="178"/>
      <c r="B315" s="179"/>
      <c r="C315" s="178"/>
      <c r="D315" s="178"/>
      <c r="E315" s="178"/>
      <c r="F315" s="178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78"/>
    </row>
    <row r="316">
      <c r="A316" s="178"/>
      <c r="B316" s="179"/>
      <c r="C316" s="178"/>
      <c r="D316" s="178"/>
      <c r="E316" s="178"/>
      <c r="F316" s="178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78"/>
    </row>
    <row r="317">
      <c r="A317" s="178"/>
      <c r="B317" s="179"/>
      <c r="C317" s="178"/>
      <c r="D317" s="178"/>
      <c r="E317" s="178"/>
      <c r="F317" s="178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78"/>
    </row>
    <row r="318">
      <c r="A318" s="178"/>
      <c r="B318" s="179"/>
      <c r="C318" s="178"/>
      <c r="D318" s="178"/>
      <c r="E318" s="178"/>
      <c r="F318" s="178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78"/>
    </row>
    <row r="319">
      <c r="A319" s="178"/>
      <c r="B319" s="179"/>
      <c r="C319" s="178"/>
      <c r="D319" s="178"/>
      <c r="E319" s="178"/>
      <c r="F319" s="178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78"/>
    </row>
    <row r="320">
      <c r="A320" s="178"/>
      <c r="B320" s="179"/>
      <c r="C320" s="178"/>
      <c r="D320" s="178"/>
      <c r="E320" s="178"/>
      <c r="F320" s="178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78"/>
    </row>
    <row r="321">
      <c r="A321" s="178"/>
      <c r="B321" s="179"/>
      <c r="C321" s="178"/>
      <c r="D321" s="178"/>
      <c r="E321" s="178"/>
      <c r="F321" s="178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78"/>
    </row>
    <row r="322">
      <c r="A322" s="178"/>
      <c r="B322" s="179"/>
      <c r="C322" s="178"/>
      <c r="D322" s="178"/>
      <c r="E322" s="178"/>
      <c r="F322" s="178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78"/>
    </row>
    <row r="323">
      <c r="A323" s="178"/>
      <c r="B323" s="179"/>
      <c r="C323" s="178"/>
      <c r="D323" s="178"/>
      <c r="E323" s="178"/>
      <c r="F323" s="178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78"/>
    </row>
    <row r="324">
      <c r="A324" s="178"/>
      <c r="B324" s="179"/>
      <c r="C324" s="178"/>
      <c r="D324" s="178"/>
      <c r="E324" s="178"/>
      <c r="F324" s="178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78"/>
    </row>
    <row r="325">
      <c r="A325" s="178"/>
      <c r="B325" s="179"/>
      <c r="C325" s="178"/>
      <c r="D325" s="178"/>
      <c r="E325" s="178"/>
      <c r="F325" s="178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78"/>
    </row>
    <row r="326">
      <c r="A326" s="178"/>
      <c r="B326" s="179"/>
      <c r="C326" s="178"/>
      <c r="D326" s="178"/>
      <c r="E326" s="178"/>
      <c r="F326" s="178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78"/>
    </row>
    <row r="327">
      <c r="A327" s="178"/>
      <c r="B327" s="179"/>
      <c r="C327" s="178"/>
      <c r="D327" s="178"/>
      <c r="E327" s="178"/>
      <c r="F327" s="178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78"/>
    </row>
    <row r="328">
      <c r="A328" s="178"/>
      <c r="B328" s="179"/>
      <c r="C328" s="178"/>
      <c r="D328" s="178"/>
      <c r="E328" s="178"/>
      <c r="F328" s="178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78"/>
    </row>
    <row r="329">
      <c r="A329" s="178"/>
      <c r="B329" s="179"/>
      <c r="C329" s="178"/>
      <c r="D329" s="178"/>
      <c r="E329" s="178"/>
      <c r="F329" s="178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78"/>
    </row>
    <row r="330">
      <c r="A330" s="178"/>
      <c r="B330" s="179"/>
      <c r="C330" s="178"/>
      <c r="D330" s="178"/>
      <c r="E330" s="178"/>
      <c r="F330" s="178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78"/>
    </row>
    <row r="331">
      <c r="A331" s="178"/>
      <c r="B331" s="179"/>
      <c r="C331" s="178"/>
      <c r="D331" s="178"/>
      <c r="E331" s="178"/>
      <c r="F331" s="178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78"/>
    </row>
    <row r="332">
      <c r="A332" s="178"/>
      <c r="B332" s="179"/>
      <c r="C332" s="178"/>
      <c r="D332" s="178"/>
      <c r="E332" s="178"/>
      <c r="F332" s="178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78"/>
    </row>
    <row r="333">
      <c r="A333" s="178"/>
      <c r="B333" s="179"/>
      <c r="C333" s="178"/>
      <c r="D333" s="178"/>
      <c r="E333" s="178"/>
      <c r="F333" s="178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78"/>
    </row>
    <row r="334">
      <c r="A334" s="178"/>
      <c r="B334" s="179"/>
      <c r="C334" s="178"/>
      <c r="D334" s="178"/>
      <c r="E334" s="178"/>
      <c r="F334" s="178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78"/>
    </row>
    <row r="335">
      <c r="A335" s="178"/>
      <c r="B335" s="179"/>
      <c r="C335" s="178"/>
      <c r="D335" s="178"/>
      <c r="E335" s="178"/>
      <c r="F335" s="178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78"/>
    </row>
    <row r="336">
      <c r="A336" s="178"/>
      <c r="B336" s="179"/>
      <c r="C336" s="178"/>
      <c r="D336" s="178"/>
      <c r="E336" s="178"/>
      <c r="F336" s="178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78"/>
    </row>
    <row r="337">
      <c r="A337" s="178"/>
      <c r="B337" s="179"/>
      <c r="C337" s="178"/>
      <c r="D337" s="178"/>
      <c r="E337" s="178"/>
      <c r="F337" s="178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78"/>
    </row>
    <row r="338">
      <c r="A338" s="178"/>
      <c r="B338" s="179"/>
      <c r="C338" s="178"/>
      <c r="D338" s="178"/>
      <c r="E338" s="178"/>
      <c r="F338" s="178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78"/>
    </row>
    <row r="339">
      <c r="A339" s="178"/>
      <c r="B339" s="179"/>
      <c r="C339" s="178"/>
      <c r="D339" s="178"/>
      <c r="E339" s="178"/>
      <c r="F339" s="178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78"/>
    </row>
    <row r="340">
      <c r="A340" s="178"/>
      <c r="B340" s="179"/>
      <c r="C340" s="178"/>
      <c r="D340" s="178"/>
      <c r="E340" s="178"/>
      <c r="F340" s="178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78"/>
    </row>
    <row r="341">
      <c r="A341" s="178"/>
      <c r="B341" s="179"/>
      <c r="C341" s="178"/>
      <c r="D341" s="178"/>
      <c r="E341" s="178"/>
      <c r="F341" s="178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78"/>
    </row>
    <row r="342">
      <c r="A342" s="178"/>
      <c r="B342" s="179"/>
      <c r="C342" s="178"/>
      <c r="D342" s="178"/>
      <c r="E342" s="178"/>
      <c r="F342" s="178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78"/>
    </row>
    <row r="343">
      <c r="A343" s="178"/>
      <c r="B343" s="179"/>
      <c r="C343" s="178"/>
      <c r="D343" s="178"/>
      <c r="E343" s="178"/>
      <c r="F343" s="178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78"/>
    </row>
    <row r="344">
      <c r="A344" s="178"/>
      <c r="B344" s="179"/>
      <c r="C344" s="178"/>
      <c r="D344" s="178"/>
      <c r="E344" s="178"/>
      <c r="F344" s="178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78"/>
    </row>
    <row r="345">
      <c r="A345" s="178"/>
      <c r="B345" s="179"/>
      <c r="C345" s="178"/>
      <c r="D345" s="178"/>
      <c r="E345" s="178"/>
      <c r="F345" s="178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78"/>
    </row>
    <row r="346">
      <c r="A346" s="178"/>
      <c r="B346" s="179"/>
      <c r="C346" s="178"/>
      <c r="D346" s="178"/>
      <c r="E346" s="178"/>
      <c r="F346" s="178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78"/>
    </row>
    <row r="347">
      <c r="A347" s="178"/>
      <c r="B347" s="179"/>
      <c r="C347" s="178"/>
      <c r="D347" s="178"/>
      <c r="E347" s="178"/>
      <c r="F347" s="178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78"/>
    </row>
    <row r="348">
      <c r="A348" s="178"/>
      <c r="B348" s="179"/>
      <c r="C348" s="178"/>
      <c r="D348" s="178"/>
      <c r="E348" s="178"/>
      <c r="F348" s="178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78"/>
    </row>
    <row r="349">
      <c r="A349" s="178"/>
      <c r="B349" s="179"/>
      <c r="C349" s="178"/>
      <c r="D349" s="178"/>
      <c r="E349" s="178"/>
      <c r="F349" s="178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78"/>
    </row>
    <row r="350">
      <c r="A350" s="178"/>
      <c r="B350" s="179"/>
      <c r="C350" s="178"/>
      <c r="D350" s="178"/>
      <c r="E350" s="178"/>
      <c r="F350" s="178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78"/>
    </row>
    <row r="351">
      <c r="A351" s="178"/>
      <c r="B351" s="179"/>
      <c r="C351" s="178"/>
      <c r="D351" s="178"/>
      <c r="E351" s="178"/>
      <c r="F351" s="178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78"/>
    </row>
    <row r="352">
      <c r="A352" s="178"/>
      <c r="B352" s="179"/>
      <c r="C352" s="178"/>
      <c r="D352" s="178"/>
      <c r="E352" s="178"/>
      <c r="F352" s="178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78"/>
    </row>
    <row r="353">
      <c r="A353" s="178"/>
      <c r="B353" s="179"/>
      <c r="C353" s="178"/>
      <c r="D353" s="178"/>
      <c r="E353" s="178"/>
      <c r="F353" s="178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78"/>
    </row>
    <row r="354">
      <c r="A354" s="178"/>
      <c r="B354" s="179"/>
      <c r="C354" s="178"/>
      <c r="D354" s="178"/>
      <c r="E354" s="178"/>
      <c r="F354" s="178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78"/>
    </row>
    <row r="355">
      <c r="A355" s="178"/>
      <c r="B355" s="179"/>
      <c r="C355" s="178"/>
      <c r="D355" s="178"/>
      <c r="E355" s="178"/>
      <c r="F355" s="178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78"/>
    </row>
    <row r="356">
      <c r="A356" s="178"/>
      <c r="B356" s="179"/>
      <c r="C356" s="178"/>
      <c r="D356" s="178"/>
      <c r="E356" s="178"/>
      <c r="F356" s="178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78"/>
    </row>
    <row r="357">
      <c r="A357" s="178"/>
      <c r="B357" s="179"/>
      <c r="C357" s="178"/>
      <c r="D357" s="178"/>
      <c r="E357" s="178"/>
      <c r="F357" s="178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78"/>
    </row>
    <row r="358">
      <c r="A358" s="178"/>
      <c r="B358" s="179"/>
      <c r="C358" s="178"/>
      <c r="D358" s="178"/>
      <c r="E358" s="178"/>
      <c r="F358" s="178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78"/>
    </row>
    <row r="359">
      <c r="A359" s="178"/>
      <c r="B359" s="179"/>
      <c r="C359" s="178"/>
      <c r="D359" s="178"/>
      <c r="E359" s="178"/>
      <c r="F359" s="178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78"/>
    </row>
    <row r="360">
      <c r="A360" s="178"/>
      <c r="B360" s="179"/>
      <c r="C360" s="178"/>
      <c r="D360" s="178"/>
      <c r="E360" s="178"/>
      <c r="F360" s="178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78"/>
    </row>
    <row r="361">
      <c r="A361" s="178"/>
      <c r="B361" s="179"/>
      <c r="C361" s="178"/>
      <c r="D361" s="178"/>
      <c r="E361" s="178"/>
      <c r="F361" s="178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78"/>
    </row>
    <row r="362">
      <c r="A362" s="178"/>
      <c r="B362" s="179"/>
      <c r="C362" s="178"/>
      <c r="D362" s="178"/>
      <c r="E362" s="178"/>
      <c r="F362" s="178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78"/>
    </row>
    <row r="363">
      <c r="A363" s="178"/>
      <c r="B363" s="179"/>
      <c r="C363" s="178"/>
      <c r="D363" s="178"/>
      <c r="E363" s="178"/>
      <c r="F363" s="178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78"/>
    </row>
    <row r="364">
      <c r="A364" s="178"/>
      <c r="B364" s="179"/>
      <c r="C364" s="178"/>
      <c r="D364" s="178"/>
      <c r="E364" s="178"/>
      <c r="F364" s="178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78"/>
    </row>
    <row r="365">
      <c r="A365" s="178"/>
      <c r="B365" s="179"/>
      <c r="C365" s="178"/>
      <c r="D365" s="178"/>
      <c r="E365" s="178"/>
      <c r="F365" s="178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78"/>
    </row>
    <row r="366">
      <c r="A366" s="178"/>
      <c r="B366" s="179"/>
      <c r="C366" s="178"/>
      <c r="D366" s="178"/>
      <c r="E366" s="178"/>
      <c r="F366" s="178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78"/>
    </row>
    <row r="367">
      <c r="A367" s="178"/>
      <c r="B367" s="179"/>
      <c r="C367" s="178"/>
      <c r="D367" s="178"/>
      <c r="E367" s="178"/>
      <c r="F367" s="178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78"/>
    </row>
    <row r="368">
      <c r="A368" s="178"/>
      <c r="B368" s="179"/>
      <c r="C368" s="178"/>
      <c r="D368" s="178"/>
      <c r="E368" s="178"/>
      <c r="F368" s="178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78"/>
    </row>
    <row r="369">
      <c r="A369" s="178"/>
      <c r="B369" s="179"/>
      <c r="C369" s="178"/>
      <c r="D369" s="178"/>
      <c r="E369" s="178"/>
      <c r="F369" s="178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78"/>
    </row>
    <row r="370">
      <c r="A370" s="178"/>
      <c r="B370" s="179"/>
      <c r="C370" s="178"/>
      <c r="D370" s="178"/>
      <c r="E370" s="178"/>
      <c r="F370" s="178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78"/>
    </row>
    <row r="371">
      <c r="A371" s="178"/>
      <c r="B371" s="179"/>
      <c r="C371" s="178"/>
      <c r="D371" s="178"/>
      <c r="E371" s="178"/>
      <c r="F371" s="178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78"/>
    </row>
    <row r="372">
      <c r="A372" s="178"/>
      <c r="B372" s="179"/>
      <c r="C372" s="178"/>
      <c r="D372" s="178"/>
      <c r="E372" s="178"/>
      <c r="F372" s="178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78"/>
    </row>
    <row r="373">
      <c r="A373" s="178"/>
      <c r="B373" s="179"/>
      <c r="C373" s="178"/>
      <c r="D373" s="178"/>
      <c r="E373" s="178"/>
      <c r="F373" s="178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78"/>
    </row>
    <row r="374">
      <c r="A374" s="178"/>
      <c r="B374" s="179"/>
      <c r="C374" s="178"/>
      <c r="D374" s="178"/>
      <c r="E374" s="178"/>
      <c r="F374" s="178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78"/>
    </row>
    <row r="375">
      <c r="A375" s="178"/>
      <c r="B375" s="179"/>
      <c r="C375" s="178"/>
      <c r="D375" s="178"/>
      <c r="E375" s="178"/>
      <c r="F375" s="178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78"/>
    </row>
    <row r="376">
      <c r="A376" s="178"/>
      <c r="B376" s="179"/>
      <c r="C376" s="178"/>
      <c r="D376" s="178"/>
      <c r="E376" s="178"/>
      <c r="F376" s="178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78"/>
    </row>
    <row r="377">
      <c r="A377" s="178"/>
      <c r="B377" s="179"/>
      <c r="C377" s="178"/>
      <c r="D377" s="178"/>
      <c r="E377" s="178"/>
      <c r="F377" s="178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78"/>
    </row>
    <row r="378">
      <c r="A378" s="178"/>
      <c r="B378" s="179"/>
      <c r="C378" s="178"/>
      <c r="D378" s="178"/>
      <c r="E378" s="178"/>
      <c r="F378" s="178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78"/>
    </row>
    <row r="379">
      <c r="A379" s="178"/>
      <c r="B379" s="179"/>
      <c r="C379" s="178"/>
      <c r="D379" s="178"/>
      <c r="E379" s="178"/>
      <c r="F379" s="178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78"/>
    </row>
    <row r="380">
      <c r="A380" s="178"/>
      <c r="B380" s="179"/>
      <c r="C380" s="178"/>
      <c r="D380" s="178"/>
      <c r="E380" s="178"/>
      <c r="F380" s="178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78"/>
    </row>
    <row r="381">
      <c r="A381" s="178"/>
      <c r="B381" s="179"/>
      <c r="C381" s="178"/>
      <c r="D381" s="178"/>
      <c r="E381" s="178"/>
      <c r="F381" s="178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78"/>
    </row>
    <row r="382">
      <c r="A382" s="178"/>
      <c r="B382" s="179"/>
      <c r="C382" s="178"/>
      <c r="D382" s="178"/>
      <c r="E382" s="178"/>
      <c r="F382" s="178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78"/>
    </row>
    <row r="383">
      <c r="A383" s="178"/>
      <c r="B383" s="179"/>
      <c r="C383" s="178"/>
      <c r="D383" s="178"/>
      <c r="E383" s="178"/>
      <c r="F383" s="178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78"/>
    </row>
    <row r="384">
      <c r="A384" s="178"/>
      <c r="B384" s="179"/>
      <c r="C384" s="178"/>
      <c r="D384" s="178"/>
      <c r="E384" s="178"/>
      <c r="F384" s="178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78"/>
    </row>
    <row r="385">
      <c r="A385" s="178"/>
      <c r="B385" s="179"/>
      <c r="C385" s="178"/>
      <c r="D385" s="178"/>
      <c r="E385" s="178"/>
      <c r="F385" s="178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78"/>
    </row>
    <row r="386">
      <c r="A386" s="178"/>
      <c r="B386" s="179"/>
      <c r="C386" s="178"/>
      <c r="D386" s="178"/>
      <c r="E386" s="178"/>
      <c r="F386" s="178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78"/>
    </row>
    <row r="387">
      <c r="A387" s="178"/>
      <c r="B387" s="179"/>
      <c r="C387" s="178"/>
      <c r="D387" s="178"/>
      <c r="E387" s="178"/>
      <c r="F387" s="178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78"/>
    </row>
    <row r="388">
      <c r="A388" s="178"/>
      <c r="B388" s="179"/>
      <c r="C388" s="178"/>
      <c r="D388" s="178"/>
      <c r="E388" s="178"/>
      <c r="F388" s="178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78"/>
    </row>
    <row r="389">
      <c r="A389" s="178"/>
      <c r="B389" s="179"/>
      <c r="C389" s="178"/>
      <c r="D389" s="178"/>
      <c r="E389" s="178"/>
      <c r="F389" s="178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78"/>
    </row>
    <row r="390">
      <c r="A390" s="178"/>
      <c r="B390" s="179"/>
      <c r="C390" s="178"/>
      <c r="D390" s="178"/>
      <c r="E390" s="178"/>
      <c r="F390" s="178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78"/>
    </row>
    <row r="391">
      <c r="A391" s="178"/>
      <c r="B391" s="179"/>
      <c r="C391" s="178"/>
      <c r="D391" s="178"/>
      <c r="E391" s="178"/>
      <c r="F391" s="178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78"/>
    </row>
    <row r="392">
      <c r="A392" s="178"/>
      <c r="B392" s="179"/>
      <c r="C392" s="178"/>
      <c r="D392" s="178"/>
      <c r="E392" s="178"/>
      <c r="F392" s="178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78"/>
    </row>
    <row r="393">
      <c r="A393" s="178"/>
      <c r="B393" s="179"/>
      <c r="C393" s="178"/>
      <c r="D393" s="178"/>
      <c r="E393" s="178"/>
      <c r="F393" s="178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78"/>
    </row>
    <row r="394">
      <c r="A394" s="178"/>
      <c r="B394" s="179"/>
      <c r="C394" s="178"/>
      <c r="D394" s="178"/>
      <c r="E394" s="178"/>
      <c r="F394" s="178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78"/>
    </row>
    <row r="395">
      <c r="A395" s="178"/>
      <c r="B395" s="179"/>
      <c r="C395" s="178"/>
      <c r="D395" s="178"/>
      <c r="E395" s="178"/>
      <c r="F395" s="178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78"/>
    </row>
    <row r="396">
      <c r="A396" s="178"/>
      <c r="B396" s="179"/>
      <c r="C396" s="178"/>
      <c r="D396" s="178"/>
      <c r="E396" s="178"/>
      <c r="F396" s="178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78"/>
    </row>
    <row r="397">
      <c r="A397" s="178"/>
      <c r="B397" s="179"/>
      <c r="C397" s="178"/>
      <c r="D397" s="178"/>
      <c r="E397" s="178"/>
      <c r="F397" s="178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78"/>
    </row>
    <row r="398">
      <c r="A398" s="178"/>
      <c r="B398" s="179"/>
      <c r="C398" s="178"/>
      <c r="D398" s="178"/>
      <c r="E398" s="178"/>
      <c r="F398" s="178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78"/>
    </row>
    <row r="399">
      <c r="A399" s="178"/>
      <c r="B399" s="179"/>
      <c r="C399" s="178"/>
      <c r="D399" s="178"/>
      <c r="E399" s="178"/>
      <c r="F399" s="178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78"/>
    </row>
    <row r="400">
      <c r="A400" s="178"/>
      <c r="B400" s="179"/>
      <c r="C400" s="178"/>
      <c r="D400" s="178"/>
      <c r="E400" s="178"/>
      <c r="F400" s="178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78"/>
    </row>
    <row r="401">
      <c r="A401" s="178"/>
      <c r="B401" s="179"/>
      <c r="C401" s="178"/>
      <c r="D401" s="178"/>
      <c r="E401" s="178"/>
      <c r="F401" s="178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78"/>
    </row>
    <row r="402">
      <c r="A402" s="178"/>
      <c r="B402" s="179"/>
      <c r="C402" s="178"/>
      <c r="D402" s="178"/>
      <c r="E402" s="178"/>
      <c r="F402" s="178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78"/>
    </row>
    <row r="403">
      <c r="A403" s="178"/>
      <c r="B403" s="179"/>
      <c r="C403" s="178"/>
      <c r="D403" s="178"/>
      <c r="E403" s="178"/>
      <c r="F403" s="178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78"/>
    </row>
    <row r="404">
      <c r="A404" s="178"/>
      <c r="B404" s="179"/>
      <c r="C404" s="178"/>
      <c r="D404" s="178"/>
      <c r="E404" s="178"/>
      <c r="F404" s="178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78"/>
    </row>
    <row r="405">
      <c r="A405" s="178"/>
      <c r="B405" s="179"/>
      <c r="C405" s="178"/>
      <c r="D405" s="178"/>
      <c r="E405" s="178"/>
      <c r="F405" s="178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78"/>
    </row>
    <row r="406">
      <c r="A406" s="178"/>
      <c r="B406" s="179"/>
      <c r="C406" s="178"/>
      <c r="D406" s="178"/>
      <c r="E406" s="178"/>
      <c r="F406" s="178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78"/>
    </row>
    <row r="407">
      <c r="A407" s="178"/>
      <c r="B407" s="179"/>
      <c r="C407" s="178"/>
      <c r="D407" s="178"/>
      <c r="E407" s="178"/>
      <c r="F407" s="178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78"/>
    </row>
    <row r="408">
      <c r="A408" s="178"/>
      <c r="B408" s="179"/>
      <c r="C408" s="178"/>
      <c r="D408" s="178"/>
      <c r="E408" s="178"/>
      <c r="F408" s="178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78"/>
    </row>
    <row r="409">
      <c r="A409" s="178"/>
      <c r="B409" s="179"/>
      <c r="C409" s="178"/>
      <c r="D409" s="178"/>
      <c r="E409" s="178"/>
      <c r="F409" s="178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78"/>
    </row>
    <row r="410">
      <c r="A410" s="178"/>
      <c r="B410" s="179"/>
      <c r="C410" s="178"/>
      <c r="D410" s="178"/>
      <c r="E410" s="178"/>
      <c r="F410" s="178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78"/>
    </row>
    <row r="411">
      <c r="A411" s="178"/>
      <c r="B411" s="179"/>
      <c r="C411" s="178"/>
      <c r="D411" s="178"/>
      <c r="E411" s="178"/>
      <c r="F411" s="178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78"/>
    </row>
    <row r="412">
      <c r="A412" s="178"/>
      <c r="B412" s="179"/>
      <c r="C412" s="178"/>
      <c r="D412" s="178"/>
      <c r="E412" s="178"/>
      <c r="F412" s="178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78"/>
    </row>
    <row r="413">
      <c r="A413" s="178"/>
      <c r="B413" s="179"/>
      <c r="C413" s="178"/>
      <c r="D413" s="178"/>
      <c r="E413" s="178"/>
      <c r="F413" s="178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78"/>
    </row>
    <row r="414">
      <c r="A414" s="178"/>
      <c r="B414" s="179"/>
      <c r="C414" s="178"/>
      <c r="D414" s="178"/>
      <c r="E414" s="178"/>
      <c r="F414" s="178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78"/>
    </row>
    <row r="415">
      <c r="A415" s="178"/>
      <c r="B415" s="179"/>
      <c r="C415" s="178"/>
      <c r="D415" s="178"/>
      <c r="E415" s="178"/>
      <c r="F415" s="178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78"/>
    </row>
    <row r="416">
      <c r="A416" s="178"/>
      <c r="B416" s="179"/>
      <c r="C416" s="178"/>
      <c r="D416" s="178"/>
      <c r="E416" s="178"/>
      <c r="F416" s="178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78"/>
    </row>
    <row r="417">
      <c r="A417" s="178"/>
      <c r="B417" s="179"/>
      <c r="C417" s="178"/>
      <c r="D417" s="178"/>
      <c r="E417" s="178"/>
      <c r="F417" s="178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78"/>
    </row>
    <row r="418">
      <c r="A418" s="178"/>
      <c r="B418" s="179"/>
      <c r="C418" s="178"/>
      <c r="D418" s="178"/>
      <c r="E418" s="178"/>
      <c r="F418" s="178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78"/>
    </row>
    <row r="419">
      <c r="A419" s="178"/>
      <c r="B419" s="179"/>
      <c r="C419" s="178"/>
      <c r="D419" s="178"/>
      <c r="E419" s="178"/>
      <c r="F419" s="178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78"/>
    </row>
    <row r="420">
      <c r="A420" s="178"/>
      <c r="B420" s="179"/>
      <c r="C420" s="178"/>
      <c r="D420" s="178"/>
      <c r="E420" s="178"/>
      <c r="F420" s="178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78"/>
    </row>
    <row r="421">
      <c r="A421" s="178"/>
      <c r="B421" s="179"/>
      <c r="C421" s="178"/>
      <c r="D421" s="178"/>
      <c r="E421" s="178"/>
      <c r="F421" s="178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78"/>
    </row>
    <row r="422">
      <c r="A422" s="178"/>
      <c r="B422" s="179"/>
      <c r="C422" s="178"/>
      <c r="D422" s="178"/>
      <c r="E422" s="178"/>
      <c r="F422" s="178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78"/>
    </row>
    <row r="423">
      <c r="A423" s="178"/>
      <c r="B423" s="179"/>
      <c r="C423" s="178"/>
      <c r="D423" s="178"/>
      <c r="E423" s="178"/>
      <c r="F423" s="178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78"/>
    </row>
    <row r="424">
      <c r="A424" s="178"/>
      <c r="B424" s="179"/>
      <c r="C424" s="178"/>
      <c r="D424" s="178"/>
      <c r="E424" s="178"/>
      <c r="F424" s="178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78"/>
    </row>
    <row r="425">
      <c r="A425" s="178"/>
      <c r="B425" s="179"/>
      <c r="C425" s="178"/>
      <c r="D425" s="178"/>
      <c r="E425" s="178"/>
      <c r="F425" s="178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78"/>
    </row>
    <row r="426">
      <c r="A426" s="178"/>
      <c r="B426" s="179"/>
      <c r="C426" s="178"/>
      <c r="D426" s="178"/>
      <c r="E426" s="178"/>
      <c r="F426" s="178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78"/>
    </row>
    <row r="427">
      <c r="A427" s="178"/>
      <c r="B427" s="179"/>
      <c r="C427" s="178"/>
      <c r="D427" s="178"/>
      <c r="E427" s="178"/>
      <c r="F427" s="178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78"/>
    </row>
    <row r="428">
      <c r="A428" s="178"/>
      <c r="B428" s="179"/>
      <c r="C428" s="178"/>
      <c r="D428" s="178"/>
      <c r="E428" s="178"/>
      <c r="F428" s="178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78"/>
    </row>
    <row r="429">
      <c r="A429" s="178"/>
      <c r="B429" s="179"/>
      <c r="C429" s="178"/>
      <c r="D429" s="178"/>
      <c r="E429" s="178"/>
      <c r="F429" s="178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78"/>
    </row>
    <row r="430">
      <c r="A430" s="178"/>
      <c r="B430" s="179"/>
      <c r="C430" s="178"/>
      <c r="D430" s="178"/>
      <c r="E430" s="178"/>
      <c r="F430" s="178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78"/>
    </row>
    <row r="431">
      <c r="A431" s="178"/>
      <c r="B431" s="179"/>
      <c r="C431" s="178"/>
      <c r="D431" s="178"/>
      <c r="E431" s="178"/>
      <c r="F431" s="178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78"/>
    </row>
    <row r="432">
      <c r="A432" s="178"/>
      <c r="B432" s="179"/>
      <c r="C432" s="178"/>
      <c r="D432" s="178"/>
      <c r="E432" s="178"/>
      <c r="F432" s="178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78"/>
    </row>
    <row r="433">
      <c r="A433" s="178"/>
      <c r="B433" s="179"/>
      <c r="C433" s="178"/>
      <c r="D433" s="178"/>
      <c r="E433" s="178"/>
      <c r="F433" s="178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78"/>
    </row>
    <row r="434">
      <c r="A434" s="178"/>
      <c r="B434" s="179"/>
      <c r="C434" s="178"/>
      <c r="D434" s="178"/>
      <c r="E434" s="178"/>
      <c r="F434" s="178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78"/>
    </row>
    <row r="435">
      <c r="A435" s="178"/>
      <c r="B435" s="179"/>
      <c r="C435" s="178"/>
      <c r="D435" s="178"/>
      <c r="E435" s="178"/>
      <c r="F435" s="178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78"/>
    </row>
    <row r="436">
      <c r="A436" s="178"/>
      <c r="B436" s="179"/>
      <c r="C436" s="178"/>
      <c r="D436" s="178"/>
      <c r="E436" s="178"/>
      <c r="F436" s="178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78"/>
    </row>
    <row r="437">
      <c r="A437" s="178"/>
      <c r="B437" s="179"/>
      <c r="C437" s="178"/>
      <c r="D437" s="178"/>
      <c r="E437" s="178"/>
      <c r="F437" s="178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78"/>
    </row>
    <row r="438">
      <c r="A438" s="178"/>
      <c r="B438" s="179"/>
      <c r="C438" s="178"/>
      <c r="D438" s="178"/>
      <c r="E438" s="178"/>
      <c r="F438" s="178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78"/>
    </row>
    <row r="439">
      <c r="A439" s="178"/>
      <c r="B439" s="179"/>
      <c r="C439" s="178"/>
      <c r="D439" s="178"/>
      <c r="E439" s="178"/>
      <c r="F439" s="178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78"/>
    </row>
    <row r="440">
      <c r="A440" s="178"/>
      <c r="B440" s="179"/>
      <c r="C440" s="178"/>
      <c r="D440" s="178"/>
      <c r="E440" s="178"/>
      <c r="F440" s="178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78"/>
    </row>
    <row r="441">
      <c r="A441" s="178"/>
      <c r="B441" s="179"/>
      <c r="C441" s="178"/>
      <c r="D441" s="178"/>
      <c r="E441" s="178"/>
      <c r="F441" s="178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78"/>
    </row>
    <row r="442">
      <c r="A442" s="178"/>
      <c r="B442" s="179"/>
      <c r="C442" s="178"/>
      <c r="D442" s="178"/>
      <c r="E442" s="178"/>
      <c r="F442" s="178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78"/>
    </row>
    <row r="443">
      <c r="A443" s="178"/>
      <c r="B443" s="179"/>
      <c r="C443" s="178"/>
      <c r="D443" s="178"/>
      <c r="E443" s="178"/>
      <c r="F443" s="178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78"/>
    </row>
    <row r="444">
      <c r="A444" s="178"/>
      <c r="B444" s="179"/>
      <c r="C444" s="178"/>
      <c r="D444" s="178"/>
      <c r="E444" s="178"/>
      <c r="F444" s="178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78"/>
    </row>
    <row r="445">
      <c r="A445" s="178"/>
      <c r="B445" s="179"/>
      <c r="C445" s="178"/>
      <c r="D445" s="178"/>
      <c r="E445" s="178"/>
      <c r="F445" s="178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78"/>
    </row>
    <row r="446">
      <c r="A446" s="178"/>
      <c r="B446" s="179"/>
      <c r="C446" s="178"/>
      <c r="D446" s="178"/>
      <c r="E446" s="178"/>
      <c r="F446" s="178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78"/>
    </row>
    <row r="447">
      <c r="A447" s="178"/>
      <c r="B447" s="179"/>
      <c r="C447" s="178"/>
      <c r="D447" s="178"/>
      <c r="E447" s="178"/>
      <c r="F447" s="178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78"/>
    </row>
    <row r="448">
      <c r="A448" s="178"/>
      <c r="B448" s="179"/>
      <c r="C448" s="178"/>
      <c r="D448" s="178"/>
      <c r="E448" s="178"/>
      <c r="F448" s="178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78"/>
    </row>
    <row r="449">
      <c r="A449" s="178"/>
      <c r="B449" s="179"/>
      <c r="C449" s="178"/>
      <c r="D449" s="178"/>
      <c r="E449" s="178"/>
      <c r="F449" s="178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78"/>
    </row>
    <row r="450">
      <c r="A450" s="178"/>
      <c r="B450" s="179"/>
      <c r="C450" s="178"/>
      <c r="D450" s="178"/>
      <c r="E450" s="178"/>
      <c r="F450" s="178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78"/>
    </row>
    <row r="451">
      <c r="A451" s="178"/>
      <c r="B451" s="179"/>
      <c r="C451" s="178"/>
      <c r="D451" s="178"/>
      <c r="E451" s="178"/>
      <c r="F451" s="178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78"/>
    </row>
    <row r="452">
      <c r="A452" s="178"/>
      <c r="B452" s="179"/>
      <c r="C452" s="178"/>
      <c r="D452" s="178"/>
      <c r="E452" s="178"/>
      <c r="F452" s="178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78"/>
    </row>
    <row r="453">
      <c r="A453" s="178"/>
      <c r="B453" s="179"/>
      <c r="C453" s="178"/>
      <c r="D453" s="178"/>
      <c r="E453" s="178"/>
      <c r="F453" s="178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78"/>
    </row>
    <row r="454">
      <c r="A454" s="178"/>
      <c r="B454" s="179"/>
      <c r="C454" s="178"/>
      <c r="D454" s="178"/>
      <c r="E454" s="178"/>
      <c r="F454" s="178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78"/>
    </row>
    <row r="455">
      <c r="A455" s="178"/>
      <c r="B455" s="179"/>
      <c r="C455" s="178"/>
      <c r="D455" s="178"/>
      <c r="E455" s="178"/>
      <c r="F455" s="178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78"/>
    </row>
    <row r="456">
      <c r="A456" s="178"/>
      <c r="B456" s="179"/>
      <c r="C456" s="178"/>
      <c r="D456" s="178"/>
      <c r="E456" s="178"/>
      <c r="F456" s="178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78"/>
    </row>
    <row r="457">
      <c r="A457" s="178"/>
      <c r="B457" s="179"/>
      <c r="C457" s="178"/>
      <c r="D457" s="178"/>
      <c r="E457" s="178"/>
      <c r="F457" s="178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78"/>
    </row>
    <row r="458">
      <c r="A458" s="178"/>
      <c r="B458" s="179"/>
      <c r="C458" s="178"/>
      <c r="D458" s="178"/>
      <c r="E458" s="178"/>
      <c r="F458" s="178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78"/>
    </row>
    <row r="459">
      <c r="A459" s="178"/>
      <c r="B459" s="179"/>
      <c r="C459" s="178"/>
      <c r="D459" s="178"/>
      <c r="E459" s="178"/>
      <c r="F459" s="178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78"/>
    </row>
    <row r="460">
      <c r="A460" s="178"/>
      <c r="B460" s="179"/>
      <c r="C460" s="178"/>
      <c r="D460" s="178"/>
      <c r="E460" s="178"/>
      <c r="F460" s="178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78"/>
    </row>
    <row r="461">
      <c r="A461" s="178"/>
      <c r="B461" s="179"/>
      <c r="C461" s="178"/>
      <c r="D461" s="178"/>
      <c r="E461" s="178"/>
      <c r="F461" s="178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78"/>
    </row>
    <row r="462">
      <c r="A462" s="178"/>
      <c r="B462" s="179"/>
      <c r="C462" s="178"/>
      <c r="D462" s="178"/>
      <c r="E462" s="178"/>
      <c r="F462" s="178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78"/>
    </row>
    <row r="463">
      <c r="A463" s="178"/>
      <c r="B463" s="179"/>
      <c r="C463" s="178"/>
      <c r="D463" s="178"/>
      <c r="E463" s="178"/>
      <c r="F463" s="178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78"/>
    </row>
    <row r="464">
      <c r="A464" s="178"/>
      <c r="B464" s="179"/>
      <c r="C464" s="178"/>
      <c r="D464" s="178"/>
      <c r="E464" s="178"/>
      <c r="F464" s="178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78"/>
    </row>
    <row r="465">
      <c r="A465" s="178"/>
      <c r="B465" s="179"/>
      <c r="C465" s="178"/>
      <c r="D465" s="178"/>
      <c r="E465" s="178"/>
      <c r="F465" s="178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78"/>
    </row>
    <row r="466">
      <c r="A466" s="178"/>
      <c r="B466" s="179"/>
      <c r="C466" s="178"/>
      <c r="D466" s="178"/>
      <c r="E466" s="178"/>
      <c r="F466" s="178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78"/>
    </row>
    <row r="467">
      <c r="A467" s="178"/>
      <c r="B467" s="179"/>
      <c r="C467" s="178"/>
      <c r="D467" s="178"/>
      <c r="E467" s="178"/>
      <c r="F467" s="178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78"/>
    </row>
    <row r="468">
      <c r="A468" s="178"/>
      <c r="B468" s="179"/>
      <c r="C468" s="178"/>
      <c r="D468" s="178"/>
      <c r="E468" s="178"/>
      <c r="F468" s="178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78"/>
    </row>
    <row r="469">
      <c r="A469" s="178"/>
      <c r="B469" s="179"/>
      <c r="C469" s="178"/>
      <c r="D469" s="178"/>
      <c r="E469" s="178"/>
      <c r="F469" s="178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78"/>
    </row>
    <row r="470">
      <c r="A470" s="178"/>
      <c r="B470" s="179"/>
      <c r="C470" s="178"/>
      <c r="D470" s="178"/>
      <c r="E470" s="178"/>
      <c r="F470" s="178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78"/>
    </row>
    <row r="471">
      <c r="A471" s="178"/>
      <c r="B471" s="179"/>
      <c r="C471" s="178"/>
      <c r="D471" s="178"/>
      <c r="E471" s="178"/>
      <c r="F471" s="178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78"/>
    </row>
    <row r="472">
      <c r="A472" s="178"/>
      <c r="B472" s="179"/>
      <c r="C472" s="178"/>
      <c r="D472" s="178"/>
      <c r="E472" s="178"/>
      <c r="F472" s="178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78"/>
    </row>
    <row r="473">
      <c r="A473" s="178"/>
      <c r="B473" s="179"/>
      <c r="C473" s="178"/>
      <c r="D473" s="178"/>
      <c r="E473" s="178"/>
      <c r="F473" s="178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78"/>
    </row>
    <row r="474">
      <c r="A474" s="178"/>
      <c r="B474" s="179"/>
      <c r="C474" s="178"/>
      <c r="D474" s="178"/>
      <c r="E474" s="178"/>
      <c r="F474" s="178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78"/>
    </row>
    <row r="475">
      <c r="A475" s="178"/>
      <c r="B475" s="179"/>
      <c r="C475" s="178"/>
      <c r="D475" s="178"/>
      <c r="E475" s="178"/>
      <c r="F475" s="178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78"/>
    </row>
    <row r="476">
      <c r="A476" s="178"/>
      <c r="B476" s="179"/>
      <c r="C476" s="178"/>
      <c r="D476" s="178"/>
      <c r="E476" s="178"/>
      <c r="F476" s="178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78"/>
    </row>
    <row r="477">
      <c r="A477" s="178"/>
      <c r="B477" s="179"/>
      <c r="C477" s="178"/>
      <c r="D477" s="178"/>
      <c r="E477" s="178"/>
      <c r="F477" s="178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78"/>
    </row>
    <row r="478">
      <c r="A478" s="178"/>
      <c r="B478" s="179"/>
      <c r="C478" s="178"/>
      <c r="D478" s="178"/>
      <c r="E478" s="178"/>
      <c r="F478" s="178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78"/>
    </row>
    <row r="479">
      <c r="A479" s="178"/>
      <c r="B479" s="179"/>
      <c r="C479" s="178"/>
      <c r="D479" s="178"/>
      <c r="E479" s="178"/>
      <c r="F479" s="178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78"/>
    </row>
    <row r="480">
      <c r="A480" s="178"/>
      <c r="B480" s="179"/>
      <c r="C480" s="178"/>
      <c r="D480" s="178"/>
      <c r="E480" s="178"/>
      <c r="F480" s="178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78"/>
    </row>
    <row r="481">
      <c r="A481" s="178"/>
      <c r="B481" s="179"/>
      <c r="C481" s="178"/>
      <c r="D481" s="178"/>
      <c r="E481" s="178"/>
      <c r="F481" s="178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78"/>
    </row>
    <row r="482">
      <c r="A482" s="178"/>
      <c r="B482" s="179"/>
      <c r="C482" s="178"/>
      <c r="D482" s="178"/>
      <c r="E482" s="178"/>
      <c r="F482" s="178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78"/>
    </row>
    <row r="483">
      <c r="A483" s="178"/>
      <c r="B483" s="179"/>
      <c r="C483" s="178"/>
      <c r="D483" s="178"/>
      <c r="E483" s="178"/>
      <c r="F483" s="178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78"/>
    </row>
    <row r="484">
      <c r="A484" s="178"/>
      <c r="B484" s="179"/>
      <c r="C484" s="178"/>
      <c r="D484" s="178"/>
      <c r="E484" s="178"/>
      <c r="F484" s="178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78"/>
    </row>
    <row r="485">
      <c r="A485" s="178"/>
      <c r="B485" s="179"/>
      <c r="C485" s="178"/>
      <c r="D485" s="178"/>
      <c r="E485" s="178"/>
      <c r="F485" s="178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78"/>
    </row>
    <row r="486">
      <c r="A486" s="178"/>
      <c r="B486" s="179"/>
      <c r="C486" s="178"/>
      <c r="D486" s="178"/>
      <c r="E486" s="178"/>
      <c r="F486" s="178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78"/>
    </row>
    <row r="487">
      <c r="A487" s="178"/>
      <c r="B487" s="179"/>
      <c r="C487" s="178"/>
      <c r="D487" s="178"/>
      <c r="E487" s="178"/>
      <c r="F487" s="178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78"/>
    </row>
    <row r="488">
      <c r="A488" s="178"/>
      <c r="B488" s="179"/>
      <c r="C488" s="178"/>
      <c r="D488" s="178"/>
      <c r="E488" s="178"/>
      <c r="F488" s="178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78"/>
    </row>
    <row r="489">
      <c r="A489" s="178"/>
      <c r="B489" s="179"/>
      <c r="C489" s="178"/>
      <c r="D489" s="178"/>
      <c r="E489" s="178"/>
      <c r="F489" s="178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78"/>
    </row>
    <row r="490">
      <c r="A490" s="178"/>
      <c r="B490" s="179"/>
      <c r="C490" s="178"/>
      <c r="D490" s="178"/>
      <c r="E490" s="178"/>
      <c r="F490" s="178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78"/>
    </row>
    <row r="491">
      <c r="A491" s="178"/>
      <c r="B491" s="179"/>
      <c r="C491" s="178"/>
      <c r="D491" s="178"/>
      <c r="E491" s="178"/>
      <c r="F491" s="178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78"/>
    </row>
    <row r="492">
      <c r="A492" s="178"/>
      <c r="B492" s="179"/>
      <c r="C492" s="178"/>
      <c r="D492" s="178"/>
      <c r="E492" s="178"/>
      <c r="F492" s="178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78"/>
    </row>
    <row r="493">
      <c r="A493" s="178"/>
      <c r="B493" s="179"/>
      <c r="C493" s="178"/>
      <c r="D493" s="178"/>
      <c r="E493" s="178"/>
      <c r="F493" s="178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78"/>
    </row>
    <row r="494">
      <c r="A494" s="178"/>
      <c r="B494" s="179"/>
      <c r="C494" s="178"/>
      <c r="D494" s="178"/>
      <c r="E494" s="178"/>
      <c r="F494" s="178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78"/>
    </row>
    <row r="495">
      <c r="A495" s="178"/>
      <c r="B495" s="179"/>
      <c r="C495" s="178"/>
      <c r="D495" s="178"/>
      <c r="E495" s="178"/>
      <c r="F495" s="178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78"/>
    </row>
    <row r="496">
      <c r="A496" s="178"/>
      <c r="B496" s="179"/>
      <c r="C496" s="178"/>
      <c r="D496" s="178"/>
      <c r="E496" s="178"/>
      <c r="F496" s="178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78"/>
    </row>
    <row r="497">
      <c r="A497" s="178"/>
      <c r="B497" s="179"/>
      <c r="C497" s="178"/>
      <c r="D497" s="178"/>
      <c r="E497" s="178"/>
      <c r="F497" s="178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78"/>
    </row>
    <row r="498">
      <c r="A498" s="178"/>
      <c r="B498" s="179"/>
      <c r="C498" s="178"/>
      <c r="D498" s="178"/>
      <c r="E498" s="178"/>
      <c r="F498" s="178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78"/>
    </row>
    <row r="499">
      <c r="A499" s="178"/>
      <c r="B499" s="179"/>
      <c r="C499" s="178"/>
      <c r="D499" s="178"/>
      <c r="E499" s="178"/>
      <c r="F499" s="178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78"/>
    </row>
    <row r="500">
      <c r="A500" s="178"/>
      <c r="B500" s="179"/>
      <c r="C500" s="178"/>
      <c r="D500" s="178"/>
      <c r="E500" s="178"/>
      <c r="F500" s="178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78"/>
    </row>
    <row r="501">
      <c r="A501" s="178"/>
      <c r="B501" s="179"/>
      <c r="C501" s="178"/>
      <c r="D501" s="178"/>
      <c r="E501" s="178"/>
      <c r="F501" s="178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78"/>
    </row>
    <row r="502">
      <c r="A502" s="178"/>
      <c r="B502" s="179"/>
      <c r="C502" s="178"/>
      <c r="D502" s="178"/>
      <c r="E502" s="178"/>
      <c r="F502" s="178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78"/>
    </row>
    <row r="503">
      <c r="A503" s="178"/>
      <c r="B503" s="179"/>
      <c r="C503" s="178"/>
      <c r="D503" s="178"/>
      <c r="E503" s="178"/>
      <c r="F503" s="178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78"/>
    </row>
    <row r="504">
      <c r="A504" s="178"/>
      <c r="B504" s="179"/>
      <c r="C504" s="178"/>
      <c r="D504" s="178"/>
      <c r="E504" s="178"/>
      <c r="F504" s="178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78"/>
    </row>
    <row r="505">
      <c r="A505" s="178"/>
      <c r="B505" s="179"/>
      <c r="C505" s="178"/>
      <c r="D505" s="178"/>
      <c r="E505" s="178"/>
      <c r="F505" s="178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78"/>
    </row>
    <row r="506">
      <c r="A506" s="178"/>
      <c r="B506" s="179"/>
      <c r="C506" s="178"/>
      <c r="D506" s="178"/>
      <c r="E506" s="178"/>
      <c r="F506" s="178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78"/>
    </row>
    <row r="507">
      <c r="A507" s="178"/>
      <c r="B507" s="179"/>
      <c r="C507" s="178"/>
      <c r="D507" s="178"/>
      <c r="E507" s="178"/>
      <c r="F507" s="178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78"/>
    </row>
    <row r="508">
      <c r="A508" s="178"/>
      <c r="B508" s="179"/>
      <c r="C508" s="178"/>
      <c r="D508" s="178"/>
      <c r="E508" s="178"/>
      <c r="F508" s="178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78"/>
    </row>
    <row r="509">
      <c r="A509" s="178"/>
      <c r="B509" s="179"/>
      <c r="C509" s="178"/>
      <c r="D509" s="178"/>
      <c r="E509" s="178"/>
      <c r="F509" s="178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78"/>
    </row>
    <row r="510">
      <c r="A510" s="178"/>
      <c r="B510" s="179"/>
      <c r="C510" s="178"/>
      <c r="D510" s="178"/>
      <c r="E510" s="178"/>
      <c r="F510" s="178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78"/>
    </row>
    <row r="511">
      <c r="A511" s="178"/>
      <c r="B511" s="179"/>
      <c r="C511" s="178"/>
      <c r="D511" s="178"/>
      <c r="E511" s="178"/>
      <c r="F511" s="178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78"/>
    </row>
    <row r="512">
      <c r="A512" s="178"/>
      <c r="B512" s="179"/>
      <c r="C512" s="178"/>
      <c r="D512" s="178"/>
      <c r="E512" s="178"/>
      <c r="F512" s="178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78"/>
    </row>
    <row r="513">
      <c r="A513" s="178"/>
      <c r="B513" s="179"/>
      <c r="C513" s="178"/>
      <c r="D513" s="178"/>
      <c r="E513" s="178"/>
      <c r="F513" s="17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78"/>
    </row>
    <row r="514">
      <c r="A514" s="178"/>
      <c r="B514" s="179"/>
      <c r="C514" s="178"/>
      <c r="D514" s="178"/>
      <c r="E514" s="178"/>
      <c r="F514" s="17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78"/>
    </row>
    <row r="515">
      <c r="A515" s="178"/>
      <c r="B515" s="179"/>
      <c r="C515" s="178"/>
      <c r="D515" s="178"/>
      <c r="E515" s="178"/>
      <c r="F515" s="17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78"/>
    </row>
    <row r="516">
      <c r="A516" s="178"/>
      <c r="B516" s="179"/>
      <c r="C516" s="178"/>
      <c r="D516" s="178"/>
      <c r="E516" s="178"/>
      <c r="F516" s="17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78"/>
    </row>
    <row r="517">
      <c r="A517" s="178"/>
      <c r="B517" s="179"/>
      <c r="C517" s="178"/>
      <c r="D517" s="178"/>
      <c r="E517" s="178"/>
      <c r="F517" s="17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78"/>
    </row>
    <row r="518">
      <c r="A518" s="178"/>
      <c r="B518" s="179"/>
      <c r="C518" s="178"/>
      <c r="D518" s="178"/>
      <c r="E518" s="178"/>
      <c r="F518" s="17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78"/>
    </row>
    <row r="519">
      <c r="A519" s="178"/>
      <c r="B519" s="179"/>
      <c r="C519" s="178"/>
      <c r="D519" s="178"/>
      <c r="E519" s="178"/>
      <c r="F519" s="17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78"/>
    </row>
    <row r="520">
      <c r="A520" s="178"/>
      <c r="B520" s="179"/>
      <c r="C520" s="178"/>
      <c r="D520" s="178"/>
      <c r="E520" s="178"/>
      <c r="F520" s="17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78"/>
    </row>
    <row r="521">
      <c r="A521" s="178"/>
      <c r="B521" s="179"/>
      <c r="C521" s="178"/>
      <c r="D521" s="178"/>
      <c r="E521" s="178"/>
      <c r="F521" s="17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78"/>
    </row>
    <row r="522">
      <c r="A522" s="178"/>
      <c r="B522" s="179"/>
      <c r="C522" s="178"/>
      <c r="D522" s="178"/>
      <c r="E522" s="178"/>
      <c r="F522" s="17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78"/>
    </row>
    <row r="523">
      <c r="A523" s="178"/>
      <c r="B523" s="179"/>
      <c r="C523" s="178"/>
      <c r="D523" s="178"/>
      <c r="E523" s="178"/>
      <c r="F523" s="17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78"/>
    </row>
    <row r="524">
      <c r="A524" s="178"/>
      <c r="B524" s="179"/>
      <c r="C524" s="178"/>
      <c r="D524" s="178"/>
      <c r="E524" s="178"/>
      <c r="F524" s="17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78"/>
    </row>
    <row r="525">
      <c r="A525" s="178"/>
      <c r="B525" s="179"/>
      <c r="C525" s="178"/>
      <c r="D525" s="178"/>
      <c r="E525" s="178"/>
      <c r="F525" s="17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78"/>
    </row>
    <row r="526">
      <c r="A526" s="178"/>
      <c r="B526" s="179"/>
      <c r="C526" s="178"/>
      <c r="D526" s="178"/>
      <c r="E526" s="178"/>
      <c r="F526" s="17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78"/>
    </row>
    <row r="527">
      <c r="A527" s="178"/>
      <c r="B527" s="179"/>
      <c r="C527" s="178"/>
      <c r="D527" s="178"/>
      <c r="E527" s="178"/>
      <c r="F527" s="17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78"/>
    </row>
    <row r="528">
      <c r="A528" s="178"/>
      <c r="B528" s="179"/>
      <c r="C528" s="178"/>
      <c r="D528" s="178"/>
      <c r="E528" s="178"/>
      <c r="F528" s="17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78"/>
    </row>
    <row r="529">
      <c r="A529" s="178"/>
      <c r="B529" s="179"/>
      <c r="C529" s="178"/>
      <c r="D529" s="178"/>
      <c r="E529" s="178"/>
      <c r="F529" s="17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78"/>
    </row>
    <row r="530">
      <c r="A530" s="178"/>
      <c r="B530" s="179"/>
      <c r="C530" s="178"/>
      <c r="D530" s="178"/>
      <c r="E530" s="178"/>
      <c r="F530" s="17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78"/>
    </row>
    <row r="531">
      <c r="A531" s="178"/>
      <c r="B531" s="179"/>
      <c r="C531" s="178"/>
      <c r="D531" s="178"/>
      <c r="E531" s="178"/>
      <c r="F531" s="17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78"/>
    </row>
    <row r="532">
      <c r="A532" s="178"/>
      <c r="B532" s="179"/>
      <c r="C532" s="178"/>
      <c r="D532" s="178"/>
      <c r="E532" s="178"/>
      <c r="F532" s="17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78"/>
    </row>
    <row r="533">
      <c r="A533" s="178"/>
      <c r="B533" s="179"/>
      <c r="C533" s="178"/>
      <c r="D533" s="178"/>
      <c r="E533" s="178"/>
      <c r="F533" s="17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78"/>
    </row>
    <row r="534">
      <c r="A534" s="178"/>
      <c r="B534" s="179"/>
      <c r="C534" s="178"/>
      <c r="D534" s="178"/>
      <c r="E534" s="178"/>
      <c r="F534" s="17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78"/>
    </row>
    <row r="535">
      <c r="A535" s="178"/>
      <c r="B535" s="179"/>
      <c r="C535" s="178"/>
      <c r="D535" s="178"/>
      <c r="E535" s="178"/>
      <c r="F535" s="17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78"/>
    </row>
    <row r="536">
      <c r="A536" s="178"/>
      <c r="B536" s="179"/>
      <c r="C536" s="178"/>
      <c r="D536" s="178"/>
      <c r="E536" s="178"/>
      <c r="F536" s="17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78"/>
    </row>
    <row r="537">
      <c r="A537" s="178"/>
      <c r="B537" s="179"/>
      <c r="C537" s="178"/>
      <c r="D537" s="178"/>
      <c r="E537" s="178"/>
      <c r="F537" s="17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78"/>
    </row>
    <row r="538">
      <c r="A538" s="178"/>
      <c r="B538" s="179"/>
      <c r="C538" s="178"/>
      <c r="D538" s="178"/>
      <c r="E538" s="178"/>
      <c r="F538" s="17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78"/>
    </row>
    <row r="539">
      <c r="A539" s="178"/>
      <c r="B539" s="179"/>
      <c r="C539" s="178"/>
      <c r="D539" s="178"/>
      <c r="E539" s="178"/>
      <c r="F539" s="17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78"/>
    </row>
    <row r="540">
      <c r="A540" s="178"/>
      <c r="B540" s="179"/>
      <c r="C540" s="178"/>
      <c r="D540" s="178"/>
      <c r="E540" s="178"/>
      <c r="F540" s="17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78"/>
    </row>
    <row r="541">
      <c r="A541" s="178"/>
      <c r="B541" s="179"/>
      <c r="C541" s="178"/>
      <c r="D541" s="178"/>
      <c r="E541" s="178"/>
      <c r="F541" s="17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78"/>
    </row>
    <row r="542">
      <c r="A542" s="178"/>
      <c r="B542" s="179"/>
      <c r="C542" s="178"/>
      <c r="D542" s="178"/>
      <c r="E542" s="178"/>
      <c r="F542" s="17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78"/>
    </row>
    <row r="543">
      <c r="A543" s="178"/>
      <c r="B543" s="179"/>
      <c r="C543" s="178"/>
      <c r="D543" s="178"/>
      <c r="E543" s="178"/>
      <c r="F543" s="17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78"/>
    </row>
    <row r="544">
      <c r="A544" s="178"/>
      <c r="B544" s="179"/>
      <c r="C544" s="178"/>
      <c r="D544" s="178"/>
      <c r="E544" s="178"/>
      <c r="F544" s="17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78"/>
    </row>
    <row r="545">
      <c r="A545" s="178"/>
      <c r="B545" s="179"/>
      <c r="C545" s="178"/>
      <c r="D545" s="178"/>
      <c r="E545" s="178"/>
      <c r="F545" s="17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78"/>
    </row>
    <row r="546">
      <c r="A546" s="178"/>
      <c r="B546" s="179"/>
      <c r="C546" s="178"/>
      <c r="D546" s="178"/>
      <c r="E546" s="178"/>
      <c r="F546" s="17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78"/>
    </row>
    <row r="547">
      <c r="A547" s="178"/>
      <c r="B547" s="179"/>
      <c r="C547" s="178"/>
      <c r="D547" s="178"/>
      <c r="E547" s="178"/>
      <c r="F547" s="17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78"/>
    </row>
    <row r="548">
      <c r="A548" s="178"/>
      <c r="B548" s="179"/>
      <c r="C548" s="178"/>
      <c r="D548" s="178"/>
      <c r="E548" s="178"/>
      <c r="F548" s="17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78"/>
    </row>
    <row r="549">
      <c r="A549" s="178"/>
      <c r="B549" s="179"/>
      <c r="C549" s="178"/>
      <c r="D549" s="178"/>
      <c r="E549" s="178"/>
      <c r="F549" s="17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78"/>
    </row>
    <row r="550">
      <c r="A550" s="178"/>
      <c r="B550" s="179"/>
      <c r="C550" s="178"/>
      <c r="D550" s="178"/>
      <c r="E550" s="178"/>
      <c r="F550" s="17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78"/>
    </row>
    <row r="551">
      <c r="A551" s="178"/>
      <c r="B551" s="179"/>
      <c r="C551" s="178"/>
      <c r="D551" s="178"/>
      <c r="E551" s="178"/>
      <c r="F551" s="17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78"/>
    </row>
    <row r="552">
      <c r="A552" s="178"/>
      <c r="B552" s="179"/>
      <c r="C552" s="178"/>
      <c r="D552" s="178"/>
      <c r="E552" s="178"/>
      <c r="F552" s="17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78"/>
    </row>
    <row r="553">
      <c r="A553" s="178"/>
      <c r="B553" s="179"/>
      <c r="C553" s="178"/>
      <c r="D553" s="178"/>
      <c r="E553" s="178"/>
      <c r="F553" s="178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78"/>
    </row>
    <row r="554">
      <c r="A554" s="178"/>
      <c r="B554" s="179"/>
      <c r="C554" s="178"/>
      <c r="D554" s="178"/>
      <c r="E554" s="178"/>
      <c r="F554" s="17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78"/>
    </row>
    <row r="555">
      <c r="A555" s="178"/>
      <c r="B555" s="179"/>
      <c r="C555" s="178"/>
      <c r="D555" s="178"/>
      <c r="E555" s="178"/>
      <c r="F555" s="17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78"/>
    </row>
    <row r="556">
      <c r="A556" s="178"/>
      <c r="B556" s="179"/>
      <c r="C556" s="178"/>
      <c r="D556" s="178"/>
      <c r="E556" s="178"/>
      <c r="F556" s="17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78"/>
    </row>
    <row r="557">
      <c r="A557" s="178"/>
      <c r="B557" s="179"/>
      <c r="C557" s="178"/>
      <c r="D557" s="178"/>
      <c r="E557" s="178"/>
      <c r="F557" s="17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78"/>
    </row>
    <row r="558">
      <c r="A558" s="178"/>
      <c r="B558" s="179"/>
      <c r="C558" s="178"/>
      <c r="D558" s="178"/>
      <c r="E558" s="178"/>
      <c r="F558" s="17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78"/>
    </row>
    <row r="559">
      <c r="A559" s="178"/>
      <c r="B559" s="179"/>
      <c r="C559" s="178"/>
      <c r="D559" s="178"/>
      <c r="E559" s="178"/>
      <c r="F559" s="17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78"/>
    </row>
    <row r="560">
      <c r="A560" s="178"/>
      <c r="B560" s="179"/>
      <c r="C560" s="178"/>
      <c r="D560" s="178"/>
      <c r="E560" s="178"/>
      <c r="F560" s="17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78"/>
    </row>
    <row r="561">
      <c r="A561" s="178"/>
      <c r="B561" s="179"/>
      <c r="C561" s="178"/>
      <c r="D561" s="178"/>
      <c r="E561" s="178"/>
      <c r="F561" s="17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78"/>
    </row>
    <row r="562">
      <c r="A562" s="178"/>
      <c r="B562" s="179"/>
      <c r="C562" s="178"/>
      <c r="D562" s="178"/>
      <c r="E562" s="178"/>
      <c r="F562" s="17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78"/>
    </row>
    <row r="563">
      <c r="A563" s="178"/>
      <c r="B563" s="179"/>
      <c r="C563" s="178"/>
      <c r="D563" s="178"/>
      <c r="E563" s="178"/>
      <c r="F563" s="17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78"/>
    </row>
    <row r="564">
      <c r="A564" s="178"/>
      <c r="B564" s="179"/>
      <c r="C564" s="178"/>
      <c r="D564" s="178"/>
      <c r="E564" s="178"/>
      <c r="F564" s="17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78"/>
    </row>
    <row r="565">
      <c r="A565" s="178"/>
      <c r="B565" s="179"/>
      <c r="C565" s="178"/>
      <c r="D565" s="178"/>
      <c r="E565" s="178"/>
      <c r="F565" s="17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78"/>
    </row>
    <row r="566">
      <c r="A566" s="178"/>
      <c r="B566" s="179"/>
      <c r="C566" s="178"/>
      <c r="D566" s="178"/>
      <c r="E566" s="178"/>
      <c r="F566" s="17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78"/>
    </row>
    <row r="567">
      <c r="A567" s="178"/>
      <c r="B567" s="179"/>
      <c r="C567" s="178"/>
      <c r="D567" s="178"/>
      <c r="E567" s="178"/>
      <c r="F567" s="17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78"/>
    </row>
    <row r="568">
      <c r="A568" s="178"/>
      <c r="B568" s="179"/>
      <c r="C568" s="178"/>
      <c r="D568" s="178"/>
      <c r="E568" s="178"/>
      <c r="F568" s="17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78"/>
    </row>
    <row r="569">
      <c r="A569" s="178"/>
      <c r="B569" s="179"/>
      <c r="C569" s="178"/>
      <c r="D569" s="178"/>
      <c r="E569" s="178"/>
      <c r="F569" s="17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78"/>
    </row>
    <row r="570">
      <c r="A570" s="178"/>
      <c r="B570" s="179"/>
      <c r="C570" s="178"/>
      <c r="D570" s="178"/>
      <c r="E570" s="178"/>
      <c r="F570" s="17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78"/>
    </row>
    <row r="571">
      <c r="A571" s="178"/>
      <c r="B571" s="179"/>
      <c r="C571" s="178"/>
      <c r="D571" s="178"/>
      <c r="E571" s="178"/>
      <c r="F571" s="17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78"/>
    </row>
    <row r="572">
      <c r="A572" s="178"/>
      <c r="B572" s="179"/>
      <c r="C572" s="178"/>
      <c r="D572" s="178"/>
      <c r="E572" s="178"/>
      <c r="F572" s="17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78"/>
    </row>
    <row r="573">
      <c r="A573" s="178"/>
      <c r="B573" s="179"/>
      <c r="C573" s="178"/>
      <c r="D573" s="178"/>
      <c r="E573" s="178"/>
      <c r="F573" s="17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78"/>
    </row>
    <row r="574">
      <c r="A574" s="178"/>
      <c r="B574" s="179"/>
      <c r="C574" s="178"/>
      <c r="D574" s="178"/>
      <c r="E574" s="178"/>
      <c r="F574" s="17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78"/>
    </row>
    <row r="575">
      <c r="A575" s="178"/>
      <c r="B575" s="179"/>
      <c r="C575" s="178"/>
      <c r="D575" s="178"/>
      <c r="E575" s="178"/>
      <c r="F575" s="17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78"/>
    </row>
    <row r="576">
      <c r="A576" s="178"/>
      <c r="B576" s="179"/>
      <c r="C576" s="178"/>
      <c r="D576" s="178"/>
      <c r="E576" s="178"/>
      <c r="F576" s="17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78"/>
    </row>
    <row r="577">
      <c r="A577" s="178"/>
      <c r="B577" s="179"/>
      <c r="C577" s="178"/>
      <c r="D577" s="178"/>
      <c r="E577" s="178"/>
      <c r="F577" s="17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78"/>
    </row>
    <row r="578">
      <c r="A578" s="178"/>
      <c r="B578" s="179"/>
      <c r="C578" s="178"/>
      <c r="D578" s="178"/>
      <c r="E578" s="178"/>
      <c r="F578" s="17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78"/>
    </row>
    <row r="579">
      <c r="A579" s="178"/>
      <c r="B579" s="179"/>
      <c r="C579" s="178"/>
      <c r="D579" s="178"/>
      <c r="E579" s="178"/>
      <c r="F579" s="17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78"/>
    </row>
    <row r="580">
      <c r="A580" s="178"/>
      <c r="B580" s="179"/>
      <c r="C580" s="178"/>
      <c r="D580" s="178"/>
      <c r="E580" s="178"/>
      <c r="F580" s="17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78"/>
    </row>
    <row r="581">
      <c r="A581" s="178"/>
      <c r="B581" s="179"/>
      <c r="C581" s="178"/>
      <c r="D581" s="178"/>
      <c r="E581" s="178"/>
      <c r="F581" s="17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78"/>
    </row>
    <row r="582">
      <c r="A582" s="178"/>
      <c r="B582" s="179"/>
      <c r="C582" s="178"/>
      <c r="D582" s="178"/>
      <c r="E582" s="178"/>
      <c r="F582" s="17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78"/>
    </row>
    <row r="583">
      <c r="A583" s="178"/>
      <c r="B583" s="179"/>
      <c r="C583" s="178"/>
      <c r="D583" s="178"/>
      <c r="E583" s="178"/>
      <c r="F583" s="17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78"/>
    </row>
    <row r="584">
      <c r="A584" s="178"/>
      <c r="B584" s="179"/>
      <c r="C584" s="178"/>
      <c r="D584" s="178"/>
      <c r="E584" s="178"/>
      <c r="F584" s="17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78"/>
    </row>
    <row r="585">
      <c r="A585" s="178"/>
      <c r="B585" s="179"/>
      <c r="C585" s="178"/>
      <c r="D585" s="178"/>
      <c r="E585" s="178"/>
      <c r="F585" s="17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78"/>
    </row>
    <row r="586">
      <c r="A586" s="178"/>
      <c r="B586" s="179"/>
      <c r="C586" s="178"/>
      <c r="D586" s="178"/>
      <c r="E586" s="178"/>
      <c r="F586" s="17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78"/>
    </row>
    <row r="587">
      <c r="A587" s="178"/>
      <c r="B587" s="179"/>
      <c r="C587" s="178"/>
      <c r="D587" s="178"/>
      <c r="E587" s="178"/>
      <c r="F587" s="17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78"/>
    </row>
    <row r="588">
      <c r="A588" s="178"/>
      <c r="B588" s="179"/>
      <c r="C588" s="178"/>
      <c r="D588" s="178"/>
      <c r="E588" s="178"/>
      <c r="F588" s="17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78"/>
    </row>
    <row r="589">
      <c r="A589" s="178"/>
      <c r="B589" s="179"/>
      <c r="C589" s="178"/>
      <c r="D589" s="178"/>
      <c r="E589" s="178"/>
      <c r="F589" s="17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78"/>
    </row>
    <row r="590">
      <c r="A590" s="178"/>
      <c r="B590" s="179"/>
      <c r="C590" s="178"/>
      <c r="D590" s="178"/>
      <c r="E590" s="178"/>
      <c r="F590" s="17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78"/>
    </row>
    <row r="591">
      <c r="A591" s="178"/>
      <c r="B591" s="179"/>
      <c r="C591" s="178"/>
      <c r="D591" s="178"/>
      <c r="E591" s="178"/>
      <c r="F591" s="17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78"/>
    </row>
    <row r="592">
      <c r="A592" s="178"/>
      <c r="B592" s="179"/>
      <c r="C592" s="178"/>
      <c r="D592" s="178"/>
      <c r="E592" s="178"/>
      <c r="F592" s="17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78"/>
    </row>
    <row r="593">
      <c r="A593" s="178"/>
      <c r="B593" s="179"/>
      <c r="C593" s="178"/>
      <c r="D593" s="178"/>
      <c r="E593" s="178"/>
      <c r="F593" s="17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78"/>
    </row>
    <row r="594">
      <c r="A594" s="178"/>
      <c r="B594" s="179"/>
      <c r="C594" s="178"/>
      <c r="D594" s="178"/>
      <c r="E594" s="178"/>
      <c r="F594" s="17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78"/>
    </row>
    <row r="595">
      <c r="A595" s="178"/>
      <c r="B595" s="179"/>
      <c r="C595" s="178"/>
      <c r="D595" s="178"/>
      <c r="E595" s="178"/>
      <c r="F595" s="17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78"/>
    </row>
    <row r="596">
      <c r="A596" s="178"/>
      <c r="B596" s="179"/>
      <c r="C596" s="178"/>
      <c r="D596" s="178"/>
      <c r="E596" s="178"/>
      <c r="F596" s="17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78"/>
    </row>
    <row r="597">
      <c r="A597" s="178"/>
      <c r="B597" s="179"/>
      <c r="C597" s="178"/>
      <c r="D597" s="178"/>
      <c r="E597" s="178"/>
      <c r="F597" s="17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78"/>
    </row>
    <row r="598">
      <c r="A598" s="178"/>
      <c r="B598" s="179"/>
      <c r="C598" s="178"/>
      <c r="D598" s="178"/>
      <c r="E598" s="178"/>
      <c r="F598" s="17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78"/>
    </row>
    <row r="599">
      <c r="A599" s="178"/>
      <c r="B599" s="179"/>
      <c r="C599" s="178"/>
      <c r="D599" s="178"/>
      <c r="E599" s="178"/>
      <c r="F599" s="17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78"/>
    </row>
    <row r="600">
      <c r="A600" s="178"/>
      <c r="B600" s="179"/>
      <c r="C600" s="178"/>
      <c r="D600" s="178"/>
      <c r="E600" s="178"/>
      <c r="F600" s="17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78"/>
    </row>
    <row r="601">
      <c r="A601" s="178"/>
      <c r="B601" s="179"/>
      <c r="C601" s="178"/>
      <c r="D601" s="178"/>
      <c r="E601" s="178"/>
      <c r="F601" s="17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78"/>
    </row>
    <row r="602">
      <c r="A602" s="178"/>
      <c r="B602" s="179"/>
      <c r="C602" s="178"/>
      <c r="D602" s="178"/>
      <c r="E602" s="178"/>
      <c r="F602" s="17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78"/>
    </row>
    <row r="603">
      <c r="A603" s="178"/>
      <c r="B603" s="179"/>
      <c r="C603" s="178"/>
      <c r="D603" s="178"/>
      <c r="E603" s="178"/>
      <c r="F603" s="17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78"/>
    </row>
    <row r="604">
      <c r="A604" s="178"/>
      <c r="B604" s="179"/>
      <c r="C604" s="178"/>
      <c r="D604" s="178"/>
      <c r="E604" s="178"/>
      <c r="F604" s="17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78"/>
    </row>
    <row r="605">
      <c r="A605" s="178"/>
      <c r="B605" s="179"/>
      <c r="C605" s="178"/>
      <c r="D605" s="178"/>
      <c r="E605" s="178"/>
      <c r="F605" s="17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78"/>
    </row>
    <row r="606">
      <c r="A606" s="178"/>
      <c r="B606" s="179"/>
      <c r="C606" s="178"/>
      <c r="D606" s="178"/>
      <c r="E606" s="178"/>
      <c r="F606" s="17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78"/>
    </row>
    <row r="607">
      <c r="A607" s="178"/>
      <c r="B607" s="179"/>
      <c r="C607" s="178"/>
      <c r="D607" s="178"/>
      <c r="E607" s="178"/>
      <c r="F607" s="17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78"/>
    </row>
    <row r="608">
      <c r="A608" s="178"/>
      <c r="B608" s="179"/>
      <c r="C608" s="178"/>
      <c r="D608" s="178"/>
      <c r="E608" s="178"/>
      <c r="F608" s="17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78"/>
    </row>
    <row r="609">
      <c r="A609" s="178"/>
      <c r="B609" s="179"/>
      <c r="C609" s="178"/>
      <c r="D609" s="178"/>
      <c r="E609" s="178"/>
      <c r="F609" s="17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78"/>
    </row>
    <row r="610">
      <c r="A610" s="178"/>
      <c r="B610" s="179"/>
      <c r="C610" s="178"/>
      <c r="D610" s="178"/>
      <c r="E610" s="178"/>
      <c r="F610" s="17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78"/>
    </row>
    <row r="611">
      <c r="A611" s="178"/>
      <c r="B611" s="179"/>
      <c r="C611" s="178"/>
      <c r="D611" s="178"/>
      <c r="E611" s="178"/>
      <c r="F611" s="17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78"/>
    </row>
    <row r="612">
      <c r="A612" s="178"/>
      <c r="B612" s="179"/>
      <c r="C612" s="178"/>
      <c r="D612" s="178"/>
      <c r="E612" s="178"/>
      <c r="F612" s="17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78"/>
    </row>
    <row r="613">
      <c r="A613" s="178"/>
      <c r="B613" s="179"/>
      <c r="C613" s="178"/>
      <c r="D613" s="178"/>
      <c r="E613" s="178"/>
      <c r="F613" s="17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78"/>
    </row>
    <row r="614">
      <c r="A614" s="178"/>
      <c r="B614" s="179"/>
      <c r="C614" s="178"/>
      <c r="D614" s="178"/>
      <c r="E614" s="178"/>
      <c r="F614" s="17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78"/>
    </row>
    <row r="615">
      <c r="A615" s="178"/>
      <c r="B615" s="179"/>
      <c r="C615" s="178"/>
      <c r="D615" s="178"/>
      <c r="E615" s="178"/>
      <c r="F615" s="178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78"/>
    </row>
    <row r="616">
      <c r="A616" s="178"/>
      <c r="B616" s="179"/>
      <c r="C616" s="178"/>
      <c r="D616" s="178"/>
      <c r="E616" s="178"/>
      <c r="F616" s="17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78"/>
    </row>
    <row r="617">
      <c r="A617" s="178"/>
      <c r="B617" s="179"/>
      <c r="C617" s="178"/>
      <c r="D617" s="178"/>
      <c r="E617" s="178"/>
      <c r="F617" s="17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78"/>
    </row>
    <row r="618">
      <c r="A618" s="178"/>
      <c r="B618" s="179"/>
      <c r="C618" s="178"/>
      <c r="D618" s="178"/>
      <c r="E618" s="178"/>
      <c r="F618" s="17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78"/>
    </row>
    <row r="619">
      <c r="A619" s="178"/>
      <c r="B619" s="179"/>
      <c r="C619" s="178"/>
      <c r="D619" s="178"/>
      <c r="E619" s="178"/>
      <c r="F619" s="17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78"/>
    </row>
    <row r="620">
      <c r="A620" s="178"/>
      <c r="B620" s="179"/>
      <c r="C620" s="178"/>
      <c r="D620" s="178"/>
      <c r="E620" s="178"/>
      <c r="F620" s="17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78"/>
    </row>
    <row r="621">
      <c r="A621" s="178"/>
      <c r="B621" s="179"/>
      <c r="C621" s="178"/>
      <c r="D621" s="178"/>
      <c r="E621" s="178"/>
      <c r="F621" s="17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78"/>
    </row>
    <row r="622">
      <c r="A622" s="178"/>
      <c r="B622" s="179"/>
      <c r="C622" s="178"/>
      <c r="D622" s="178"/>
      <c r="E622" s="178"/>
      <c r="F622" s="178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78"/>
    </row>
    <row r="623">
      <c r="A623" s="178"/>
      <c r="B623" s="179"/>
      <c r="C623" s="178"/>
      <c r="D623" s="178"/>
      <c r="E623" s="178"/>
      <c r="F623" s="17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78"/>
    </row>
    <row r="624">
      <c r="A624" s="178"/>
      <c r="B624" s="179"/>
      <c r="C624" s="178"/>
      <c r="D624" s="178"/>
      <c r="E624" s="178"/>
      <c r="F624" s="17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78"/>
    </row>
    <row r="625">
      <c r="A625" s="178"/>
      <c r="B625" s="179"/>
      <c r="C625" s="178"/>
      <c r="D625" s="178"/>
      <c r="E625" s="178"/>
      <c r="F625" s="17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78"/>
    </row>
    <row r="626">
      <c r="A626" s="178"/>
      <c r="B626" s="179"/>
      <c r="C626" s="178"/>
      <c r="D626" s="178"/>
      <c r="E626" s="178"/>
      <c r="F626" s="17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78"/>
    </row>
    <row r="627">
      <c r="A627" s="178"/>
      <c r="B627" s="179"/>
      <c r="C627" s="178"/>
      <c r="D627" s="178"/>
      <c r="E627" s="178"/>
      <c r="F627" s="17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78"/>
    </row>
    <row r="628">
      <c r="A628" s="178"/>
      <c r="B628" s="179"/>
      <c r="C628" s="178"/>
      <c r="D628" s="178"/>
      <c r="E628" s="178"/>
      <c r="F628" s="17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78"/>
    </row>
    <row r="629">
      <c r="A629" s="178"/>
      <c r="B629" s="179"/>
      <c r="C629" s="178"/>
      <c r="D629" s="178"/>
      <c r="E629" s="178"/>
      <c r="F629" s="17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78"/>
    </row>
    <row r="630">
      <c r="A630" s="178"/>
      <c r="B630" s="179"/>
      <c r="C630" s="178"/>
      <c r="D630" s="178"/>
      <c r="E630" s="178"/>
      <c r="F630" s="17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78"/>
    </row>
    <row r="631">
      <c r="A631" s="178"/>
      <c r="B631" s="179"/>
      <c r="C631" s="178"/>
      <c r="D631" s="178"/>
      <c r="E631" s="178"/>
      <c r="F631" s="17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78"/>
    </row>
    <row r="632">
      <c r="A632" s="178"/>
      <c r="B632" s="179"/>
      <c r="C632" s="178"/>
      <c r="D632" s="178"/>
      <c r="E632" s="178"/>
      <c r="F632" s="17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78"/>
    </row>
    <row r="633">
      <c r="A633" s="178"/>
      <c r="B633" s="179"/>
      <c r="C633" s="178"/>
      <c r="D633" s="178"/>
      <c r="E633" s="178"/>
      <c r="F633" s="17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78"/>
    </row>
    <row r="634">
      <c r="A634" s="178"/>
      <c r="B634" s="179"/>
      <c r="C634" s="178"/>
      <c r="D634" s="178"/>
      <c r="E634" s="178"/>
      <c r="F634" s="17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78"/>
    </row>
    <row r="635">
      <c r="A635" s="178"/>
      <c r="B635" s="179"/>
      <c r="C635" s="178"/>
      <c r="D635" s="178"/>
      <c r="E635" s="178"/>
      <c r="F635" s="17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78"/>
    </row>
    <row r="636">
      <c r="A636" s="178"/>
      <c r="B636" s="179"/>
      <c r="C636" s="178"/>
      <c r="D636" s="178"/>
      <c r="E636" s="178"/>
      <c r="F636" s="17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78"/>
    </row>
    <row r="637">
      <c r="A637" s="178"/>
      <c r="B637" s="179"/>
      <c r="C637" s="178"/>
      <c r="D637" s="178"/>
      <c r="E637" s="178"/>
      <c r="F637" s="17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78"/>
    </row>
    <row r="638">
      <c r="A638" s="178"/>
      <c r="B638" s="179"/>
      <c r="C638" s="178"/>
      <c r="D638" s="178"/>
      <c r="E638" s="178"/>
      <c r="F638" s="17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78"/>
    </row>
    <row r="639">
      <c r="A639" s="178"/>
      <c r="B639" s="179"/>
      <c r="C639" s="178"/>
      <c r="D639" s="178"/>
      <c r="E639" s="178"/>
      <c r="F639" s="17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78"/>
    </row>
    <row r="640">
      <c r="A640" s="178"/>
      <c r="B640" s="179"/>
      <c r="C640" s="178"/>
      <c r="D640" s="178"/>
      <c r="E640" s="178"/>
      <c r="F640" s="17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78"/>
    </row>
    <row r="641">
      <c r="A641" s="178"/>
      <c r="B641" s="179"/>
      <c r="C641" s="178"/>
      <c r="D641" s="178"/>
      <c r="E641" s="178"/>
      <c r="F641" s="17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78"/>
    </row>
    <row r="642">
      <c r="A642" s="178"/>
      <c r="B642" s="179"/>
      <c r="C642" s="178"/>
      <c r="D642" s="178"/>
      <c r="E642" s="178"/>
      <c r="F642" s="17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78"/>
    </row>
    <row r="643">
      <c r="A643" s="178"/>
      <c r="B643" s="179"/>
      <c r="C643" s="178"/>
      <c r="D643" s="178"/>
      <c r="E643" s="178"/>
      <c r="F643" s="17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78"/>
    </row>
  </sheetData>
  <dataValidations>
    <dataValidation type="list" allowBlank="1" sqref="D28">
      <formula1>Menu!$B$20:$B$23</formula1>
    </dataValidation>
    <dataValidation type="list" allowBlank="1" sqref="F21 F26 F50 F59 F67">
      <formula1>Menu!$B$74:$B$81</formula1>
    </dataValidation>
    <dataValidation type="list" allowBlank="1" sqref="E6:E10 E12:E15 E17:E19 E21:E22 E24:E26 E28 E31:E33 E42:E45 E48 E50:E52 E54 E58:E62 E64 E67 E71:E72 E79 E81 E88:E89 E92 E94:E95 E105:E106">
      <formula1>Menu!$B$36:$B$60</formula1>
    </dataValidation>
    <dataValidation type="list" allowBlank="1" sqref="D53">
      <formula1>#REF!</formula1>
    </dataValidation>
    <dataValidation type="list" allowBlank="1" sqref="F5:F9 F11:F15 F17:F19 F22 F24:F25 F27:F28 F30:F33 F38 F42:F46 F48 F51:F52 F54 F58 F60:F64 F68 F71 F74:F79 F81 F88:F90 F92 F95 F102">
      <formula1>Menu!$B$74:$B$84</formula1>
    </dataValidation>
    <dataValidation type="list" allowBlank="1" sqref="C11 C20:C21 C23 C29:C30 C34 C36 C41 C45 C49:C50 C57 C59 C63 C65 C67:C69 C72:C73 C75 C77 C80:C84 C86 C93:C94 C102 C105:C107">
      <formula1>Menu!$B$2:$B$16</formula1>
    </dataValidation>
    <dataValidation type="list" allowBlank="1" sqref="C5:C10 C12:C19 C22 C24:C28 C31:C33 C35 C37:C40 C42:C44 C46:C48 C51:C52 C54:C56 C58 C60:C62 C64 C66 C70:C71 C74 C76 C78:C79 C85 C87:C92 C95 C104 C108">
      <formula1>Menu!$B$2:$B$15</formula1>
    </dataValidation>
    <dataValidation type="list" allowBlank="1" sqref="F10 F16 F20 F23 F29 F34:F37 F39:F41 F47 F49 F55:F57 F65:F66 F69:F70 F72:F73 F80 F82:F86 F93:F94 F105 F107:F108">
      <formula1>Menu!$B$74:$B$86</formula1>
    </dataValidation>
    <dataValidation type="list" allowBlank="1" sqref="E11 E20 E23 E29 E34 E41 E57 E70 E80 E83">
      <formula1>Menu!$B$36:$B$60</formula1>
    </dataValidation>
    <dataValidation type="list" allowBlank="1" sqref="D21 D30 D50 D59 D67 D77 D102 D107">
      <formula1>Menu!$B$20:$B$28</formula1>
    </dataValidation>
    <dataValidation type="list" allowBlank="1" sqref="C53">
      <formula1>#REF!</formula1>
    </dataValidation>
    <dataValidation type="list" allowBlank="1" sqref="D5:D10 D12:D19 D22 D24:D25 D27 D31:D40 D42:D49 D51:D52 D54:D56 D58 D60:D66 D69:D74 D76 D78:D79 D81:D82 D84:D91 D93:D95 D104:D106 D108">
      <formula1>Menu!$B$20:$B$27</formula1>
    </dataValidation>
    <dataValidation type="list" allowBlank="1" sqref="D11 D20 D23 D26 D29 D41 D57 D80 D83 D92">
      <formula1>Menu!$B$17:$B$27</formula1>
    </dataValidation>
    <dataValidation type="list" allowBlank="1" sqref="H5:H95">
      <formula1>Menu!$A$1</formula1>
    </dataValidation>
    <dataValidation type="list" allowBlank="1" sqref="E53">
      <formula1>#REF!</formula1>
    </dataValidation>
    <dataValidation type="list" allowBlank="1" sqref="F53">
      <formula1>#REF!</formula1>
    </dataValidation>
    <dataValidation type="list" allowBlank="1" sqref="E5 E16 E27 E30 E35:E40 E46:E47 E49 E55:E56 E63 E65:E66 E68:E69 E73:E78 E82 E84:E87 E90:E91 E93 E102 E104 E107:E108">
      <formula1>Menu!$B$36:$B$61</formula1>
    </dataValidation>
    <dataValidation type="list" allowBlank="1" sqref="D68 D75">
      <formula1>Menu!$B$21:$B$27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4.25"/>
    <col hidden="1" min="2" max="2" width="12.63"/>
    <col customWidth="1" hidden="1" min="3" max="3" width="34.25"/>
    <col hidden="1" min="4" max="4" width="12.63"/>
    <col customWidth="1" hidden="1" min="5" max="5" width="34.25"/>
    <col hidden="1" min="6" max="6" width="12.63"/>
    <col customWidth="1" hidden="1" min="7" max="7" width="34.25"/>
    <col hidden="1" min="8" max="8" width="12.63"/>
    <col customWidth="1" hidden="1" min="9" max="9" width="34.25"/>
    <col hidden="1" min="10" max="10" width="12.63"/>
    <col customWidth="1" hidden="1" min="11" max="11" width="34.25"/>
    <col hidden="1" min="12" max="12" width="12.63"/>
    <col customWidth="1" hidden="1" min="13" max="13" width="34.25"/>
    <col hidden="1" min="14" max="14" width="12.63"/>
    <col customWidth="1" hidden="1" min="15" max="15" width="34.25"/>
    <col hidden="1" min="16" max="16" width="12.63"/>
    <col customWidth="1" hidden="1" min="17" max="17" width="34.25"/>
    <col hidden="1" min="18" max="18" width="12.63"/>
    <col customWidth="1" hidden="1" min="19" max="19" width="34.25"/>
    <col hidden="1" min="20" max="20" width="12.63"/>
    <col customWidth="1" hidden="1" min="21" max="21" width="34.25"/>
    <col hidden="1" min="22" max="22" width="12.63"/>
    <col customWidth="1" hidden="1" min="23" max="23" width="34.25"/>
    <col hidden="1" min="24" max="24" width="12.63"/>
    <col customWidth="1" hidden="1" min="25" max="25" width="34.25"/>
    <col hidden="1" min="26" max="26" width="12.63"/>
    <col customWidth="1" hidden="1" min="27" max="27" width="34.25"/>
    <col hidden="1" min="28" max="28" width="12.63"/>
    <col customWidth="1" hidden="1" min="29" max="29" width="34.25"/>
    <col hidden="1" min="30" max="30" width="12.63"/>
    <col customWidth="1" hidden="1" min="31" max="31" width="34.25"/>
    <col hidden="1" min="32" max="32" width="12.63"/>
    <col customWidth="1" hidden="1" min="33" max="33" width="34.25"/>
    <col hidden="1" min="34" max="34" width="12.63"/>
    <col customWidth="1" hidden="1" min="35" max="35" width="34.25"/>
    <col hidden="1" min="36" max="36" width="12.63"/>
    <col customWidth="1" hidden="1" min="37" max="37" width="34.25"/>
    <col hidden="1" min="38" max="38" width="12.63"/>
    <col customWidth="1" hidden="1" min="39" max="39" width="34.25"/>
    <col hidden="1" min="40" max="40" width="12.63"/>
    <col customWidth="1" hidden="1" min="41" max="41" width="34.25"/>
    <col hidden="1" min="42" max="42" width="12.63"/>
    <col customWidth="1" min="43" max="43" width="34.25"/>
    <col customWidth="1" min="45" max="45" width="34.25"/>
    <col customWidth="1" min="47" max="47" width="34.25"/>
    <col customWidth="1" min="49" max="49" width="34.25"/>
  </cols>
  <sheetData>
    <row r="1">
      <c r="A1" s="2" t="s">
        <v>620</v>
      </c>
      <c r="B1" s="13"/>
      <c r="C1" s="2" t="s">
        <v>621</v>
      </c>
      <c r="D1" s="13"/>
      <c r="E1" s="2" t="s">
        <v>622</v>
      </c>
      <c r="F1" s="13"/>
      <c r="G1" s="11" t="s">
        <v>623</v>
      </c>
      <c r="H1" s="13"/>
      <c r="I1" s="11" t="s">
        <v>624</v>
      </c>
      <c r="J1" s="13"/>
      <c r="K1" s="11" t="s">
        <v>625</v>
      </c>
      <c r="L1" s="13"/>
      <c r="M1" s="126" t="s">
        <v>626</v>
      </c>
      <c r="N1" s="13"/>
      <c r="O1" s="11" t="s">
        <v>627</v>
      </c>
      <c r="P1" s="13"/>
      <c r="Q1" s="11" t="s">
        <v>628</v>
      </c>
      <c r="R1" s="13"/>
      <c r="S1" s="11" t="s">
        <v>629</v>
      </c>
      <c r="T1" s="13"/>
      <c r="U1" s="11" t="s">
        <v>630</v>
      </c>
      <c r="V1" s="13"/>
      <c r="W1" s="11" t="s">
        <v>631</v>
      </c>
      <c r="X1" s="13"/>
      <c r="Y1" s="11" t="s">
        <v>632</v>
      </c>
      <c r="Z1" s="13"/>
      <c r="AA1" s="11" t="s">
        <v>633</v>
      </c>
      <c r="AB1" s="13"/>
      <c r="AC1" s="11" t="s">
        <v>634</v>
      </c>
      <c r="AD1" s="13"/>
      <c r="AE1" s="11" t="s">
        <v>635</v>
      </c>
      <c r="AF1" s="13"/>
      <c r="AG1" s="11" t="s">
        <v>636</v>
      </c>
      <c r="AH1" s="13"/>
      <c r="AI1" s="11" t="s">
        <v>637</v>
      </c>
      <c r="AJ1" s="13"/>
      <c r="AK1" s="11" t="s">
        <v>638</v>
      </c>
      <c r="AL1" s="13"/>
      <c r="AM1" s="11" t="s">
        <v>639</v>
      </c>
      <c r="AN1" s="13"/>
      <c r="AO1" s="11" t="s">
        <v>640</v>
      </c>
      <c r="AP1" s="13"/>
      <c r="AQ1" s="11" t="s">
        <v>641</v>
      </c>
      <c r="AR1" s="13"/>
      <c r="AS1" s="11" t="s">
        <v>642</v>
      </c>
      <c r="AT1" s="13"/>
      <c r="AU1" s="11" t="s">
        <v>643</v>
      </c>
      <c r="AV1" s="13"/>
      <c r="AW1" s="11" t="s">
        <v>644</v>
      </c>
      <c r="AX1" s="13"/>
    </row>
    <row r="2">
      <c r="A2" s="35" t="s">
        <v>12</v>
      </c>
      <c r="B2" s="35">
        <v>6.0</v>
      </c>
      <c r="C2" s="35" t="s">
        <v>54</v>
      </c>
      <c r="D2" s="35">
        <v>39.0</v>
      </c>
      <c r="E2" s="35" t="s">
        <v>12</v>
      </c>
      <c r="F2" s="35">
        <v>4.0</v>
      </c>
      <c r="G2" s="35" t="s">
        <v>12</v>
      </c>
      <c r="H2" s="35">
        <v>6.0</v>
      </c>
      <c r="I2" s="35" t="s">
        <v>12</v>
      </c>
      <c r="J2" s="35">
        <v>5.0</v>
      </c>
      <c r="K2" s="35" t="s">
        <v>12</v>
      </c>
      <c r="L2" s="35">
        <v>11.0</v>
      </c>
      <c r="M2" s="35" t="s">
        <v>12</v>
      </c>
      <c r="N2" s="35">
        <v>7.0</v>
      </c>
      <c r="O2" s="35" t="s">
        <v>54</v>
      </c>
      <c r="P2" s="35">
        <v>40.0</v>
      </c>
      <c r="Q2" s="35" t="s">
        <v>12</v>
      </c>
      <c r="R2" s="35">
        <v>7.0</v>
      </c>
      <c r="S2" s="35" t="s">
        <v>12</v>
      </c>
      <c r="T2" s="35">
        <v>7.0</v>
      </c>
      <c r="U2" s="35" t="s">
        <v>12</v>
      </c>
      <c r="V2" s="35">
        <v>3.0</v>
      </c>
      <c r="W2" s="35" t="s">
        <v>12</v>
      </c>
      <c r="X2" s="35">
        <v>4.0</v>
      </c>
      <c r="Y2" s="35" t="s">
        <v>12</v>
      </c>
      <c r="Z2" s="35">
        <v>6.0</v>
      </c>
      <c r="AA2" s="35" t="s">
        <v>54</v>
      </c>
      <c r="AB2" s="35">
        <v>40.0</v>
      </c>
      <c r="AC2" s="35" t="s">
        <v>12</v>
      </c>
      <c r="AD2" s="35">
        <v>3.0</v>
      </c>
      <c r="AE2" s="35" t="s">
        <v>12</v>
      </c>
      <c r="AF2" s="35">
        <v>4.0</v>
      </c>
      <c r="AG2" s="35" t="s">
        <v>12</v>
      </c>
      <c r="AH2" s="35">
        <v>4.0</v>
      </c>
      <c r="AI2" s="35" t="s">
        <v>12</v>
      </c>
      <c r="AJ2" s="35">
        <v>8.0</v>
      </c>
      <c r="AK2" s="35" t="s">
        <v>12</v>
      </c>
      <c r="AL2" s="35">
        <v>4.0</v>
      </c>
      <c r="AM2" s="35" t="s">
        <v>54</v>
      </c>
      <c r="AN2" s="35">
        <v>39.0</v>
      </c>
      <c r="AO2" s="35" t="s">
        <v>12</v>
      </c>
      <c r="AP2" s="35">
        <v>9.0</v>
      </c>
      <c r="AQ2" s="35" t="s">
        <v>12</v>
      </c>
      <c r="AR2" s="35">
        <v>5.0</v>
      </c>
      <c r="AS2" s="35" t="s">
        <v>12</v>
      </c>
      <c r="AT2" s="35">
        <v>3.0</v>
      </c>
      <c r="AU2" s="35" t="s">
        <v>12</v>
      </c>
      <c r="AV2" s="35">
        <v>8.0</v>
      </c>
      <c r="AW2" s="35" t="s">
        <v>12</v>
      </c>
      <c r="AX2" s="35">
        <v>7.0</v>
      </c>
    </row>
    <row r="3">
      <c r="A3" s="35" t="s">
        <v>16</v>
      </c>
      <c r="B3" s="35">
        <v>15.0</v>
      </c>
      <c r="C3" s="35" t="s">
        <v>71</v>
      </c>
      <c r="D3" s="35">
        <v>25.0</v>
      </c>
      <c r="E3" s="35" t="s">
        <v>16</v>
      </c>
      <c r="F3" s="35">
        <v>23.0</v>
      </c>
      <c r="G3" s="35" t="s">
        <v>16</v>
      </c>
      <c r="H3" s="35">
        <v>16.0</v>
      </c>
      <c r="I3" s="35" t="s">
        <v>16</v>
      </c>
      <c r="J3" s="35">
        <v>10.0</v>
      </c>
      <c r="K3" s="35" t="s">
        <v>16</v>
      </c>
      <c r="L3" s="35">
        <v>11.0</v>
      </c>
      <c r="M3" s="35" t="s">
        <v>16</v>
      </c>
      <c r="N3" s="35">
        <v>20.0</v>
      </c>
      <c r="O3" s="35" t="s">
        <v>71</v>
      </c>
      <c r="P3" s="35">
        <v>21.0</v>
      </c>
      <c r="Q3" s="35" t="s">
        <v>16</v>
      </c>
      <c r="R3" s="35">
        <v>15.0</v>
      </c>
      <c r="S3" s="35" t="s">
        <v>16</v>
      </c>
      <c r="T3" s="35">
        <v>18.0</v>
      </c>
      <c r="U3" s="35" t="s">
        <v>16</v>
      </c>
      <c r="V3" s="35">
        <v>8.0</v>
      </c>
      <c r="W3" s="35" t="s">
        <v>16</v>
      </c>
      <c r="X3" s="35">
        <v>21.0</v>
      </c>
      <c r="Y3" s="35" t="s">
        <v>16</v>
      </c>
      <c r="Z3" s="35">
        <v>19.0</v>
      </c>
      <c r="AA3" s="35" t="s">
        <v>71</v>
      </c>
      <c r="AB3" s="35">
        <v>23.0</v>
      </c>
      <c r="AC3" s="35" t="s">
        <v>16</v>
      </c>
      <c r="AD3" s="35">
        <v>18.0</v>
      </c>
      <c r="AE3" s="35" t="s">
        <v>16</v>
      </c>
      <c r="AF3" s="35">
        <v>21.0</v>
      </c>
      <c r="AG3" s="35" t="s">
        <v>16</v>
      </c>
      <c r="AH3" s="35">
        <v>10.0</v>
      </c>
      <c r="AI3" s="35" t="s">
        <v>16</v>
      </c>
      <c r="AJ3" s="35">
        <v>12.0</v>
      </c>
      <c r="AK3" s="35" t="s">
        <v>16</v>
      </c>
      <c r="AL3" s="35">
        <v>17.0</v>
      </c>
      <c r="AM3" s="35" t="s">
        <v>71</v>
      </c>
      <c r="AN3" s="35">
        <v>20.0</v>
      </c>
      <c r="AO3" s="35" t="s">
        <v>16</v>
      </c>
      <c r="AP3" s="35">
        <v>19.0</v>
      </c>
      <c r="AQ3" s="35" t="s">
        <v>16</v>
      </c>
      <c r="AR3" s="35">
        <v>16.0</v>
      </c>
      <c r="AS3" s="35" t="s">
        <v>16</v>
      </c>
      <c r="AT3" s="35">
        <v>9.0</v>
      </c>
      <c r="AU3" s="35" t="s">
        <v>16</v>
      </c>
      <c r="AV3" s="35">
        <v>14.0</v>
      </c>
      <c r="AW3" s="35" t="s">
        <v>16</v>
      </c>
      <c r="AX3" s="35">
        <v>10.0</v>
      </c>
    </row>
    <row r="4">
      <c r="A4" s="35" t="s">
        <v>23</v>
      </c>
      <c r="B4" s="35">
        <v>4.0</v>
      </c>
      <c r="C4" s="8"/>
      <c r="D4" s="8"/>
      <c r="E4" s="35" t="s">
        <v>23</v>
      </c>
      <c r="F4" s="35">
        <v>6.0</v>
      </c>
      <c r="G4" s="35" t="s">
        <v>23</v>
      </c>
      <c r="H4" s="35">
        <v>7.0</v>
      </c>
      <c r="I4" s="35" t="s">
        <v>23</v>
      </c>
      <c r="J4" s="35">
        <v>5.0</v>
      </c>
      <c r="K4" s="35" t="s">
        <v>23</v>
      </c>
      <c r="L4" s="35">
        <v>3.0</v>
      </c>
      <c r="M4" s="35" t="s">
        <v>23</v>
      </c>
      <c r="N4" s="35">
        <v>3.0</v>
      </c>
      <c r="O4" s="8"/>
      <c r="P4" s="8"/>
      <c r="Q4" s="35" t="s">
        <v>23</v>
      </c>
      <c r="R4" s="35">
        <v>8.0</v>
      </c>
      <c r="S4" s="35" t="s">
        <v>23</v>
      </c>
      <c r="T4" s="35">
        <v>4.0</v>
      </c>
      <c r="U4" s="35" t="s">
        <v>23</v>
      </c>
      <c r="V4" s="35">
        <v>5.0</v>
      </c>
      <c r="W4" s="35" t="s">
        <v>23</v>
      </c>
      <c r="X4" s="35">
        <v>7.0</v>
      </c>
      <c r="Y4" s="35" t="s">
        <v>23</v>
      </c>
      <c r="Z4" s="35">
        <v>2.0</v>
      </c>
      <c r="AA4" s="35"/>
      <c r="AB4" s="35"/>
      <c r="AC4" s="35" t="s">
        <v>23</v>
      </c>
      <c r="AD4" s="35">
        <v>8.0</v>
      </c>
      <c r="AE4" s="35" t="s">
        <v>23</v>
      </c>
      <c r="AF4" s="35">
        <v>4.0</v>
      </c>
      <c r="AG4" s="35" t="s">
        <v>23</v>
      </c>
      <c r="AH4" s="35">
        <v>6.0</v>
      </c>
      <c r="AI4" s="35" t="s">
        <v>23</v>
      </c>
      <c r="AJ4" s="35">
        <v>5.0</v>
      </c>
      <c r="AK4" s="35" t="s">
        <v>23</v>
      </c>
      <c r="AL4" s="35">
        <v>7.0</v>
      </c>
      <c r="AM4" s="35"/>
      <c r="AN4" s="35"/>
      <c r="AO4" s="35" t="s">
        <v>23</v>
      </c>
      <c r="AP4" s="35">
        <v>5.0</v>
      </c>
      <c r="AQ4" s="35" t="s">
        <v>23</v>
      </c>
      <c r="AR4" s="35">
        <v>6.0</v>
      </c>
      <c r="AS4" s="35" t="s">
        <v>23</v>
      </c>
      <c r="AT4" s="35">
        <v>5.0</v>
      </c>
      <c r="AU4" s="35" t="s">
        <v>23</v>
      </c>
      <c r="AV4" s="35">
        <v>6.0</v>
      </c>
      <c r="AW4" s="35" t="s">
        <v>23</v>
      </c>
      <c r="AX4" s="35">
        <v>8.0</v>
      </c>
    </row>
    <row r="5">
      <c r="A5" s="35" t="s">
        <v>47</v>
      </c>
      <c r="B5" s="35">
        <v>10.0</v>
      </c>
      <c r="C5" s="8"/>
      <c r="D5" s="69">
        <v>64.0</v>
      </c>
      <c r="E5" s="35" t="s">
        <v>47</v>
      </c>
      <c r="F5" s="35">
        <v>6.0</v>
      </c>
      <c r="G5" s="35" t="s">
        <v>47</v>
      </c>
      <c r="H5" s="35">
        <v>7.0</v>
      </c>
      <c r="I5" s="35" t="s">
        <v>47</v>
      </c>
      <c r="J5" s="35">
        <v>8.0</v>
      </c>
      <c r="K5" s="35" t="s">
        <v>47</v>
      </c>
      <c r="L5" s="35">
        <v>10.0</v>
      </c>
      <c r="M5" s="35" t="s">
        <v>47</v>
      </c>
      <c r="N5" s="35">
        <v>6.0</v>
      </c>
      <c r="O5" s="8"/>
      <c r="P5" s="69">
        <v>61.0</v>
      </c>
      <c r="Q5" s="35" t="s">
        <v>47</v>
      </c>
      <c r="R5" s="35">
        <v>7.0</v>
      </c>
      <c r="S5" s="35" t="s">
        <v>47</v>
      </c>
      <c r="T5" s="35">
        <v>4.0</v>
      </c>
      <c r="U5" s="35" t="s">
        <v>47</v>
      </c>
      <c r="V5" s="35">
        <v>8.0</v>
      </c>
      <c r="W5" s="35" t="s">
        <v>47</v>
      </c>
      <c r="X5" s="35">
        <v>9.0</v>
      </c>
      <c r="Y5" s="35" t="s">
        <v>47</v>
      </c>
      <c r="Z5" s="35">
        <v>11.0</v>
      </c>
      <c r="AA5" s="35"/>
      <c r="AB5" s="72">
        <v>63.0</v>
      </c>
      <c r="AC5" s="35" t="s">
        <v>47</v>
      </c>
      <c r="AD5" s="35">
        <v>7.0</v>
      </c>
      <c r="AE5" s="35" t="s">
        <v>47</v>
      </c>
      <c r="AF5" s="35">
        <v>6.0</v>
      </c>
      <c r="AG5" s="35" t="s">
        <v>47</v>
      </c>
      <c r="AH5" s="35">
        <v>8.0</v>
      </c>
      <c r="AI5" s="35" t="s">
        <v>47</v>
      </c>
      <c r="AJ5" s="35">
        <v>7.0</v>
      </c>
      <c r="AK5" s="35" t="s">
        <v>47</v>
      </c>
      <c r="AL5" s="35">
        <v>6.0</v>
      </c>
      <c r="AM5" s="35"/>
      <c r="AN5" s="72">
        <v>59.0</v>
      </c>
      <c r="AO5" s="35" t="s">
        <v>47</v>
      </c>
      <c r="AP5" s="35">
        <v>6.0</v>
      </c>
      <c r="AQ5" s="35" t="s">
        <v>47</v>
      </c>
      <c r="AR5" s="35">
        <v>9.0</v>
      </c>
      <c r="AS5" s="35" t="s">
        <v>47</v>
      </c>
      <c r="AT5" s="35">
        <v>11.0</v>
      </c>
      <c r="AU5" s="35" t="s">
        <v>47</v>
      </c>
      <c r="AV5" s="35">
        <v>8.0</v>
      </c>
      <c r="AW5" s="35" t="s">
        <v>47</v>
      </c>
      <c r="AX5" s="35">
        <v>12.0</v>
      </c>
    </row>
    <row r="6">
      <c r="A6" s="35" t="s">
        <v>55</v>
      </c>
      <c r="B6" s="35">
        <v>22.0</v>
      </c>
      <c r="C6" s="8"/>
      <c r="D6" s="8"/>
      <c r="E6" s="35" t="s">
        <v>55</v>
      </c>
      <c r="F6" s="35">
        <v>8.0</v>
      </c>
      <c r="G6" s="35" t="s">
        <v>55</v>
      </c>
      <c r="H6" s="35">
        <v>12.0</v>
      </c>
      <c r="I6" s="35" t="s">
        <v>55</v>
      </c>
      <c r="J6" s="35">
        <v>14.0</v>
      </c>
      <c r="K6" s="35" t="s">
        <v>55</v>
      </c>
      <c r="L6" s="35">
        <v>16.0</v>
      </c>
      <c r="M6" s="35" t="s">
        <v>55</v>
      </c>
      <c r="N6" s="35">
        <v>23.0</v>
      </c>
      <c r="O6" s="8"/>
      <c r="P6" s="8"/>
      <c r="Q6" s="35" t="s">
        <v>55</v>
      </c>
      <c r="R6" s="35">
        <v>12.0</v>
      </c>
      <c r="S6" s="35" t="s">
        <v>55</v>
      </c>
      <c r="T6" s="35">
        <v>16.0</v>
      </c>
      <c r="U6" s="35" t="s">
        <v>55</v>
      </c>
      <c r="V6" s="35">
        <v>12.0</v>
      </c>
      <c r="W6" s="35" t="s">
        <v>55</v>
      </c>
      <c r="X6" s="35">
        <v>19.0</v>
      </c>
      <c r="Y6" s="35" t="s">
        <v>55</v>
      </c>
      <c r="Z6" s="35">
        <v>13.0</v>
      </c>
      <c r="AA6" s="35"/>
      <c r="AB6" s="35"/>
      <c r="AC6" s="35" t="s">
        <v>55</v>
      </c>
      <c r="AD6" s="35">
        <v>9.0</v>
      </c>
      <c r="AE6" s="35" t="s">
        <v>55</v>
      </c>
      <c r="AF6" s="35">
        <v>16.0</v>
      </c>
      <c r="AG6" s="35" t="s">
        <v>55</v>
      </c>
      <c r="AH6" s="35">
        <v>12.0</v>
      </c>
      <c r="AI6" s="35" t="s">
        <v>55</v>
      </c>
      <c r="AJ6" s="35">
        <v>17.0</v>
      </c>
      <c r="AK6" s="35" t="s">
        <v>55</v>
      </c>
      <c r="AL6" s="35">
        <v>15.0</v>
      </c>
      <c r="AM6" s="35"/>
      <c r="AN6" s="35"/>
      <c r="AO6" s="35" t="s">
        <v>55</v>
      </c>
      <c r="AP6" s="35">
        <v>8.0</v>
      </c>
      <c r="AQ6" s="35" t="s">
        <v>55</v>
      </c>
      <c r="AR6" s="35">
        <v>11.0</v>
      </c>
      <c r="AS6" s="35" t="s">
        <v>55</v>
      </c>
      <c r="AT6" s="35">
        <v>10.0</v>
      </c>
      <c r="AU6" s="35" t="s">
        <v>55</v>
      </c>
      <c r="AV6" s="35">
        <v>14.0</v>
      </c>
      <c r="AW6" s="35" t="s">
        <v>55</v>
      </c>
      <c r="AX6" s="35">
        <v>16.0</v>
      </c>
    </row>
    <row r="7">
      <c r="A7" s="35" t="s">
        <v>57</v>
      </c>
      <c r="B7" s="35">
        <v>14.0</v>
      </c>
      <c r="C7" s="35" t="s">
        <v>66</v>
      </c>
      <c r="D7" s="35">
        <v>14.0</v>
      </c>
      <c r="E7" s="35" t="s">
        <v>57</v>
      </c>
      <c r="F7" s="35">
        <v>14.0</v>
      </c>
      <c r="G7" s="35" t="s">
        <v>57</v>
      </c>
      <c r="H7" s="35">
        <v>6.0</v>
      </c>
      <c r="I7" s="35" t="s">
        <v>57</v>
      </c>
      <c r="J7" s="35">
        <v>18.0</v>
      </c>
      <c r="K7" s="35" t="s">
        <v>57</v>
      </c>
      <c r="L7" s="35">
        <v>14.0</v>
      </c>
      <c r="M7" s="35" t="s">
        <v>57</v>
      </c>
      <c r="N7" s="35">
        <v>15.0</v>
      </c>
      <c r="O7" s="35" t="s">
        <v>66</v>
      </c>
      <c r="P7" s="35">
        <v>16.0</v>
      </c>
      <c r="Q7" s="35" t="s">
        <v>57</v>
      </c>
      <c r="R7" s="35">
        <v>10.0</v>
      </c>
      <c r="S7" s="35" t="s">
        <v>57</v>
      </c>
      <c r="T7" s="35">
        <v>10.0</v>
      </c>
      <c r="U7" s="35" t="s">
        <v>57</v>
      </c>
      <c r="V7" s="35">
        <v>24.0</v>
      </c>
      <c r="W7" s="35" t="s">
        <v>57</v>
      </c>
      <c r="X7" s="35">
        <v>11.0</v>
      </c>
      <c r="Y7" s="35" t="s">
        <v>57</v>
      </c>
      <c r="Z7" s="35">
        <v>19.0</v>
      </c>
      <c r="AA7" s="35" t="s">
        <v>66</v>
      </c>
      <c r="AB7" s="35">
        <v>16.0</v>
      </c>
      <c r="AC7" s="35" t="s">
        <v>57</v>
      </c>
      <c r="AD7" s="35">
        <v>15.0</v>
      </c>
      <c r="AE7" s="35" t="s">
        <v>57</v>
      </c>
      <c r="AF7" s="35">
        <v>13.0</v>
      </c>
      <c r="AG7" s="35" t="s">
        <v>57</v>
      </c>
      <c r="AH7" s="35">
        <v>17.0</v>
      </c>
      <c r="AI7" s="35" t="s">
        <v>57</v>
      </c>
      <c r="AJ7" s="72">
        <v>12.0</v>
      </c>
      <c r="AK7" s="35" t="s">
        <v>57</v>
      </c>
      <c r="AL7" s="35">
        <v>17.0</v>
      </c>
      <c r="AM7" s="35" t="s">
        <v>66</v>
      </c>
      <c r="AN7" s="35">
        <v>19.0</v>
      </c>
      <c r="AO7" s="35" t="s">
        <v>57</v>
      </c>
      <c r="AP7" s="35">
        <v>10.0</v>
      </c>
      <c r="AQ7" s="35" t="s">
        <v>57</v>
      </c>
      <c r="AR7" s="35">
        <v>10.0</v>
      </c>
      <c r="AS7" s="35" t="s">
        <v>57</v>
      </c>
      <c r="AT7" s="35">
        <v>11.0</v>
      </c>
      <c r="AU7" s="35" t="s">
        <v>57</v>
      </c>
      <c r="AV7" s="35">
        <v>19.0</v>
      </c>
      <c r="AW7" s="35" t="s">
        <v>57</v>
      </c>
      <c r="AX7" s="35">
        <v>18.0</v>
      </c>
    </row>
    <row r="8">
      <c r="A8" s="35" t="s">
        <v>62</v>
      </c>
      <c r="B8" s="35">
        <v>7.0</v>
      </c>
      <c r="C8" s="35" t="s">
        <v>76</v>
      </c>
      <c r="D8" s="35">
        <v>14.0</v>
      </c>
      <c r="E8" s="35" t="s">
        <v>62</v>
      </c>
      <c r="F8" s="35">
        <v>8.0</v>
      </c>
      <c r="G8" s="35" t="s">
        <v>62</v>
      </c>
      <c r="H8" s="35">
        <v>10.0</v>
      </c>
      <c r="I8" s="35" t="s">
        <v>62</v>
      </c>
      <c r="J8" s="35">
        <v>4.0</v>
      </c>
      <c r="K8" s="35" t="s">
        <v>62</v>
      </c>
      <c r="L8" s="35">
        <v>8.0</v>
      </c>
      <c r="M8" s="35" t="s">
        <v>62</v>
      </c>
      <c r="N8" s="35">
        <v>8.0</v>
      </c>
      <c r="O8" s="35" t="s">
        <v>76</v>
      </c>
      <c r="P8" s="35">
        <v>11.0</v>
      </c>
      <c r="Q8" s="35" t="s">
        <v>62</v>
      </c>
      <c r="R8" s="35">
        <v>5.0</v>
      </c>
      <c r="S8" s="35" t="s">
        <v>62</v>
      </c>
      <c r="T8" s="35">
        <v>10.0</v>
      </c>
      <c r="U8" s="35" t="s">
        <v>62</v>
      </c>
      <c r="V8" s="35">
        <v>6.0</v>
      </c>
      <c r="W8" s="35" t="s">
        <v>62</v>
      </c>
      <c r="X8" s="35">
        <v>6.0</v>
      </c>
      <c r="Y8" s="35" t="s">
        <v>62</v>
      </c>
      <c r="Z8" s="35">
        <v>10.0</v>
      </c>
      <c r="AA8" s="35" t="s">
        <v>76</v>
      </c>
      <c r="AB8" s="35">
        <v>12.0</v>
      </c>
      <c r="AC8" s="35" t="s">
        <v>62</v>
      </c>
      <c r="AD8" s="35">
        <v>1.0</v>
      </c>
      <c r="AE8" s="35" t="s">
        <v>62</v>
      </c>
      <c r="AF8" s="35">
        <v>6.0</v>
      </c>
      <c r="AG8" s="35" t="s">
        <v>62</v>
      </c>
      <c r="AH8" s="35">
        <v>4.0</v>
      </c>
      <c r="AI8" s="35" t="s">
        <v>62</v>
      </c>
      <c r="AJ8" s="72">
        <v>6.0</v>
      </c>
      <c r="AK8" s="35" t="s">
        <v>62</v>
      </c>
      <c r="AL8" s="35">
        <v>9.0</v>
      </c>
      <c r="AM8" s="35" t="s">
        <v>76</v>
      </c>
      <c r="AN8" s="35">
        <v>10.0</v>
      </c>
      <c r="AO8" s="35" t="s">
        <v>62</v>
      </c>
      <c r="AP8" s="35">
        <v>2.0</v>
      </c>
      <c r="AQ8" s="35" t="s">
        <v>62</v>
      </c>
      <c r="AR8" s="35">
        <v>5.0</v>
      </c>
      <c r="AS8" s="35" t="s">
        <v>62</v>
      </c>
      <c r="AT8" s="35">
        <v>8.0</v>
      </c>
      <c r="AU8" s="35" t="s">
        <v>62</v>
      </c>
      <c r="AV8" s="35">
        <v>8.0</v>
      </c>
      <c r="AW8" s="35" t="s">
        <v>62</v>
      </c>
      <c r="AX8" s="35">
        <v>7.0</v>
      </c>
    </row>
    <row r="9">
      <c r="A9" s="35" t="s">
        <v>5</v>
      </c>
      <c r="B9" s="35">
        <v>10.0</v>
      </c>
      <c r="C9" s="35" t="s">
        <v>100</v>
      </c>
      <c r="D9" s="35">
        <v>36.0</v>
      </c>
      <c r="E9" s="35" t="s">
        <v>5</v>
      </c>
      <c r="F9" s="35">
        <v>9.0</v>
      </c>
      <c r="G9" s="35" t="s">
        <v>5</v>
      </c>
      <c r="H9" s="35">
        <v>14.0</v>
      </c>
      <c r="I9" s="35" t="s">
        <v>5</v>
      </c>
      <c r="J9" s="35">
        <v>10.0</v>
      </c>
      <c r="K9" s="35" t="s">
        <v>5</v>
      </c>
      <c r="L9" s="35">
        <v>10.0</v>
      </c>
      <c r="M9" s="35" t="s">
        <v>5</v>
      </c>
      <c r="N9" s="35">
        <v>9.0</v>
      </c>
      <c r="O9" s="35" t="s">
        <v>100</v>
      </c>
      <c r="P9" s="35">
        <v>34.0</v>
      </c>
      <c r="Q9" s="35" t="s">
        <v>5</v>
      </c>
      <c r="R9" s="35">
        <v>11.0</v>
      </c>
      <c r="S9" s="35" t="s">
        <v>5</v>
      </c>
      <c r="T9" s="35">
        <v>10.0</v>
      </c>
      <c r="U9" s="109" t="s">
        <v>5</v>
      </c>
      <c r="V9" s="35">
        <v>9.0</v>
      </c>
      <c r="W9" s="35" t="s">
        <v>5</v>
      </c>
      <c r="X9" s="35">
        <v>10.0</v>
      </c>
      <c r="Y9" s="35" t="s">
        <v>5</v>
      </c>
      <c r="Z9" s="35">
        <v>10.0</v>
      </c>
      <c r="AA9" s="35" t="s">
        <v>100</v>
      </c>
      <c r="AB9" s="35">
        <v>35.0</v>
      </c>
      <c r="AC9" s="35" t="s">
        <v>5</v>
      </c>
      <c r="AD9" s="35">
        <v>14.0</v>
      </c>
      <c r="AE9" s="35" t="s">
        <v>5</v>
      </c>
      <c r="AF9" s="35">
        <v>11.0</v>
      </c>
      <c r="AG9" s="109" t="s">
        <v>5</v>
      </c>
      <c r="AH9" s="35">
        <v>12.0</v>
      </c>
      <c r="AI9" s="35" t="s">
        <v>5</v>
      </c>
      <c r="AJ9" s="35">
        <v>12.0</v>
      </c>
      <c r="AK9" s="35" t="s">
        <v>5</v>
      </c>
      <c r="AL9" s="35">
        <v>9.0</v>
      </c>
      <c r="AM9" s="35" t="s">
        <v>100</v>
      </c>
      <c r="AN9" s="35">
        <v>30.0</v>
      </c>
      <c r="AO9" s="87" t="s">
        <v>5</v>
      </c>
      <c r="AP9" s="35">
        <v>13.0</v>
      </c>
      <c r="AQ9" s="35" t="s">
        <v>5</v>
      </c>
      <c r="AR9" s="35">
        <v>14.0</v>
      </c>
      <c r="AS9" s="109" t="s">
        <v>5</v>
      </c>
      <c r="AT9" s="35">
        <v>9.0</v>
      </c>
      <c r="AU9" s="35" t="s">
        <v>5</v>
      </c>
      <c r="AV9" s="35">
        <v>4.0</v>
      </c>
      <c r="AW9" s="35" t="s">
        <v>5</v>
      </c>
      <c r="AX9" s="35">
        <v>11.0</v>
      </c>
    </row>
    <row r="10">
      <c r="A10" s="35" t="s">
        <v>32</v>
      </c>
      <c r="B10" s="35">
        <v>9.0</v>
      </c>
      <c r="E10" s="35" t="s">
        <v>32</v>
      </c>
      <c r="F10" s="35">
        <v>6.0</v>
      </c>
      <c r="G10" s="35" t="s">
        <v>32</v>
      </c>
      <c r="H10" s="35">
        <v>9.0</v>
      </c>
      <c r="I10" s="109" t="s">
        <v>32</v>
      </c>
      <c r="J10" s="35">
        <v>7.0</v>
      </c>
      <c r="K10" s="35" t="s">
        <v>32</v>
      </c>
      <c r="L10" s="35">
        <v>8.0</v>
      </c>
      <c r="M10" s="35" t="s">
        <v>32</v>
      </c>
      <c r="N10" s="35">
        <v>7.0</v>
      </c>
      <c r="O10" s="8"/>
      <c r="P10" s="8"/>
      <c r="Q10" s="35" t="s">
        <v>32</v>
      </c>
      <c r="R10" s="35">
        <v>6.0</v>
      </c>
      <c r="S10" s="35" t="s">
        <v>32</v>
      </c>
      <c r="T10" s="35">
        <v>12.0</v>
      </c>
      <c r="U10" s="109" t="s">
        <v>32</v>
      </c>
      <c r="V10" s="35">
        <v>6.0</v>
      </c>
      <c r="W10" s="35" t="s">
        <v>32</v>
      </c>
      <c r="X10" s="35">
        <v>6.0</v>
      </c>
      <c r="Y10" s="35" t="s">
        <v>32</v>
      </c>
      <c r="Z10" s="35">
        <v>6.0</v>
      </c>
      <c r="AA10" s="35"/>
      <c r="AB10" s="35"/>
      <c r="AC10" s="35" t="s">
        <v>32</v>
      </c>
      <c r="AD10" s="35">
        <v>4.0</v>
      </c>
      <c r="AE10" s="35" t="s">
        <v>32</v>
      </c>
      <c r="AF10" s="35">
        <v>7.0</v>
      </c>
      <c r="AG10" s="109" t="s">
        <v>32</v>
      </c>
      <c r="AH10" s="35">
        <v>3.0</v>
      </c>
      <c r="AI10" s="35" t="s">
        <v>32</v>
      </c>
      <c r="AJ10" s="35">
        <v>8.0</v>
      </c>
      <c r="AK10" s="35" t="s">
        <v>32</v>
      </c>
      <c r="AL10" s="35">
        <v>4.0</v>
      </c>
      <c r="AM10" s="35"/>
      <c r="AN10" s="35"/>
      <c r="AO10" s="35" t="s">
        <v>32</v>
      </c>
      <c r="AP10" s="35">
        <v>4.0</v>
      </c>
      <c r="AQ10" s="35" t="s">
        <v>32</v>
      </c>
      <c r="AR10" s="35">
        <v>11.0</v>
      </c>
      <c r="AS10" s="109" t="s">
        <v>32</v>
      </c>
      <c r="AT10" s="35">
        <v>6.0</v>
      </c>
      <c r="AU10" s="35" t="s">
        <v>32</v>
      </c>
      <c r="AV10" s="35">
        <v>5.0</v>
      </c>
      <c r="AW10" s="35" t="s">
        <v>32</v>
      </c>
      <c r="AX10" s="35">
        <v>5.0</v>
      </c>
    </row>
    <row r="11">
      <c r="A11" s="8"/>
      <c r="B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69">
        <v>61.0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69">
        <v>63.0</v>
      </c>
      <c r="AC11" s="69"/>
      <c r="AD11" s="69"/>
      <c r="AE11" s="69"/>
      <c r="AF11" s="69"/>
      <c r="AG11" s="69"/>
      <c r="AH11" s="69"/>
      <c r="AI11" s="69"/>
      <c r="AJ11" s="69"/>
      <c r="AK11" s="35"/>
      <c r="AL11" s="35"/>
      <c r="AM11" s="35"/>
      <c r="AN11" s="72">
        <v>59.0</v>
      </c>
      <c r="AO11" s="72"/>
      <c r="AP11" s="72"/>
      <c r="AQ11" s="72"/>
      <c r="AR11" s="72"/>
      <c r="AS11" s="72"/>
      <c r="AT11" s="72"/>
      <c r="AU11" s="72"/>
      <c r="AV11" s="72"/>
      <c r="AW11" s="72"/>
      <c r="AX11" s="72"/>
    </row>
    <row r="12">
      <c r="A12" s="8"/>
      <c r="B12" s="69">
        <v>97.0</v>
      </c>
      <c r="E12" s="8"/>
      <c r="F12" s="69">
        <v>84.0</v>
      </c>
      <c r="G12" s="8"/>
      <c r="H12" s="69">
        <v>87.0</v>
      </c>
      <c r="I12" s="8"/>
      <c r="J12" s="69">
        <v>81.0</v>
      </c>
      <c r="K12" s="8"/>
      <c r="L12" s="69">
        <v>91.0</v>
      </c>
      <c r="M12" s="8"/>
      <c r="N12" s="69">
        <v>98.0</v>
      </c>
      <c r="Q12" s="8"/>
      <c r="R12" s="69">
        <v>81.0</v>
      </c>
      <c r="S12" s="8"/>
      <c r="T12" s="69">
        <v>91.0</v>
      </c>
      <c r="U12" s="8"/>
      <c r="V12" s="69">
        <v>81.0</v>
      </c>
      <c r="W12" s="8"/>
      <c r="X12" s="69">
        <v>93.0</v>
      </c>
      <c r="Y12" s="8"/>
      <c r="Z12" s="69">
        <v>96.0</v>
      </c>
      <c r="AA12" s="92"/>
      <c r="AB12" s="92"/>
      <c r="AC12" s="69"/>
      <c r="AD12" s="69">
        <v>79.0</v>
      </c>
      <c r="AE12" s="69"/>
      <c r="AF12" s="69">
        <v>88.0</v>
      </c>
      <c r="AG12" s="69"/>
      <c r="AH12" s="69">
        <v>76.0</v>
      </c>
      <c r="AI12" s="69"/>
      <c r="AJ12" s="69">
        <v>87.0</v>
      </c>
      <c r="AK12" s="69"/>
      <c r="AL12" s="69">
        <v>88.0</v>
      </c>
      <c r="AM12" s="92"/>
      <c r="AN12" s="92"/>
      <c r="AO12" s="69"/>
      <c r="AP12" s="69">
        <v>76.0</v>
      </c>
      <c r="AQ12" s="69"/>
      <c r="AR12" s="69">
        <v>87.0</v>
      </c>
      <c r="AS12" s="69"/>
      <c r="AT12" s="69">
        <v>72.0</v>
      </c>
      <c r="AU12" s="69"/>
      <c r="AV12" s="69">
        <v>86.0</v>
      </c>
      <c r="AW12" s="69"/>
      <c r="AX12" s="69">
        <v>94.0</v>
      </c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N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3"/>
      <c r="AB13" s="93"/>
      <c r="AC13" s="8"/>
      <c r="AD13" s="8"/>
      <c r="AE13" s="8"/>
      <c r="AF13" s="8"/>
      <c r="AG13" s="8"/>
      <c r="AH13" s="8"/>
      <c r="AI13" s="8"/>
      <c r="AJ13" s="8"/>
      <c r="AK13" s="8"/>
      <c r="AL13" s="69"/>
      <c r="AM13" s="92"/>
      <c r="AN13" s="92"/>
      <c r="AO13" s="69"/>
      <c r="AP13" s="69"/>
      <c r="AQ13" s="69"/>
      <c r="AR13" s="69"/>
      <c r="AS13" s="69"/>
      <c r="AT13" s="69"/>
      <c r="AU13" s="69"/>
      <c r="AV13" s="69"/>
      <c r="AW13" s="69"/>
      <c r="AX13" s="69"/>
    </row>
    <row r="14">
      <c r="A14" s="35" t="s">
        <v>78</v>
      </c>
      <c r="B14" s="35">
        <v>11.0</v>
      </c>
      <c r="E14" s="35" t="s">
        <v>78</v>
      </c>
      <c r="F14" s="35">
        <v>14.0</v>
      </c>
      <c r="G14" s="35" t="s">
        <v>78</v>
      </c>
      <c r="H14" s="35">
        <v>20.0</v>
      </c>
      <c r="I14" s="35" t="s">
        <v>78</v>
      </c>
      <c r="J14" s="35">
        <v>6.0</v>
      </c>
      <c r="K14" s="35" t="s">
        <v>78</v>
      </c>
      <c r="L14" s="35">
        <v>11.0</v>
      </c>
      <c r="M14" s="35" t="s">
        <v>78</v>
      </c>
      <c r="N14" s="35">
        <v>13.0</v>
      </c>
      <c r="Q14" s="35" t="s">
        <v>78</v>
      </c>
      <c r="R14" s="35">
        <v>15.0</v>
      </c>
      <c r="S14" s="35" t="s">
        <v>78</v>
      </c>
      <c r="T14" s="35">
        <v>18.0</v>
      </c>
      <c r="U14" s="35" t="s">
        <v>78</v>
      </c>
      <c r="V14" s="35">
        <v>5.0</v>
      </c>
      <c r="W14" s="35" t="s">
        <v>78</v>
      </c>
      <c r="X14" s="35">
        <v>8.0</v>
      </c>
      <c r="Y14" s="35" t="s">
        <v>78</v>
      </c>
      <c r="Z14" s="35">
        <v>11.0</v>
      </c>
      <c r="AA14" s="95"/>
      <c r="AB14" s="95"/>
      <c r="AC14" s="35" t="s">
        <v>78</v>
      </c>
      <c r="AD14" s="35">
        <v>11.0</v>
      </c>
      <c r="AE14" s="35" t="s">
        <v>78</v>
      </c>
      <c r="AF14" s="35">
        <v>19.0</v>
      </c>
      <c r="AG14" s="35" t="s">
        <v>78</v>
      </c>
      <c r="AH14" s="35">
        <v>6.0</v>
      </c>
      <c r="AI14" s="35" t="s">
        <v>78</v>
      </c>
      <c r="AJ14" s="35">
        <v>8.0</v>
      </c>
      <c r="AK14" s="35" t="s">
        <v>78</v>
      </c>
      <c r="AL14" s="35">
        <v>9.0</v>
      </c>
      <c r="AM14" s="95"/>
      <c r="AN14" s="95"/>
      <c r="AO14" s="35" t="s">
        <v>78</v>
      </c>
      <c r="AP14" s="35">
        <v>11.0</v>
      </c>
      <c r="AQ14" s="35" t="s">
        <v>78</v>
      </c>
      <c r="AR14" s="35">
        <v>20.0</v>
      </c>
      <c r="AS14" s="35" t="s">
        <v>78</v>
      </c>
      <c r="AT14" s="35">
        <v>4.0</v>
      </c>
      <c r="AU14" s="35" t="s">
        <v>78</v>
      </c>
      <c r="AV14" s="35">
        <v>8.0</v>
      </c>
      <c r="AW14" s="35" t="s">
        <v>78</v>
      </c>
      <c r="AX14" s="35">
        <v>13.0</v>
      </c>
    </row>
    <row r="15">
      <c r="A15" s="35" t="s">
        <v>87</v>
      </c>
      <c r="B15" s="35">
        <v>26.0</v>
      </c>
      <c r="E15" s="35" t="s">
        <v>87</v>
      </c>
      <c r="F15" s="35">
        <v>20.0</v>
      </c>
      <c r="G15" s="35" t="s">
        <v>87</v>
      </c>
      <c r="H15" s="35">
        <v>24.0</v>
      </c>
      <c r="I15" s="35" t="s">
        <v>87</v>
      </c>
      <c r="J15" s="35">
        <v>17.0</v>
      </c>
      <c r="K15" s="35" t="s">
        <v>87</v>
      </c>
      <c r="L15" s="35">
        <v>19.0</v>
      </c>
      <c r="M15" s="35" t="s">
        <v>87</v>
      </c>
      <c r="N15" s="35">
        <v>29.0</v>
      </c>
      <c r="Q15" s="35" t="s">
        <v>87</v>
      </c>
      <c r="R15" s="35">
        <v>22.0</v>
      </c>
      <c r="S15" s="35" t="s">
        <v>87</v>
      </c>
      <c r="T15" s="35">
        <v>31.0</v>
      </c>
      <c r="U15" s="35" t="s">
        <v>87</v>
      </c>
      <c r="V15" s="35">
        <v>18.0</v>
      </c>
      <c r="W15" s="35" t="s">
        <v>87</v>
      </c>
      <c r="X15" s="35">
        <v>21.0</v>
      </c>
      <c r="Y15" s="35" t="s">
        <v>87</v>
      </c>
      <c r="Z15" s="35">
        <v>21.0</v>
      </c>
      <c r="AA15" s="95"/>
      <c r="AB15" s="95"/>
      <c r="AC15" s="35" t="s">
        <v>87</v>
      </c>
      <c r="AD15" s="35">
        <v>17.0</v>
      </c>
      <c r="AE15" s="35" t="s">
        <v>87</v>
      </c>
      <c r="AF15" s="35">
        <v>23.0</v>
      </c>
      <c r="AG15" s="35" t="s">
        <v>87</v>
      </c>
      <c r="AH15" s="35">
        <v>16.0</v>
      </c>
      <c r="AI15" s="35" t="s">
        <v>87</v>
      </c>
      <c r="AJ15" s="35">
        <v>17.0</v>
      </c>
      <c r="AK15" s="35" t="s">
        <v>87</v>
      </c>
      <c r="AL15" s="35">
        <v>20.0</v>
      </c>
      <c r="AM15" s="95"/>
      <c r="AN15" s="95"/>
      <c r="AO15" s="35" t="s">
        <v>87</v>
      </c>
      <c r="AP15" s="35">
        <v>20.0</v>
      </c>
      <c r="AQ15" s="35" t="s">
        <v>87</v>
      </c>
      <c r="AR15" s="35">
        <v>26.0</v>
      </c>
      <c r="AS15" s="35" t="s">
        <v>87</v>
      </c>
      <c r="AT15" s="35">
        <v>15.0</v>
      </c>
      <c r="AU15" s="35" t="s">
        <v>87</v>
      </c>
      <c r="AV15" s="35">
        <v>20.0</v>
      </c>
      <c r="AW15" s="35" t="s">
        <v>87</v>
      </c>
      <c r="AX15" s="35">
        <v>25.0</v>
      </c>
    </row>
    <row r="16">
      <c r="A16" s="35" t="s">
        <v>65</v>
      </c>
      <c r="B16" s="35">
        <v>19.0</v>
      </c>
      <c r="E16" s="35" t="s">
        <v>65</v>
      </c>
      <c r="F16" s="35">
        <v>12.0</v>
      </c>
      <c r="G16" s="35" t="s">
        <v>65</v>
      </c>
      <c r="H16" s="35">
        <v>12.0</v>
      </c>
      <c r="I16" s="35" t="s">
        <v>65</v>
      </c>
      <c r="J16" s="35">
        <v>14.0</v>
      </c>
      <c r="K16" s="35" t="s">
        <v>65</v>
      </c>
      <c r="L16" s="35">
        <v>8.0</v>
      </c>
      <c r="M16" s="35" t="s">
        <v>65</v>
      </c>
      <c r="N16" s="35">
        <v>21.0</v>
      </c>
      <c r="Q16" s="35" t="s">
        <v>65</v>
      </c>
      <c r="R16" s="35">
        <v>15.0</v>
      </c>
      <c r="S16" s="35" t="s">
        <v>65</v>
      </c>
      <c r="T16" s="35">
        <v>8.0</v>
      </c>
      <c r="U16" s="35" t="s">
        <v>65</v>
      </c>
      <c r="V16" s="35">
        <v>14.0</v>
      </c>
      <c r="W16" s="35" t="s">
        <v>65</v>
      </c>
      <c r="X16" s="35">
        <v>19.0</v>
      </c>
      <c r="Y16" s="35" t="s">
        <v>65</v>
      </c>
      <c r="Z16" s="35">
        <v>23.0</v>
      </c>
      <c r="AA16" s="95"/>
      <c r="AB16" s="95"/>
      <c r="AC16" s="35" t="s">
        <v>65</v>
      </c>
      <c r="AD16" s="35">
        <v>17.0</v>
      </c>
      <c r="AE16" s="35" t="s">
        <v>65</v>
      </c>
      <c r="AF16" s="35">
        <v>11.0</v>
      </c>
      <c r="AG16" s="35" t="s">
        <v>65</v>
      </c>
      <c r="AH16" s="35">
        <v>10.0</v>
      </c>
      <c r="AI16" s="35" t="s">
        <v>65</v>
      </c>
      <c r="AJ16" s="35">
        <v>8.0</v>
      </c>
      <c r="AK16" s="35" t="s">
        <v>65</v>
      </c>
      <c r="AL16" s="35">
        <v>22.0</v>
      </c>
      <c r="AM16" s="95"/>
      <c r="AN16" s="95"/>
      <c r="AO16" s="35" t="s">
        <v>65</v>
      </c>
      <c r="AP16" s="35">
        <v>15.0</v>
      </c>
      <c r="AQ16" s="35" t="s">
        <v>65</v>
      </c>
      <c r="AR16" s="35">
        <v>7.0</v>
      </c>
      <c r="AS16" s="35" t="s">
        <v>65</v>
      </c>
      <c r="AT16" s="35">
        <v>13.0</v>
      </c>
      <c r="AU16" s="35" t="s">
        <v>65</v>
      </c>
      <c r="AV16" s="35">
        <v>11.0</v>
      </c>
      <c r="AW16" s="35" t="s">
        <v>65</v>
      </c>
      <c r="AX16" s="35">
        <v>19.0</v>
      </c>
    </row>
    <row r="17">
      <c r="A17" s="35" t="s">
        <v>85</v>
      </c>
      <c r="B17" s="35">
        <v>11.0</v>
      </c>
      <c r="E17" s="35" t="s">
        <v>85</v>
      </c>
      <c r="F17" s="35">
        <v>8.0</v>
      </c>
      <c r="G17" s="35" t="s">
        <v>85</v>
      </c>
      <c r="H17" s="35">
        <v>5.0</v>
      </c>
      <c r="I17" s="35" t="s">
        <v>85</v>
      </c>
      <c r="J17" s="35">
        <v>9.0</v>
      </c>
      <c r="K17" s="35" t="s">
        <v>85</v>
      </c>
      <c r="L17" s="35">
        <v>15.0</v>
      </c>
      <c r="M17" s="35" t="s">
        <v>85</v>
      </c>
      <c r="N17" s="35">
        <v>4.0</v>
      </c>
      <c r="Q17" s="35" t="s">
        <v>85</v>
      </c>
      <c r="R17" s="35">
        <v>7.0</v>
      </c>
      <c r="S17" s="35" t="s">
        <v>85</v>
      </c>
      <c r="T17" s="35">
        <v>9.0</v>
      </c>
      <c r="U17" s="35" t="s">
        <v>85</v>
      </c>
      <c r="V17" s="35">
        <v>13.0</v>
      </c>
      <c r="W17" s="35" t="s">
        <v>85</v>
      </c>
      <c r="X17" s="35">
        <v>9.0</v>
      </c>
      <c r="Y17" s="35" t="s">
        <v>85</v>
      </c>
      <c r="Z17" s="35">
        <v>4.0</v>
      </c>
      <c r="AA17" s="95"/>
      <c r="AB17" s="95"/>
      <c r="AC17" s="35" t="s">
        <v>85</v>
      </c>
      <c r="AD17" s="35">
        <v>10.0</v>
      </c>
      <c r="AE17" s="35" t="s">
        <v>85</v>
      </c>
      <c r="AF17" s="35">
        <v>10.0</v>
      </c>
      <c r="AG17" s="35" t="s">
        <v>85</v>
      </c>
      <c r="AH17" s="35">
        <v>9.0</v>
      </c>
      <c r="AI17" s="35" t="s">
        <v>85</v>
      </c>
      <c r="AJ17" s="35">
        <v>12.0</v>
      </c>
      <c r="AK17" s="35" t="s">
        <v>85</v>
      </c>
      <c r="AL17" s="35">
        <v>3.0</v>
      </c>
      <c r="AM17" s="95"/>
      <c r="AN17" s="95"/>
      <c r="AO17" s="35" t="s">
        <v>85</v>
      </c>
      <c r="AP17" s="35">
        <v>6.0</v>
      </c>
      <c r="AQ17" s="35" t="s">
        <v>85</v>
      </c>
      <c r="AR17" s="35">
        <v>12.0</v>
      </c>
      <c r="AS17" s="35" t="s">
        <v>85</v>
      </c>
      <c r="AT17" s="35">
        <v>8.0</v>
      </c>
      <c r="AU17" s="35" t="s">
        <v>85</v>
      </c>
      <c r="AV17" s="35">
        <v>7.0</v>
      </c>
      <c r="AW17" s="35" t="s">
        <v>85</v>
      </c>
      <c r="AX17" s="35">
        <v>6.0</v>
      </c>
    </row>
    <row r="18">
      <c r="A18" s="35" t="s">
        <v>105</v>
      </c>
      <c r="B18" s="35">
        <v>12.0</v>
      </c>
      <c r="E18" s="35" t="s">
        <v>105</v>
      </c>
      <c r="F18" s="35">
        <v>14.0</v>
      </c>
      <c r="G18" s="35" t="s">
        <v>105</v>
      </c>
      <c r="H18" s="35">
        <v>11.0</v>
      </c>
      <c r="I18" s="35" t="s">
        <v>105</v>
      </c>
      <c r="J18" s="35">
        <v>17.0</v>
      </c>
      <c r="K18" s="35" t="s">
        <v>105</v>
      </c>
      <c r="L18" s="35">
        <v>21.0</v>
      </c>
      <c r="M18" s="35" t="s">
        <v>105</v>
      </c>
      <c r="N18" s="35">
        <v>15.0</v>
      </c>
      <c r="Q18" s="35" t="s">
        <v>105</v>
      </c>
      <c r="R18" s="35">
        <v>10.0</v>
      </c>
      <c r="S18" s="35" t="s">
        <v>105</v>
      </c>
      <c r="T18" s="35">
        <v>11.0</v>
      </c>
      <c r="U18" s="35" t="s">
        <v>105</v>
      </c>
      <c r="V18" s="35">
        <v>19.0</v>
      </c>
      <c r="W18" s="35" t="s">
        <v>105</v>
      </c>
      <c r="X18" s="35">
        <v>22.0</v>
      </c>
      <c r="Y18" s="35" t="s">
        <v>105</v>
      </c>
      <c r="Z18" s="35">
        <v>16.0</v>
      </c>
      <c r="AA18" s="95"/>
      <c r="AB18" s="95"/>
      <c r="AC18" s="35" t="s">
        <v>105</v>
      </c>
      <c r="AD18" s="35">
        <v>11.0</v>
      </c>
      <c r="AE18" s="35" t="s">
        <v>105</v>
      </c>
      <c r="AF18" s="35">
        <v>10.0</v>
      </c>
      <c r="AG18" s="35" t="s">
        <v>105</v>
      </c>
      <c r="AH18" s="35">
        <v>17.0</v>
      </c>
      <c r="AI18" s="35" t="s">
        <v>105</v>
      </c>
      <c r="AJ18" s="35">
        <v>19.0</v>
      </c>
      <c r="AK18" s="35" t="s">
        <v>105</v>
      </c>
      <c r="AL18" s="35">
        <v>14.0</v>
      </c>
      <c r="AM18" s="95"/>
      <c r="AN18" s="95"/>
      <c r="AO18" s="35" t="s">
        <v>105</v>
      </c>
      <c r="AP18" s="35">
        <v>11.0</v>
      </c>
      <c r="AQ18" s="35" t="s">
        <v>105</v>
      </c>
      <c r="AR18" s="35">
        <v>12.0</v>
      </c>
      <c r="AS18" s="35" t="s">
        <v>105</v>
      </c>
      <c r="AT18" s="35">
        <v>17.0</v>
      </c>
      <c r="AU18" s="35" t="s">
        <v>105</v>
      </c>
      <c r="AV18" s="35">
        <v>21.0</v>
      </c>
      <c r="AW18" s="35" t="s">
        <v>105</v>
      </c>
      <c r="AX18" s="35">
        <v>16.0</v>
      </c>
    </row>
    <row r="19">
      <c r="A19" s="35" t="s">
        <v>95</v>
      </c>
      <c r="B19" s="35">
        <v>5.0</v>
      </c>
      <c r="E19" s="35" t="s">
        <v>95</v>
      </c>
      <c r="F19" s="35">
        <v>6.0</v>
      </c>
      <c r="G19" s="35" t="s">
        <v>95</v>
      </c>
      <c r="H19" s="35">
        <v>8.0</v>
      </c>
      <c r="I19" s="35" t="s">
        <v>95</v>
      </c>
      <c r="J19" s="35">
        <v>4.0</v>
      </c>
      <c r="K19" s="35" t="s">
        <v>95</v>
      </c>
      <c r="L19" s="35">
        <v>7.0</v>
      </c>
      <c r="M19" s="35" t="s">
        <v>95</v>
      </c>
      <c r="N19" s="35">
        <v>4.0</v>
      </c>
      <c r="Q19" s="35" t="s">
        <v>95</v>
      </c>
      <c r="R19" s="35">
        <v>6.0</v>
      </c>
      <c r="S19" s="35" t="s">
        <v>95</v>
      </c>
      <c r="T19" s="35">
        <v>6.0</v>
      </c>
      <c r="U19" s="35" t="s">
        <v>117</v>
      </c>
      <c r="V19" s="35">
        <v>9.0</v>
      </c>
      <c r="W19" s="35" t="s">
        <v>95</v>
      </c>
      <c r="X19" s="35">
        <v>5.0</v>
      </c>
      <c r="Y19" s="35" t="s">
        <v>95</v>
      </c>
      <c r="Z19" s="35">
        <v>7.0</v>
      </c>
      <c r="AA19" s="95"/>
      <c r="AB19" s="95"/>
      <c r="AC19" s="35" t="s">
        <v>95</v>
      </c>
      <c r="AD19" s="35">
        <v>5.0</v>
      </c>
      <c r="AE19" s="35" t="s">
        <v>95</v>
      </c>
      <c r="AF19" s="35">
        <v>7.0</v>
      </c>
      <c r="AG19" s="35" t="s">
        <v>95</v>
      </c>
      <c r="AH19" s="35">
        <v>2.0</v>
      </c>
      <c r="AI19" s="35" t="s">
        <v>95</v>
      </c>
      <c r="AJ19" s="35">
        <v>6.0</v>
      </c>
      <c r="AK19" s="35" t="s">
        <v>95</v>
      </c>
      <c r="AL19" s="35">
        <v>6.0</v>
      </c>
      <c r="AM19" s="95"/>
      <c r="AN19" s="95"/>
      <c r="AO19" s="35" t="s">
        <v>95</v>
      </c>
      <c r="AP19" s="35">
        <v>8.0</v>
      </c>
      <c r="AQ19" s="35" t="s">
        <v>95</v>
      </c>
      <c r="AR19" s="35">
        <v>5.0</v>
      </c>
      <c r="AS19" s="35" t="s">
        <v>95</v>
      </c>
      <c r="AT19" s="35">
        <v>2.0</v>
      </c>
      <c r="AU19" s="35" t="s">
        <v>95</v>
      </c>
      <c r="AV19" s="35">
        <v>7.0</v>
      </c>
      <c r="AW19" s="35" t="s">
        <v>95</v>
      </c>
      <c r="AX19" s="35">
        <v>4.0</v>
      </c>
    </row>
    <row r="20">
      <c r="A20" s="35" t="s">
        <v>117</v>
      </c>
      <c r="B20" s="35">
        <v>12.0</v>
      </c>
      <c r="E20" s="35" t="s">
        <v>117</v>
      </c>
      <c r="F20" s="35">
        <v>7.0</v>
      </c>
      <c r="G20" s="35" t="s">
        <v>117</v>
      </c>
      <c r="H20" s="35">
        <v>6.0</v>
      </c>
      <c r="I20" s="35" t="s">
        <v>117</v>
      </c>
      <c r="J20" s="35">
        <v>11.0</v>
      </c>
      <c r="K20" s="35" t="s">
        <v>117</v>
      </c>
      <c r="L20" s="35">
        <v>9.0</v>
      </c>
      <c r="M20" s="35" t="s">
        <v>117</v>
      </c>
      <c r="N20" s="35">
        <v>11.0</v>
      </c>
      <c r="Q20" s="35" t="s">
        <v>117</v>
      </c>
      <c r="R20" s="35">
        <v>4.0</v>
      </c>
      <c r="S20" s="35" t="s">
        <v>117</v>
      </c>
      <c r="T20" s="35">
        <v>6.0</v>
      </c>
      <c r="U20" s="8"/>
      <c r="V20" s="8"/>
      <c r="W20" s="35" t="s">
        <v>117</v>
      </c>
      <c r="X20" s="35">
        <v>7.0</v>
      </c>
      <c r="Y20" s="35" t="s">
        <v>117</v>
      </c>
      <c r="Z20" s="35">
        <v>14.0</v>
      </c>
      <c r="AA20" s="95"/>
      <c r="AB20" s="95"/>
      <c r="AC20" s="35" t="s">
        <v>117</v>
      </c>
      <c r="AD20" s="35">
        <v>5.0</v>
      </c>
      <c r="AE20" s="35" t="s">
        <v>117</v>
      </c>
      <c r="AF20" s="35">
        <v>6.0</v>
      </c>
      <c r="AG20" s="35" t="s">
        <v>117</v>
      </c>
      <c r="AH20" s="35">
        <v>12.0</v>
      </c>
      <c r="AI20" s="35" t="s">
        <v>117</v>
      </c>
      <c r="AJ20" s="72">
        <v>14.0</v>
      </c>
      <c r="AK20" s="35" t="s">
        <v>117</v>
      </c>
      <c r="AL20" s="35">
        <v>13.0</v>
      </c>
      <c r="AM20" s="95"/>
      <c r="AN20" s="95"/>
      <c r="AO20" s="35" t="s">
        <v>117</v>
      </c>
      <c r="AP20" s="35">
        <v>4.0</v>
      </c>
      <c r="AQ20" s="35" t="s">
        <v>117</v>
      </c>
      <c r="AR20" s="35">
        <v>3.0</v>
      </c>
      <c r="AS20" s="35" t="s">
        <v>117</v>
      </c>
      <c r="AT20" s="35">
        <v>11.0</v>
      </c>
      <c r="AU20" s="35" t="s">
        <v>117</v>
      </c>
      <c r="AV20" s="35">
        <v>10.0</v>
      </c>
      <c r="AW20" s="35" t="s">
        <v>117</v>
      </c>
      <c r="AX20" s="35">
        <v>12.0</v>
      </c>
    </row>
    <row r="21">
      <c r="A21" s="8"/>
      <c r="B21" s="8"/>
      <c r="E21" s="8"/>
      <c r="F21" s="8"/>
      <c r="G21" s="8"/>
      <c r="H21" s="8"/>
      <c r="I21" s="8"/>
      <c r="J21" s="8"/>
      <c r="K21" s="8"/>
      <c r="L21" s="8"/>
      <c r="M21" s="8"/>
      <c r="N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3"/>
      <c r="AB21" s="93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3"/>
      <c r="AN21" s="93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>
      <c r="A22" s="8"/>
      <c r="B22" s="69">
        <v>96.0</v>
      </c>
      <c r="E22" s="8"/>
      <c r="F22" s="69">
        <v>81.0</v>
      </c>
      <c r="G22" s="8"/>
      <c r="H22" s="69">
        <v>86.0</v>
      </c>
      <c r="I22" s="8"/>
      <c r="J22" s="69">
        <v>78.0</v>
      </c>
      <c r="K22" s="8"/>
      <c r="L22" s="69">
        <v>90.0</v>
      </c>
      <c r="M22" s="8"/>
      <c r="N22" s="69">
        <v>97.0</v>
      </c>
      <c r="Q22" s="8"/>
      <c r="R22" s="69">
        <v>79.0</v>
      </c>
      <c r="S22" s="8"/>
      <c r="T22" s="69">
        <v>89.0</v>
      </c>
      <c r="U22" s="8"/>
      <c r="V22" s="69">
        <v>78.0</v>
      </c>
      <c r="W22" s="8"/>
      <c r="X22" s="69">
        <v>91.0</v>
      </c>
      <c r="Y22" s="8"/>
      <c r="Z22" s="69">
        <v>96.0</v>
      </c>
      <c r="AA22" s="92"/>
      <c r="AB22" s="92"/>
      <c r="AC22" s="69"/>
      <c r="AD22" s="69">
        <v>76.0</v>
      </c>
      <c r="AE22" s="69"/>
      <c r="AF22" s="69">
        <v>86.0</v>
      </c>
      <c r="AG22" s="69"/>
      <c r="AH22" s="69">
        <v>72.0</v>
      </c>
      <c r="AI22" s="69"/>
      <c r="AJ22" s="69">
        <v>84.0</v>
      </c>
      <c r="AK22" s="69"/>
      <c r="AL22" s="69">
        <v>87.0</v>
      </c>
      <c r="AM22" s="92"/>
      <c r="AN22" s="92"/>
      <c r="AO22" s="69"/>
      <c r="AP22" s="69">
        <v>75.0</v>
      </c>
      <c r="AQ22" s="69"/>
      <c r="AR22" s="69">
        <v>85.0</v>
      </c>
      <c r="AS22" s="69"/>
      <c r="AT22" s="69">
        <v>70.0</v>
      </c>
      <c r="AU22" s="69"/>
      <c r="AV22" s="69">
        <v>84.0</v>
      </c>
      <c r="AW22" s="69"/>
      <c r="AX22" s="69">
        <v>95.0</v>
      </c>
    </row>
    <row r="23">
      <c r="A23" s="8"/>
      <c r="B23" s="8"/>
      <c r="E23" s="8"/>
      <c r="F23" s="8"/>
      <c r="G23" s="8"/>
      <c r="H23" s="8"/>
      <c r="I23" s="8"/>
      <c r="J23" s="8"/>
      <c r="K23" s="8"/>
      <c r="L23" s="8"/>
      <c r="M23" s="8"/>
      <c r="N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3"/>
      <c r="AB23" s="93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3"/>
      <c r="AN23" s="93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>
      <c r="A24" s="35" t="s">
        <v>336</v>
      </c>
      <c r="B24" s="35">
        <v>1.0</v>
      </c>
      <c r="E24" s="35" t="s">
        <v>336</v>
      </c>
      <c r="F24" s="35">
        <v>1.0</v>
      </c>
      <c r="G24" s="35" t="s">
        <v>336</v>
      </c>
      <c r="H24" s="35">
        <v>1.0</v>
      </c>
      <c r="I24" s="35" t="s">
        <v>335</v>
      </c>
      <c r="J24" s="35">
        <v>6.0</v>
      </c>
      <c r="K24" s="35" t="s">
        <v>336</v>
      </c>
      <c r="L24" s="35">
        <v>4.0</v>
      </c>
      <c r="M24" s="35" t="s">
        <v>336</v>
      </c>
      <c r="N24" s="35">
        <v>2.0</v>
      </c>
      <c r="Q24" s="35" t="s">
        <v>336</v>
      </c>
      <c r="R24" s="35">
        <v>3.0</v>
      </c>
      <c r="S24" s="35" t="s">
        <v>337</v>
      </c>
      <c r="T24" s="35">
        <v>1.0</v>
      </c>
      <c r="U24" s="35" t="s">
        <v>335</v>
      </c>
      <c r="V24" s="35">
        <v>3.0</v>
      </c>
      <c r="W24" s="35" t="s">
        <v>336</v>
      </c>
      <c r="X24" s="35">
        <v>4.0</v>
      </c>
      <c r="Y24" s="35" t="s">
        <v>337</v>
      </c>
      <c r="Z24" s="35">
        <v>1.0</v>
      </c>
      <c r="AA24" s="95"/>
      <c r="AB24" s="95"/>
      <c r="AC24" s="35" t="s">
        <v>336</v>
      </c>
      <c r="AD24" s="35">
        <v>2.0</v>
      </c>
      <c r="AE24" s="35" t="s">
        <v>335</v>
      </c>
      <c r="AF24" s="35">
        <v>3.0</v>
      </c>
      <c r="AG24" s="35" t="s">
        <v>336</v>
      </c>
      <c r="AH24" s="35">
        <v>2.0</v>
      </c>
      <c r="AI24" s="35" t="s">
        <v>336</v>
      </c>
      <c r="AJ24" s="35">
        <v>3.0</v>
      </c>
      <c r="AK24" s="35" t="s">
        <v>335</v>
      </c>
      <c r="AL24" s="35">
        <v>2.0</v>
      </c>
      <c r="AM24" s="95"/>
      <c r="AN24" s="95"/>
      <c r="AO24" s="35" t="s">
        <v>336</v>
      </c>
      <c r="AP24" s="35">
        <v>2.0</v>
      </c>
      <c r="AQ24" s="35" t="s">
        <v>336</v>
      </c>
      <c r="AR24" s="35">
        <v>1.0</v>
      </c>
      <c r="AS24" s="35" t="s">
        <v>335</v>
      </c>
      <c r="AT24" s="35">
        <v>2.0</v>
      </c>
      <c r="AU24" s="35" t="s">
        <v>336</v>
      </c>
      <c r="AV24" s="35">
        <v>2.0</v>
      </c>
      <c r="AW24" s="35" t="s">
        <v>335</v>
      </c>
      <c r="AX24" s="35">
        <v>4.0</v>
      </c>
    </row>
    <row r="25">
      <c r="A25" s="35" t="s">
        <v>337</v>
      </c>
      <c r="B25" s="35">
        <v>2.0</v>
      </c>
      <c r="E25" s="35" t="s">
        <v>337</v>
      </c>
      <c r="F25" s="35">
        <v>3.0</v>
      </c>
      <c r="G25" s="35" t="s">
        <v>335</v>
      </c>
      <c r="H25" s="35">
        <v>4.0</v>
      </c>
      <c r="I25" s="35" t="s">
        <v>340</v>
      </c>
      <c r="J25" s="35">
        <v>2.0</v>
      </c>
      <c r="K25" s="35" t="s">
        <v>337</v>
      </c>
      <c r="L25" s="35">
        <v>2.0</v>
      </c>
      <c r="M25" s="35" t="s">
        <v>337</v>
      </c>
      <c r="N25" s="35">
        <v>2.0</v>
      </c>
      <c r="Q25" s="35" t="s">
        <v>337</v>
      </c>
      <c r="R25" s="35">
        <v>1.0</v>
      </c>
      <c r="S25" s="35" t="s">
        <v>335</v>
      </c>
      <c r="T25" s="35">
        <v>1.0</v>
      </c>
      <c r="U25" s="35" t="s">
        <v>343</v>
      </c>
      <c r="V25" s="35">
        <v>1.0</v>
      </c>
      <c r="W25" s="35" t="s">
        <v>337</v>
      </c>
      <c r="X25" s="35">
        <v>1.0</v>
      </c>
      <c r="Y25" s="35" t="s">
        <v>335</v>
      </c>
      <c r="Z25" s="35">
        <v>4.0</v>
      </c>
      <c r="AA25" s="95"/>
      <c r="AB25" s="95"/>
      <c r="AC25" s="35" t="s">
        <v>337</v>
      </c>
      <c r="AD25" s="35">
        <v>1.0</v>
      </c>
      <c r="AE25" s="35" t="s">
        <v>340</v>
      </c>
      <c r="AF25" s="35">
        <v>1.0</v>
      </c>
      <c r="AG25" s="35" t="s">
        <v>337</v>
      </c>
      <c r="AH25" s="35">
        <v>1.0</v>
      </c>
      <c r="AI25" s="35" t="s">
        <v>337</v>
      </c>
      <c r="AJ25" s="72">
        <v>2.0</v>
      </c>
      <c r="AK25" s="35" t="s">
        <v>340</v>
      </c>
      <c r="AL25" s="35">
        <v>2.0</v>
      </c>
      <c r="AM25" s="95"/>
      <c r="AN25" s="95"/>
      <c r="AO25" s="35" t="s">
        <v>335</v>
      </c>
      <c r="AP25" s="35">
        <v>3.0</v>
      </c>
      <c r="AQ25" s="35" t="s">
        <v>335</v>
      </c>
      <c r="AR25" s="35">
        <v>3.0</v>
      </c>
      <c r="AS25" s="35" t="s">
        <v>340</v>
      </c>
      <c r="AT25" s="35">
        <v>3.0</v>
      </c>
      <c r="AU25" s="35" t="s">
        <v>337</v>
      </c>
      <c r="AV25" s="35">
        <v>1.0</v>
      </c>
      <c r="AW25" s="35" t="s">
        <v>340</v>
      </c>
      <c r="AX25" s="35">
        <v>1.0</v>
      </c>
    </row>
    <row r="26">
      <c r="A26" s="35" t="s">
        <v>335</v>
      </c>
      <c r="B26" s="35">
        <v>3.0</v>
      </c>
      <c r="E26" s="35" t="s">
        <v>335</v>
      </c>
      <c r="F26" s="35">
        <v>1.0</v>
      </c>
      <c r="G26" s="35" t="s">
        <v>340</v>
      </c>
      <c r="H26" s="35">
        <v>1.0</v>
      </c>
      <c r="I26" s="35" t="s">
        <v>343</v>
      </c>
      <c r="J26" s="35">
        <v>2.0</v>
      </c>
      <c r="K26" s="35" t="s">
        <v>335</v>
      </c>
      <c r="L26" s="35">
        <v>3.0</v>
      </c>
      <c r="M26" s="35" t="s">
        <v>335</v>
      </c>
      <c r="N26" s="35">
        <v>3.0</v>
      </c>
      <c r="Q26" s="35" t="s">
        <v>335</v>
      </c>
      <c r="R26" s="35">
        <v>2.0</v>
      </c>
      <c r="S26" s="35" t="s">
        <v>340</v>
      </c>
      <c r="T26" s="35">
        <v>1.0</v>
      </c>
      <c r="U26" s="35" t="s">
        <v>348</v>
      </c>
      <c r="V26" s="35">
        <v>1.0</v>
      </c>
      <c r="W26" s="35" t="s">
        <v>335</v>
      </c>
      <c r="X26" s="35">
        <v>3.0</v>
      </c>
      <c r="Y26" s="35" t="s">
        <v>340</v>
      </c>
      <c r="Z26" s="35">
        <v>1.0</v>
      </c>
      <c r="AA26" s="95"/>
      <c r="AB26" s="95"/>
      <c r="AC26" s="35" t="s">
        <v>335</v>
      </c>
      <c r="AD26" s="35">
        <v>3.0</v>
      </c>
      <c r="AE26" s="35" t="s">
        <v>343</v>
      </c>
      <c r="AF26" s="35">
        <v>2.0</v>
      </c>
      <c r="AG26" s="35" t="s">
        <v>335</v>
      </c>
      <c r="AH26" s="35">
        <v>3.0</v>
      </c>
      <c r="AI26" s="35" t="s">
        <v>335</v>
      </c>
      <c r="AJ26" s="35">
        <v>4.0</v>
      </c>
      <c r="AK26" s="35" t="s">
        <v>343</v>
      </c>
      <c r="AL26" s="35">
        <v>1.0</v>
      </c>
      <c r="AM26" s="95"/>
      <c r="AN26" s="95"/>
      <c r="AO26" s="35" t="s">
        <v>340</v>
      </c>
      <c r="AP26" s="35">
        <v>2.0</v>
      </c>
      <c r="AQ26" s="35" t="s">
        <v>340</v>
      </c>
      <c r="AR26" s="35">
        <v>2.0</v>
      </c>
      <c r="AS26" s="35" t="s">
        <v>346</v>
      </c>
      <c r="AT26" s="35">
        <v>1.0</v>
      </c>
      <c r="AU26" s="35" t="s">
        <v>335</v>
      </c>
      <c r="AV26" s="35">
        <v>3.0</v>
      </c>
      <c r="AW26" s="35" t="s">
        <v>343</v>
      </c>
      <c r="AX26" s="35">
        <v>3.0</v>
      </c>
    </row>
    <row r="27">
      <c r="A27" s="35" t="s">
        <v>340</v>
      </c>
      <c r="B27" s="35">
        <v>3.0</v>
      </c>
      <c r="E27" s="35" t="s">
        <v>340</v>
      </c>
      <c r="F27" s="35">
        <v>1.0</v>
      </c>
      <c r="G27" s="35" t="s">
        <v>346</v>
      </c>
      <c r="H27" s="35">
        <v>4.0</v>
      </c>
      <c r="I27" s="35" t="s">
        <v>346</v>
      </c>
      <c r="J27" s="35">
        <v>2.0</v>
      </c>
      <c r="K27" s="35" t="s">
        <v>340</v>
      </c>
      <c r="L27" s="35">
        <v>2.0</v>
      </c>
      <c r="M27" s="35" t="s">
        <v>340</v>
      </c>
      <c r="N27" s="35">
        <v>2.0</v>
      </c>
      <c r="Q27" s="35" t="s">
        <v>340</v>
      </c>
      <c r="R27" s="35">
        <v>2.0</v>
      </c>
      <c r="S27" s="35" t="s">
        <v>343</v>
      </c>
      <c r="T27" s="35">
        <v>1.0</v>
      </c>
      <c r="U27" s="35" t="s">
        <v>346</v>
      </c>
      <c r="V27" s="35">
        <v>4.0</v>
      </c>
      <c r="W27" s="35" t="s">
        <v>340</v>
      </c>
      <c r="X27" s="35">
        <v>1.0</v>
      </c>
      <c r="Y27" s="35" t="s">
        <v>346</v>
      </c>
      <c r="Z27" s="35">
        <v>2.0</v>
      </c>
      <c r="AA27" s="95"/>
      <c r="AB27" s="95"/>
      <c r="AC27" s="35" t="s">
        <v>340</v>
      </c>
      <c r="AD27" s="35">
        <v>2.0</v>
      </c>
      <c r="AE27" s="35" t="s">
        <v>346</v>
      </c>
      <c r="AF27" s="35">
        <v>4.0</v>
      </c>
      <c r="AG27" s="35" t="s">
        <v>340</v>
      </c>
      <c r="AH27" s="35">
        <v>2.0</v>
      </c>
      <c r="AI27" s="35" t="s">
        <v>343</v>
      </c>
      <c r="AJ27" s="35">
        <v>2.0</v>
      </c>
      <c r="AK27" s="35" t="s">
        <v>348</v>
      </c>
      <c r="AL27" s="35">
        <v>1.0</v>
      </c>
      <c r="AM27" s="95"/>
      <c r="AN27" s="95"/>
      <c r="AO27" s="35" t="s">
        <v>343</v>
      </c>
      <c r="AP27" s="35">
        <v>4.0</v>
      </c>
      <c r="AQ27" s="35" t="s">
        <v>343</v>
      </c>
      <c r="AR27" s="35">
        <v>2.0</v>
      </c>
      <c r="AS27" s="35" t="s">
        <v>356</v>
      </c>
      <c r="AT27" s="35">
        <v>2.0</v>
      </c>
      <c r="AU27" s="35" t="s">
        <v>340</v>
      </c>
      <c r="AV27" s="35">
        <v>2.0</v>
      </c>
      <c r="AW27" s="35" t="s">
        <v>346</v>
      </c>
      <c r="AX27" s="35">
        <v>3.0</v>
      </c>
    </row>
    <row r="28">
      <c r="A28" s="35" t="s">
        <v>343</v>
      </c>
      <c r="B28" s="35">
        <v>2.0</v>
      </c>
      <c r="E28" s="35" t="s">
        <v>343</v>
      </c>
      <c r="F28" s="35">
        <v>2.0</v>
      </c>
      <c r="G28" s="35" t="s">
        <v>356</v>
      </c>
      <c r="H28" s="35">
        <v>2.0</v>
      </c>
      <c r="I28" s="35" t="s">
        <v>365</v>
      </c>
      <c r="J28" s="35">
        <v>1.0</v>
      </c>
      <c r="K28" s="35" t="s">
        <v>343</v>
      </c>
      <c r="L28" s="35">
        <v>3.0</v>
      </c>
      <c r="M28" s="35" t="s">
        <v>343</v>
      </c>
      <c r="N28" s="35">
        <v>2.0</v>
      </c>
      <c r="Q28" s="35" t="s">
        <v>343</v>
      </c>
      <c r="R28" s="35">
        <v>3.0</v>
      </c>
      <c r="S28" s="35" t="s">
        <v>346</v>
      </c>
      <c r="T28" s="35">
        <v>6.0</v>
      </c>
      <c r="U28" s="35" t="s">
        <v>352</v>
      </c>
      <c r="V28" s="35">
        <v>1.0</v>
      </c>
      <c r="W28" s="35" t="s">
        <v>343</v>
      </c>
      <c r="X28" s="35">
        <v>3.0</v>
      </c>
      <c r="Y28" s="35" t="s">
        <v>365</v>
      </c>
      <c r="Z28" s="35">
        <v>2.0</v>
      </c>
      <c r="AA28" s="95"/>
      <c r="AB28" s="95"/>
      <c r="AC28" s="35" t="s">
        <v>343</v>
      </c>
      <c r="AD28" s="35">
        <v>3.0</v>
      </c>
      <c r="AE28" s="35" t="s">
        <v>365</v>
      </c>
      <c r="AF28" s="35">
        <v>2.0</v>
      </c>
      <c r="AG28" s="35" t="s">
        <v>343</v>
      </c>
      <c r="AH28" s="35">
        <v>2.0</v>
      </c>
      <c r="AI28" s="35" t="s">
        <v>346</v>
      </c>
      <c r="AJ28" s="72">
        <v>7.0</v>
      </c>
      <c r="AK28" s="35" t="s">
        <v>346</v>
      </c>
      <c r="AL28" s="35">
        <v>3.0</v>
      </c>
      <c r="AM28" s="95"/>
      <c r="AN28" s="95"/>
      <c r="AO28" s="35" t="s">
        <v>346</v>
      </c>
      <c r="AP28" s="35">
        <v>5.0</v>
      </c>
      <c r="AQ28" s="35" t="s">
        <v>346</v>
      </c>
      <c r="AR28" s="35">
        <v>4.0</v>
      </c>
      <c r="AS28" s="35" t="s">
        <v>364</v>
      </c>
      <c r="AT28" s="35">
        <v>2.0</v>
      </c>
      <c r="AU28" s="35" t="s">
        <v>343</v>
      </c>
      <c r="AV28" s="35">
        <v>6.0</v>
      </c>
      <c r="AW28" s="35" t="s">
        <v>356</v>
      </c>
      <c r="AX28" s="35">
        <v>1.0</v>
      </c>
    </row>
    <row r="29">
      <c r="A29" s="35" t="s">
        <v>346</v>
      </c>
      <c r="B29" s="35">
        <v>1.0</v>
      </c>
      <c r="E29" s="35" t="s">
        <v>346</v>
      </c>
      <c r="F29" s="35">
        <v>3.0</v>
      </c>
      <c r="G29" s="35" t="s">
        <v>365</v>
      </c>
      <c r="H29" s="35">
        <v>2.0</v>
      </c>
      <c r="I29" s="35" t="s">
        <v>359</v>
      </c>
      <c r="J29" s="35">
        <v>1.0</v>
      </c>
      <c r="K29" s="35" t="s">
        <v>346</v>
      </c>
      <c r="L29" s="35">
        <v>5.0</v>
      </c>
      <c r="M29" s="35" t="s">
        <v>348</v>
      </c>
      <c r="N29" s="35">
        <v>1.0</v>
      </c>
      <c r="Q29" s="35" t="s">
        <v>346</v>
      </c>
      <c r="R29" s="35">
        <v>5.0</v>
      </c>
      <c r="S29" s="35" t="s">
        <v>356</v>
      </c>
      <c r="T29" s="35">
        <v>2.0</v>
      </c>
      <c r="U29" s="35" t="s">
        <v>365</v>
      </c>
      <c r="V29" s="35">
        <v>2.0</v>
      </c>
      <c r="W29" s="35" t="s">
        <v>348</v>
      </c>
      <c r="X29" s="35">
        <v>1.0</v>
      </c>
      <c r="Y29" s="35" t="s">
        <v>359</v>
      </c>
      <c r="Z29" s="35">
        <v>1.0</v>
      </c>
      <c r="AA29" s="95"/>
      <c r="AB29" s="95"/>
      <c r="AC29" s="35" t="s">
        <v>346</v>
      </c>
      <c r="AD29" s="35">
        <v>4.0</v>
      </c>
      <c r="AE29" s="35" t="s">
        <v>359</v>
      </c>
      <c r="AF29" s="35">
        <v>3.0</v>
      </c>
      <c r="AG29" s="35" t="s">
        <v>348</v>
      </c>
      <c r="AH29" s="35">
        <v>1.0</v>
      </c>
      <c r="AI29" s="35" t="s">
        <v>352</v>
      </c>
      <c r="AJ29" s="35">
        <v>1.0</v>
      </c>
      <c r="AK29" s="35" t="s">
        <v>356</v>
      </c>
      <c r="AL29" s="35">
        <v>1.0</v>
      </c>
      <c r="AM29" s="95"/>
      <c r="AN29" s="95"/>
      <c r="AO29" s="35" t="s">
        <v>356</v>
      </c>
      <c r="AP29" s="35">
        <v>2.0</v>
      </c>
      <c r="AQ29" s="35" t="s">
        <v>352</v>
      </c>
      <c r="AR29" s="35">
        <v>1.0</v>
      </c>
      <c r="AS29" s="35" t="s">
        <v>367</v>
      </c>
      <c r="AT29" s="35">
        <v>4.0</v>
      </c>
      <c r="AU29" s="35" t="s">
        <v>348</v>
      </c>
      <c r="AV29" s="35">
        <v>1.0</v>
      </c>
      <c r="AW29" s="35" t="s">
        <v>359</v>
      </c>
      <c r="AX29" s="35">
        <v>1.0</v>
      </c>
    </row>
    <row r="30">
      <c r="A30" s="35" t="s">
        <v>356</v>
      </c>
      <c r="B30" s="35">
        <v>1.0</v>
      </c>
      <c r="E30" s="35" t="s">
        <v>356</v>
      </c>
      <c r="F30" s="35">
        <v>3.0</v>
      </c>
      <c r="G30" s="35" t="s">
        <v>359</v>
      </c>
      <c r="H30" s="35">
        <v>1.0</v>
      </c>
      <c r="I30" s="35" t="s">
        <v>364</v>
      </c>
      <c r="J30" s="35">
        <v>2.0</v>
      </c>
      <c r="K30" s="35" t="s">
        <v>352</v>
      </c>
      <c r="L30" s="35">
        <v>1.0</v>
      </c>
      <c r="M30" s="35" t="s">
        <v>346</v>
      </c>
      <c r="N30" s="35">
        <v>2.0</v>
      </c>
      <c r="Q30" s="35" t="s">
        <v>356</v>
      </c>
      <c r="R30" s="35">
        <v>1.0</v>
      </c>
      <c r="S30" s="35" t="s">
        <v>365</v>
      </c>
      <c r="T30" s="35">
        <v>2.0</v>
      </c>
      <c r="U30" s="35" t="s">
        <v>359</v>
      </c>
      <c r="V30" s="35">
        <v>1.0</v>
      </c>
      <c r="W30" s="35" t="s">
        <v>346</v>
      </c>
      <c r="X30" s="35">
        <v>6.0</v>
      </c>
      <c r="Y30" s="35" t="s">
        <v>370</v>
      </c>
      <c r="Z30" s="35">
        <v>1.0</v>
      </c>
      <c r="AA30" s="95"/>
      <c r="AB30" s="95"/>
      <c r="AC30" s="35" t="s">
        <v>352</v>
      </c>
      <c r="AD30" s="35">
        <v>1.0</v>
      </c>
      <c r="AE30" s="35" t="s">
        <v>364</v>
      </c>
      <c r="AF30" s="35">
        <v>2.0</v>
      </c>
      <c r="AG30" s="35" t="s">
        <v>346</v>
      </c>
      <c r="AH30" s="35">
        <v>2.0</v>
      </c>
      <c r="AI30" s="35" t="s">
        <v>361</v>
      </c>
      <c r="AJ30" s="35">
        <v>1.0</v>
      </c>
      <c r="AK30" s="35" t="s">
        <v>359</v>
      </c>
      <c r="AL30" s="35">
        <v>2.0</v>
      </c>
      <c r="AM30" s="95"/>
      <c r="AN30" s="95"/>
      <c r="AO30" s="35" t="s">
        <v>359</v>
      </c>
      <c r="AP30" s="35">
        <v>1.0</v>
      </c>
      <c r="AQ30" s="35" t="s">
        <v>356</v>
      </c>
      <c r="AR30" s="35">
        <v>1.0</v>
      </c>
      <c r="AS30" s="35" t="s">
        <v>373</v>
      </c>
      <c r="AT30" s="35">
        <v>1.0</v>
      </c>
      <c r="AU30" s="35" t="s">
        <v>346</v>
      </c>
      <c r="AV30" s="35">
        <v>2.0</v>
      </c>
      <c r="AW30" s="35" t="s">
        <v>367</v>
      </c>
      <c r="AX30" s="35">
        <v>1.0</v>
      </c>
    </row>
    <row r="31">
      <c r="A31" s="35" t="s">
        <v>365</v>
      </c>
      <c r="B31" s="35">
        <v>4.0</v>
      </c>
      <c r="E31" s="35" t="s">
        <v>365</v>
      </c>
      <c r="F31" s="35">
        <v>4.0</v>
      </c>
      <c r="G31" s="35" t="s">
        <v>364</v>
      </c>
      <c r="H31" s="35">
        <v>4.0</v>
      </c>
      <c r="I31" s="35" t="s">
        <v>367</v>
      </c>
      <c r="J31" s="35">
        <v>3.0</v>
      </c>
      <c r="K31" s="35" t="s">
        <v>359</v>
      </c>
      <c r="L31" s="35">
        <v>1.0</v>
      </c>
      <c r="M31" s="35" t="s">
        <v>352</v>
      </c>
      <c r="N31" s="35">
        <v>1.0</v>
      </c>
      <c r="Q31" s="35" t="s">
        <v>365</v>
      </c>
      <c r="R31" s="35">
        <v>4.0</v>
      </c>
      <c r="S31" s="35" t="s">
        <v>359</v>
      </c>
      <c r="T31" s="35">
        <v>2.0</v>
      </c>
      <c r="U31" s="35" t="s">
        <v>367</v>
      </c>
      <c r="V31" s="35">
        <v>1.0</v>
      </c>
      <c r="W31" s="35" t="s">
        <v>361</v>
      </c>
      <c r="X31" s="35">
        <v>1.0</v>
      </c>
      <c r="Y31" s="109" t="s">
        <v>367</v>
      </c>
      <c r="Z31" s="35">
        <v>2.0</v>
      </c>
      <c r="AA31" s="95"/>
      <c r="AB31" s="95"/>
      <c r="AC31" s="35" t="s">
        <v>356</v>
      </c>
      <c r="AD31" s="35">
        <v>2.0</v>
      </c>
      <c r="AE31" s="35" t="s">
        <v>370</v>
      </c>
      <c r="AF31" s="35">
        <v>1.0</v>
      </c>
      <c r="AG31" s="35" t="s">
        <v>352</v>
      </c>
      <c r="AH31" s="35">
        <v>2.0</v>
      </c>
      <c r="AI31" s="35" t="s">
        <v>359</v>
      </c>
      <c r="AJ31" s="35">
        <v>3.0</v>
      </c>
      <c r="AK31" s="35" t="s">
        <v>364</v>
      </c>
      <c r="AL31" s="35">
        <v>1.0</v>
      </c>
      <c r="AM31" s="95"/>
      <c r="AN31" s="95"/>
      <c r="AO31" s="35" t="s">
        <v>364</v>
      </c>
      <c r="AP31" s="35">
        <v>2.0</v>
      </c>
      <c r="AQ31" s="35" t="s">
        <v>365</v>
      </c>
      <c r="AR31" s="35">
        <v>2.0</v>
      </c>
      <c r="AS31" s="35" t="s">
        <v>371</v>
      </c>
      <c r="AT31" s="35">
        <v>5.0</v>
      </c>
      <c r="AU31" s="35" t="s">
        <v>352</v>
      </c>
      <c r="AV31" s="35">
        <v>2.0</v>
      </c>
      <c r="AW31" s="35" t="s">
        <v>373</v>
      </c>
      <c r="AX31" s="35">
        <v>1.0</v>
      </c>
    </row>
    <row r="32">
      <c r="A32" s="35" t="s">
        <v>359</v>
      </c>
      <c r="B32" s="35">
        <v>2.0</v>
      </c>
      <c r="E32" s="35" t="s">
        <v>364</v>
      </c>
      <c r="F32" s="35">
        <v>2.0</v>
      </c>
      <c r="G32" s="35" t="s">
        <v>373</v>
      </c>
      <c r="H32" s="35">
        <v>1.0</v>
      </c>
      <c r="I32" s="35" t="s">
        <v>371</v>
      </c>
      <c r="J32" s="35">
        <v>4.0</v>
      </c>
      <c r="K32" s="35" t="s">
        <v>364</v>
      </c>
      <c r="L32" s="35">
        <v>3.0</v>
      </c>
      <c r="M32" s="109" t="s">
        <v>356</v>
      </c>
      <c r="N32" s="35">
        <v>1.0</v>
      </c>
      <c r="Q32" s="35" t="s">
        <v>359</v>
      </c>
      <c r="R32" s="35">
        <v>1.0</v>
      </c>
      <c r="S32" s="35" t="s">
        <v>364</v>
      </c>
      <c r="T32" s="35">
        <v>3.0</v>
      </c>
      <c r="U32" s="35" t="s">
        <v>371</v>
      </c>
      <c r="V32" s="35">
        <v>6.0</v>
      </c>
      <c r="W32" s="35" t="s">
        <v>365</v>
      </c>
      <c r="X32" s="35">
        <v>2.0</v>
      </c>
      <c r="Y32" s="109" t="s">
        <v>373</v>
      </c>
      <c r="Z32" s="35">
        <v>2.0</v>
      </c>
      <c r="AA32" s="95"/>
      <c r="AB32" s="95"/>
      <c r="AC32" s="35" t="s">
        <v>365</v>
      </c>
      <c r="AD32" s="35">
        <v>3.0</v>
      </c>
      <c r="AE32" s="35" t="s">
        <v>367</v>
      </c>
      <c r="AF32" s="35">
        <v>3.0</v>
      </c>
      <c r="AG32" s="35" t="s">
        <v>356</v>
      </c>
      <c r="AH32" s="35">
        <v>1.0</v>
      </c>
      <c r="AI32" s="35" t="s">
        <v>364</v>
      </c>
      <c r="AJ32" s="35">
        <v>3.0</v>
      </c>
      <c r="AK32" s="109" t="s">
        <v>367</v>
      </c>
      <c r="AL32" s="35">
        <v>1.0</v>
      </c>
      <c r="AM32" s="95"/>
      <c r="AN32" s="95"/>
      <c r="AO32" s="35" t="s">
        <v>370</v>
      </c>
      <c r="AP32" s="35">
        <v>1.0</v>
      </c>
      <c r="AQ32" s="35" t="s">
        <v>359</v>
      </c>
      <c r="AR32" s="35">
        <v>2.0</v>
      </c>
      <c r="AS32" s="35" t="s">
        <v>405</v>
      </c>
      <c r="AT32" s="35">
        <v>1.0</v>
      </c>
      <c r="AU32" s="35" t="s">
        <v>359</v>
      </c>
      <c r="AV32" s="35">
        <v>3.0</v>
      </c>
      <c r="AW32" s="35" t="s">
        <v>371</v>
      </c>
      <c r="AX32" s="35">
        <v>4.0</v>
      </c>
    </row>
    <row r="33">
      <c r="A33" s="109" t="s">
        <v>364</v>
      </c>
      <c r="B33" s="35">
        <v>1.0</v>
      </c>
      <c r="E33" s="35" t="s">
        <v>367</v>
      </c>
      <c r="F33" s="35">
        <v>2.0</v>
      </c>
      <c r="G33" s="35" t="s">
        <v>371</v>
      </c>
      <c r="H33" s="35">
        <v>4.0</v>
      </c>
      <c r="I33" s="35" t="s">
        <v>382</v>
      </c>
      <c r="J33" s="35">
        <v>2.0</v>
      </c>
      <c r="K33" s="35" t="s">
        <v>367</v>
      </c>
      <c r="L33" s="35">
        <v>4.0</v>
      </c>
      <c r="M33" s="109" t="s">
        <v>359</v>
      </c>
      <c r="N33" s="35">
        <v>2.0</v>
      </c>
      <c r="Q33" s="35" t="s">
        <v>364</v>
      </c>
      <c r="R33" s="35">
        <v>1.0</v>
      </c>
      <c r="S33" s="35" t="s">
        <v>370</v>
      </c>
      <c r="T33" s="35">
        <v>1.0</v>
      </c>
      <c r="U33" s="35" t="s">
        <v>382</v>
      </c>
      <c r="V33" s="35">
        <v>4.0</v>
      </c>
      <c r="W33" s="35" t="s">
        <v>359</v>
      </c>
      <c r="X33" s="35">
        <v>3.0</v>
      </c>
      <c r="Y33" s="109" t="s">
        <v>371</v>
      </c>
      <c r="Z33" s="35">
        <v>1.0</v>
      </c>
      <c r="AA33" s="95"/>
      <c r="AB33" s="95"/>
      <c r="AC33" s="35" t="s">
        <v>364</v>
      </c>
      <c r="AD33" s="35">
        <v>2.0</v>
      </c>
      <c r="AE33" s="35" t="s">
        <v>373</v>
      </c>
      <c r="AF33" s="35">
        <v>1.0</v>
      </c>
      <c r="AG33" s="35" t="s">
        <v>359</v>
      </c>
      <c r="AH33" s="35">
        <v>2.0</v>
      </c>
      <c r="AI33" s="35" t="s">
        <v>371</v>
      </c>
      <c r="AJ33" s="72">
        <v>2.0</v>
      </c>
      <c r="AK33" s="109" t="s">
        <v>373</v>
      </c>
      <c r="AL33" s="35">
        <v>2.0</v>
      </c>
      <c r="AM33" s="95"/>
      <c r="AN33" s="95"/>
      <c r="AO33" s="35" t="s">
        <v>367</v>
      </c>
      <c r="AP33" s="35">
        <v>3.0</v>
      </c>
      <c r="AQ33" s="35" t="s">
        <v>364</v>
      </c>
      <c r="AR33" s="35">
        <v>6.0</v>
      </c>
      <c r="AS33" s="35" t="s">
        <v>382</v>
      </c>
      <c r="AT33" s="35">
        <v>4.0</v>
      </c>
      <c r="AU33" s="35" t="s">
        <v>364</v>
      </c>
      <c r="AV33" s="35">
        <v>2.0</v>
      </c>
      <c r="AW33" s="109" t="s">
        <v>376</v>
      </c>
      <c r="AX33" s="35">
        <v>7.0</v>
      </c>
    </row>
    <row r="34">
      <c r="A34" s="109" t="s">
        <v>367</v>
      </c>
      <c r="B34" s="35">
        <v>1.0</v>
      </c>
      <c r="E34" s="35" t="s">
        <v>371</v>
      </c>
      <c r="F34" s="35">
        <v>5.0</v>
      </c>
      <c r="G34" s="35" t="s">
        <v>376</v>
      </c>
      <c r="H34" s="35">
        <v>2.0</v>
      </c>
      <c r="I34" s="35" t="s">
        <v>398</v>
      </c>
      <c r="J34" s="35">
        <v>1.0</v>
      </c>
      <c r="K34" s="109" t="s">
        <v>371</v>
      </c>
      <c r="L34" s="35">
        <v>6.0</v>
      </c>
      <c r="M34" s="109" t="s">
        <v>370</v>
      </c>
      <c r="N34" s="35">
        <v>1.0</v>
      </c>
      <c r="Q34" s="35" t="s">
        <v>370</v>
      </c>
      <c r="R34" s="35">
        <v>1.0</v>
      </c>
      <c r="S34" s="35" t="s">
        <v>367</v>
      </c>
      <c r="T34" s="35">
        <v>2.0</v>
      </c>
      <c r="U34" s="35" t="s">
        <v>398</v>
      </c>
      <c r="V34" s="35">
        <v>1.0</v>
      </c>
      <c r="W34" s="35" t="s">
        <v>364</v>
      </c>
      <c r="X34" s="35">
        <v>1.0</v>
      </c>
      <c r="Y34" s="109" t="s">
        <v>376</v>
      </c>
      <c r="Z34" s="35">
        <v>3.0</v>
      </c>
      <c r="AA34" s="95"/>
      <c r="AB34" s="95"/>
      <c r="AC34" s="35" t="s">
        <v>367</v>
      </c>
      <c r="AD34" s="35">
        <v>3.0</v>
      </c>
      <c r="AE34" s="35" t="s">
        <v>371</v>
      </c>
      <c r="AF34" s="35">
        <v>5.0</v>
      </c>
      <c r="AG34" s="35" t="s">
        <v>364</v>
      </c>
      <c r="AH34" s="35">
        <v>2.0</v>
      </c>
      <c r="AI34" s="109" t="s">
        <v>382</v>
      </c>
      <c r="AJ34" s="35">
        <v>3.0</v>
      </c>
      <c r="AK34" s="109" t="s">
        <v>371</v>
      </c>
      <c r="AL34" s="35">
        <v>2.0</v>
      </c>
      <c r="AM34" s="95"/>
      <c r="AN34" s="95"/>
      <c r="AO34" s="35" t="s">
        <v>371</v>
      </c>
      <c r="AP34" s="35">
        <v>5.0</v>
      </c>
      <c r="AQ34" s="35" t="s">
        <v>367</v>
      </c>
      <c r="AR34" s="35">
        <v>2.0</v>
      </c>
      <c r="AS34" s="35" t="s">
        <v>668</v>
      </c>
      <c r="AT34" s="35">
        <v>1.0</v>
      </c>
      <c r="AU34" s="35" t="s">
        <v>371</v>
      </c>
      <c r="AV34" s="35">
        <v>2.0</v>
      </c>
      <c r="AW34" s="109" t="s">
        <v>382</v>
      </c>
      <c r="AX34" s="35">
        <v>4.0</v>
      </c>
    </row>
    <row r="35">
      <c r="A35" s="109" t="s">
        <v>371</v>
      </c>
      <c r="B35" s="35">
        <v>2.0</v>
      </c>
      <c r="E35" s="35" t="s">
        <v>376</v>
      </c>
      <c r="F35" s="35">
        <v>3.0</v>
      </c>
      <c r="G35" s="35" t="s">
        <v>382</v>
      </c>
      <c r="H35" s="35">
        <v>4.0</v>
      </c>
      <c r="I35" s="35" t="s">
        <v>668</v>
      </c>
      <c r="J35" s="35">
        <v>1.0</v>
      </c>
      <c r="K35" s="109" t="s">
        <v>376</v>
      </c>
      <c r="L35" s="35">
        <v>2.0</v>
      </c>
      <c r="M35" s="109" t="s">
        <v>367</v>
      </c>
      <c r="N35" s="35">
        <v>1.0</v>
      </c>
      <c r="Q35" s="35" t="s">
        <v>367</v>
      </c>
      <c r="R35" s="35">
        <v>2.0</v>
      </c>
      <c r="S35" s="35" t="s">
        <v>373</v>
      </c>
      <c r="T35" s="35">
        <v>2.0</v>
      </c>
      <c r="U35" s="35" t="s">
        <v>668</v>
      </c>
      <c r="V35" s="35">
        <v>1.0</v>
      </c>
      <c r="W35" s="35" t="s">
        <v>367</v>
      </c>
      <c r="X35" s="35">
        <v>2.0</v>
      </c>
      <c r="Y35" s="109" t="s">
        <v>382</v>
      </c>
      <c r="Z35" s="35">
        <v>4.0</v>
      </c>
      <c r="AA35" s="95"/>
      <c r="AB35" s="95"/>
      <c r="AC35" s="35" t="s">
        <v>373</v>
      </c>
      <c r="AD35" s="35">
        <v>1.0</v>
      </c>
      <c r="AE35" s="35" t="s">
        <v>376</v>
      </c>
      <c r="AF35" s="35">
        <v>4.0</v>
      </c>
      <c r="AG35" s="35" t="s">
        <v>367</v>
      </c>
      <c r="AH35" s="35">
        <v>2.0</v>
      </c>
      <c r="AI35" s="109" t="s">
        <v>669</v>
      </c>
      <c r="AJ35" s="35">
        <v>1.0</v>
      </c>
      <c r="AK35" s="109" t="s">
        <v>376</v>
      </c>
      <c r="AL35" s="35">
        <v>4.0</v>
      </c>
      <c r="AM35" s="95"/>
      <c r="AN35" s="95"/>
      <c r="AO35" s="35" t="s">
        <v>376</v>
      </c>
      <c r="AP35" s="35">
        <v>2.0</v>
      </c>
      <c r="AQ35" s="35" t="s">
        <v>371</v>
      </c>
      <c r="AR35" s="35">
        <v>2.0</v>
      </c>
      <c r="AS35" s="35" t="s">
        <v>412</v>
      </c>
      <c r="AT35" s="35">
        <v>1.0</v>
      </c>
      <c r="AU35" s="35" t="s">
        <v>376</v>
      </c>
      <c r="AV35" s="35">
        <v>3.0</v>
      </c>
      <c r="AW35" s="109" t="s">
        <v>413</v>
      </c>
      <c r="AX35" s="35">
        <v>2.0</v>
      </c>
    </row>
    <row r="36">
      <c r="A36" s="109" t="s">
        <v>376</v>
      </c>
      <c r="B36" s="35">
        <v>4.0</v>
      </c>
      <c r="E36" s="35" t="s">
        <v>382</v>
      </c>
      <c r="F36" s="35">
        <v>2.0</v>
      </c>
      <c r="G36" s="35" t="s">
        <v>401</v>
      </c>
      <c r="H36" s="35">
        <v>1.0</v>
      </c>
      <c r="I36" s="35" t="s">
        <v>669</v>
      </c>
      <c r="J36" s="35">
        <v>1.0</v>
      </c>
      <c r="K36" s="109" t="s">
        <v>382</v>
      </c>
      <c r="L36" s="35">
        <v>4.0</v>
      </c>
      <c r="M36" s="109" t="s">
        <v>371</v>
      </c>
      <c r="N36" s="35">
        <v>1.0</v>
      </c>
      <c r="Q36" s="35" t="s">
        <v>371</v>
      </c>
      <c r="R36" s="35">
        <v>3.0</v>
      </c>
      <c r="S36" s="35" t="s">
        <v>371</v>
      </c>
      <c r="T36" s="35">
        <v>3.0</v>
      </c>
      <c r="U36" s="35" t="s">
        <v>419</v>
      </c>
      <c r="V36" s="35">
        <v>1.0</v>
      </c>
      <c r="W36" s="109" t="s">
        <v>373</v>
      </c>
      <c r="X36" s="35">
        <v>1.0</v>
      </c>
      <c r="Y36" s="109" t="s">
        <v>668</v>
      </c>
      <c r="Z36" s="35">
        <v>1.0</v>
      </c>
      <c r="AA36" s="95"/>
      <c r="AB36" s="95"/>
      <c r="AC36" s="35" t="s">
        <v>371</v>
      </c>
      <c r="AD36" s="35">
        <v>3.0</v>
      </c>
      <c r="AE36" s="35" t="s">
        <v>382</v>
      </c>
      <c r="AF36" s="35">
        <v>4.0</v>
      </c>
      <c r="AG36" s="35" t="s">
        <v>373</v>
      </c>
      <c r="AH36" s="35">
        <v>1.0</v>
      </c>
      <c r="AI36" s="109" t="s">
        <v>394</v>
      </c>
      <c r="AJ36" s="35">
        <v>1.0</v>
      </c>
      <c r="AK36" s="109" t="s">
        <v>382</v>
      </c>
      <c r="AL36" s="35">
        <v>2.0</v>
      </c>
      <c r="AM36" s="95"/>
      <c r="AN36" s="95"/>
      <c r="AO36" s="35" t="s">
        <v>382</v>
      </c>
      <c r="AP36" s="35">
        <v>2.0</v>
      </c>
      <c r="AQ36" s="35" t="s">
        <v>376</v>
      </c>
      <c r="AR36" s="35">
        <v>5.0</v>
      </c>
      <c r="AS36" s="35" t="s">
        <v>428</v>
      </c>
      <c r="AT36" s="35">
        <v>2.0</v>
      </c>
      <c r="AU36" s="109" t="s">
        <v>382</v>
      </c>
      <c r="AV36" s="35">
        <v>3.0</v>
      </c>
      <c r="AW36" s="109" t="s">
        <v>670</v>
      </c>
      <c r="AX36" s="35">
        <v>1.0</v>
      </c>
    </row>
    <row r="37">
      <c r="A37" s="109" t="s">
        <v>382</v>
      </c>
      <c r="B37" s="35">
        <v>3.0</v>
      </c>
      <c r="E37" s="35" t="s">
        <v>428</v>
      </c>
      <c r="F37" s="35">
        <v>1.0</v>
      </c>
      <c r="G37" s="35" t="s">
        <v>412</v>
      </c>
      <c r="H37" s="35">
        <v>2.0</v>
      </c>
      <c r="I37" s="35" t="s">
        <v>400</v>
      </c>
      <c r="J37" s="35">
        <v>1.0</v>
      </c>
      <c r="K37" s="109" t="s">
        <v>411</v>
      </c>
      <c r="L37" s="35">
        <v>1.0</v>
      </c>
      <c r="M37" s="109" t="s">
        <v>376</v>
      </c>
      <c r="N37" s="35">
        <v>1.0</v>
      </c>
      <c r="Q37" s="35" t="s">
        <v>376</v>
      </c>
      <c r="R37" s="35">
        <v>4.0</v>
      </c>
      <c r="S37" s="35" t="s">
        <v>376</v>
      </c>
      <c r="T37" s="35">
        <v>4.0</v>
      </c>
      <c r="U37" s="35" t="s">
        <v>408</v>
      </c>
      <c r="V37" s="35">
        <v>2.0</v>
      </c>
      <c r="W37" s="109" t="s">
        <v>371</v>
      </c>
      <c r="X37" s="35">
        <v>1.0</v>
      </c>
      <c r="Y37" s="109" t="s">
        <v>391</v>
      </c>
      <c r="Z37" s="35">
        <v>1.0</v>
      </c>
      <c r="AA37" s="95"/>
      <c r="AB37" s="95"/>
      <c r="AC37" s="35" t="s">
        <v>376</v>
      </c>
      <c r="AD37" s="35">
        <v>6.0</v>
      </c>
      <c r="AE37" s="35" t="s">
        <v>401</v>
      </c>
      <c r="AF37" s="35">
        <v>1.0</v>
      </c>
      <c r="AG37" s="35" t="s">
        <v>371</v>
      </c>
      <c r="AH37" s="35">
        <v>2.0</v>
      </c>
      <c r="AI37" s="109" t="s">
        <v>445</v>
      </c>
      <c r="AJ37" s="35">
        <v>1.0</v>
      </c>
      <c r="AK37" s="109" t="s">
        <v>668</v>
      </c>
      <c r="AL37" s="35">
        <v>1.0</v>
      </c>
      <c r="AM37" s="95"/>
      <c r="AN37" s="95"/>
      <c r="AO37" s="35" t="s">
        <v>401</v>
      </c>
      <c r="AP37" s="35">
        <v>2.0</v>
      </c>
      <c r="AQ37" s="35" t="s">
        <v>382</v>
      </c>
      <c r="AR37" s="35">
        <v>3.0</v>
      </c>
      <c r="AS37" s="35" t="s">
        <v>409</v>
      </c>
      <c r="AT37" s="35">
        <v>1.0</v>
      </c>
      <c r="AU37" s="109" t="s">
        <v>394</v>
      </c>
      <c r="AV37" s="35">
        <v>1.0</v>
      </c>
      <c r="AW37" s="109" t="s">
        <v>428</v>
      </c>
      <c r="AX37" s="35">
        <v>1.0</v>
      </c>
    </row>
    <row r="38">
      <c r="A38" s="109" t="s">
        <v>670</v>
      </c>
      <c r="B38" s="35">
        <v>1.0</v>
      </c>
      <c r="E38" s="35" t="s">
        <v>400</v>
      </c>
      <c r="F38" s="35">
        <v>2.0</v>
      </c>
      <c r="G38" s="35" t="s">
        <v>400</v>
      </c>
      <c r="H38" s="35">
        <v>1.0</v>
      </c>
      <c r="I38" s="35" t="s">
        <v>409</v>
      </c>
      <c r="J38" s="35">
        <v>1.0</v>
      </c>
      <c r="K38" s="109" t="s">
        <v>409</v>
      </c>
      <c r="L38" s="35">
        <v>2.0</v>
      </c>
      <c r="M38" s="109" t="s">
        <v>671</v>
      </c>
      <c r="N38" s="35">
        <v>1.0</v>
      </c>
      <c r="Q38" s="35" t="s">
        <v>382</v>
      </c>
      <c r="R38" s="35">
        <v>2.0</v>
      </c>
      <c r="S38" s="35" t="s">
        <v>382</v>
      </c>
      <c r="T38" s="35">
        <v>6.0</v>
      </c>
      <c r="U38" s="35" t="s">
        <v>417</v>
      </c>
      <c r="V38" s="35">
        <v>1.0</v>
      </c>
      <c r="W38" s="109" t="s">
        <v>376</v>
      </c>
      <c r="X38" s="35">
        <v>2.0</v>
      </c>
      <c r="Y38" s="109" t="s">
        <v>428</v>
      </c>
      <c r="Z38" s="35">
        <v>1.0</v>
      </c>
      <c r="AA38" s="95"/>
      <c r="AB38" s="95"/>
      <c r="AC38" s="35" t="s">
        <v>382</v>
      </c>
      <c r="AD38" s="35">
        <v>4.0</v>
      </c>
      <c r="AE38" s="35" t="s">
        <v>412</v>
      </c>
      <c r="AF38" s="35">
        <v>1.0</v>
      </c>
      <c r="AG38" s="35" t="s">
        <v>376</v>
      </c>
      <c r="AH38" s="35">
        <v>2.0</v>
      </c>
      <c r="AI38" s="109" t="s">
        <v>396</v>
      </c>
      <c r="AJ38" s="35">
        <v>1.0</v>
      </c>
      <c r="AK38" s="109" t="s">
        <v>409</v>
      </c>
      <c r="AL38" s="35">
        <v>1.0</v>
      </c>
      <c r="AM38" s="95"/>
      <c r="AN38" s="95"/>
      <c r="AO38" s="35" t="s">
        <v>412</v>
      </c>
      <c r="AP38" s="35">
        <v>1.0</v>
      </c>
      <c r="AQ38" s="35" t="s">
        <v>401</v>
      </c>
      <c r="AR38" s="35">
        <v>2.0</v>
      </c>
      <c r="AS38" s="35" t="s">
        <v>408</v>
      </c>
      <c r="AT38" s="35">
        <v>1.0</v>
      </c>
      <c r="AU38" s="109" t="s">
        <v>400</v>
      </c>
      <c r="AV38" s="35">
        <v>2.0</v>
      </c>
      <c r="AW38" s="109" t="s">
        <v>400</v>
      </c>
      <c r="AX38" s="35">
        <v>1.0</v>
      </c>
    </row>
    <row r="39">
      <c r="A39" s="109" t="s">
        <v>672</v>
      </c>
      <c r="B39" s="35">
        <v>1.0</v>
      </c>
      <c r="E39" s="35" t="s">
        <v>403</v>
      </c>
      <c r="F39" s="35">
        <v>1.0</v>
      </c>
      <c r="G39" s="35" t="s">
        <v>445</v>
      </c>
      <c r="H39" s="35">
        <v>2.0</v>
      </c>
      <c r="I39" s="35" t="s">
        <v>438</v>
      </c>
      <c r="J39" s="35">
        <v>1.0</v>
      </c>
      <c r="K39" s="109" t="s">
        <v>396</v>
      </c>
      <c r="L39" s="35">
        <v>1.0</v>
      </c>
      <c r="M39" s="109" t="s">
        <v>382</v>
      </c>
      <c r="N39" s="35">
        <v>3.0</v>
      </c>
      <c r="Q39" s="35" t="s">
        <v>401</v>
      </c>
      <c r="R39" s="35">
        <v>1.0</v>
      </c>
      <c r="S39" s="35" t="s">
        <v>401</v>
      </c>
      <c r="T39" s="35">
        <v>1.0</v>
      </c>
      <c r="U39" s="35" t="s">
        <v>421</v>
      </c>
      <c r="V39" s="35">
        <v>1.0</v>
      </c>
      <c r="W39" s="109" t="s">
        <v>382</v>
      </c>
      <c r="X39" s="35">
        <v>4.0</v>
      </c>
      <c r="Y39" s="109" t="s">
        <v>409</v>
      </c>
      <c r="Z39" s="35">
        <v>2.0</v>
      </c>
      <c r="AA39" s="95"/>
      <c r="AB39" s="95"/>
      <c r="AC39" s="35" t="s">
        <v>401</v>
      </c>
      <c r="AD39" s="35">
        <v>1.0</v>
      </c>
      <c r="AE39" s="35" t="s">
        <v>400</v>
      </c>
      <c r="AF39" s="35">
        <v>2.0</v>
      </c>
      <c r="AG39" s="35" t="s">
        <v>382</v>
      </c>
      <c r="AH39" s="35">
        <v>2.0</v>
      </c>
      <c r="AI39" s="35" t="s">
        <v>419</v>
      </c>
      <c r="AJ39" s="35">
        <v>1.0</v>
      </c>
      <c r="AK39" s="109" t="s">
        <v>403</v>
      </c>
      <c r="AL39" s="35">
        <v>2.0</v>
      </c>
      <c r="AM39" s="95"/>
      <c r="AN39" s="95"/>
      <c r="AO39" s="35" t="s">
        <v>400</v>
      </c>
      <c r="AP39" s="35">
        <v>1.0</v>
      </c>
      <c r="AQ39" s="35" t="s">
        <v>413</v>
      </c>
      <c r="AR39" s="35">
        <v>1.0</v>
      </c>
      <c r="AS39" s="35" t="s">
        <v>440</v>
      </c>
      <c r="AT39" s="35">
        <v>1.0</v>
      </c>
      <c r="AU39" s="109" t="s">
        <v>396</v>
      </c>
      <c r="AV39" s="35">
        <v>1.0</v>
      </c>
      <c r="AW39" s="109" t="s">
        <v>408</v>
      </c>
      <c r="AX39" s="35">
        <v>2.0</v>
      </c>
    </row>
    <row r="40">
      <c r="A40" s="109" t="s">
        <v>408</v>
      </c>
      <c r="B40" s="35">
        <v>1.0</v>
      </c>
      <c r="E40" s="35" t="s">
        <v>419</v>
      </c>
      <c r="F40" s="35">
        <v>1.0</v>
      </c>
      <c r="G40" s="35" t="s">
        <v>409</v>
      </c>
      <c r="H40" s="35">
        <v>3.0</v>
      </c>
      <c r="I40" s="35" t="s">
        <v>419</v>
      </c>
      <c r="J40" s="35">
        <v>1.0</v>
      </c>
      <c r="K40" s="109" t="s">
        <v>408</v>
      </c>
      <c r="L40" s="35">
        <v>1.0</v>
      </c>
      <c r="M40" s="109" t="s">
        <v>413</v>
      </c>
      <c r="N40" s="35">
        <v>1.0</v>
      </c>
      <c r="Q40" s="35" t="s">
        <v>412</v>
      </c>
      <c r="R40" s="35">
        <v>1.0</v>
      </c>
      <c r="S40" s="35" t="s">
        <v>413</v>
      </c>
      <c r="T40" s="35">
        <v>1.0</v>
      </c>
      <c r="U40" s="35" t="s">
        <v>449</v>
      </c>
      <c r="V40" s="35">
        <v>1.0</v>
      </c>
      <c r="W40" s="109" t="s">
        <v>401</v>
      </c>
      <c r="X40" s="35">
        <v>1.0</v>
      </c>
      <c r="Y40" s="35" t="s">
        <v>672</v>
      </c>
      <c r="Z40" s="35">
        <v>2.0</v>
      </c>
      <c r="AA40" s="95"/>
      <c r="AB40" s="95"/>
      <c r="AC40" s="35" t="s">
        <v>412</v>
      </c>
      <c r="AD40" s="35">
        <v>1.0</v>
      </c>
      <c r="AE40" s="35" t="s">
        <v>409</v>
      </c>
      <c r="AF40" s="35">
        <v>4.0</v>
      </c>
      <c r="AG40" s="35" t="s">
        <v>400</v>
      </c>
      <c r="AH40" s="35">
        <v>2.0</v>
      </c>
      <c r="AI40" s="35" t="s">
        <v>408</v>
      </c>
      <c r="AJ40" s="35">
        <v>2.0</v>
      </c>
      <c r="AK40" s="109" t="s">
        <v>417</v>
      </c>
      <c r="AL40" s="35">
        <v>1.0</v>
      </c>
      <c r="AM40" s="95"/>
      <c r="AN40" s="95"/>
      <c r="AO40" s="35" t="s">
        <v>408</v>
      </c>
      <c r="AP40" s="35">
        <v>2.0</v>
      </c>
      <c r="AQ40" s="35" t="s">
        <v>400</v>
      </c>
      <c r="AR40" s="35">
        <v>1.0</v>
      </c>
      <c r="AS40" s="35" t="s">
        <v>443</v>
      </c>
      <c r="AT40" s="35">
        <v>1.0</v>
      </c>
      <c r="AU40" s="109" t="s">
        <v>408</v>
      </c>
      <c r="AV40" s="35">
        <v>2.0</v>
      </c>
      <c r="AW40" s="109" t="s">
        <v>426</v>
      </c>
      <c r="AX40" s="35">
        <v>1.0</v>
      </c>
    </row>
    <row r="41">
      <c r="A41" s="109" t="s">
        <v>417</v>
      </c>
      <c r="B41" s="35">
        <v>1.0</v>
      </c>
      <c r="E41" s="35" t="s">
        <v>408</v>
      </c>
      <c r="F41" s="35">
        <v>2.0</v>
      </c>
      <c r="G41" s="35" t="s">
        <v>403</v>
      </c>
      <c r="H41" s="35">
        <v>1.0</v>
      </c>
      <c r="I41" s="35" t="s">
        <v>408</v>
      </c>
      <c r="J41" s="35">
        <v>2.0</v>
      </c>
      <c r="K41" s="35" t="s">
        <v>417</v>
      </c>
      <c r="L41" s="35">
        <v>1.0</v>
      </c>
      <c r="M41" s="35" t="s">
        <v>409</v>
      </c>
      <c r="N41" s="35">
        <v>1.0</v>
      </c>
      <c r="Q41" s="35" t="s">
        <v>413</v>
      </c>
      <c r="R41" s="35">
        <v>1.0</v>
      </c>
      <c r="S41" s="35" t="s">
        <v>400</v>
      </c>
      <c r="T41" s="35">
        <v>2.0</v>
      </c>
      <c r="U41" s="35" t="s">
        <v>453</v>
      </c>
      <c r="V41" s="35">
        <v>4.0</v>
      </c>
      <c r="W41" s="109" t="s">
        <v>412</v>
      </c>
      <c r="X41" s="35">
        <v>1.0</v>
      </c>
      <c r="Y41" s="35" t="s">
        <v>419</v>
      </c>
      <c r="Z41" s="35">
        <v>1.0</v>
      </c>
      <c r="AA41" s="95"/>
      <c r="AB41" s="95"/>
      <c r="AC41" s="35" t="s">
        <v>669</v>
      </c>
      <c r="AD41" s="35">
        <v>1.0</v>
      </c>
      <c r="AE41" s="35" t="s">
        <v>396</v>
      </c>
      <c r="AF41" s="35">
        <v>1.0</v>
      </c>
      <c r="AG41" s="35" t="s">
        <v>445</v>
      </c>
      <c r="AH41" s="35">
        <v>1.0</v>
      </c>
      <c r="AI41" s="35" t="s">
        <v>417</v>
      </c>
      <c r="AJ41" s="35">
        <v>2.0</v>
      </c>
      <c r="AK41" s="35" t="s">
        <v>426</v>
      </c>
      <c r="AL41" s="35">
        <v>1.0</v>
      </c>
      <c r="AM41" s="95"/>
      <c r="AN41" s="95"/>
      <c r="AO41" s="35" t="s">
        <v>431</v>
      </c>
      <c r="AP41" s="35">
        <v>2.0</v>
      </c>
      <c r="AQ41" s="35" t="s">
        <v>445</v>
      </c>
      <c r="AR41" s="35">
        <v>2.0</v>
      </c>
      <c r="AS41" s="35" t="s">
        <v>453</v>
      </c>
      <c r="AT41" s="35">
        <v>2.0</v>
      </c>
      <c r="AU41" s="35" t="s">
        <v>417</v>
      </c>
      <c r="AV41" s="35">
        <v>2.0</v>
      </c>
      <c r="AW41" s="109" t="s">
        <v>421</v>
      </c>
      <c r="AX41" s="35">
        <v>1.0</v>
      </c>
    </row>
    <row r="42">
      <c r="A42" s="35" t="s">
        <v>421</v>
      </c>
      <c r="B42" s="35">
        <v>1.0</v>
      </c>
      <c r="E42" s="35" t="s">
        <v>417</v>
      </c>
      <c r="F42" s="35">
        <v>2.0</v>
      </c>
      <c r="G42" s="35" t="s">
        <v>419</v>
      </c>
      <c r="H42" s="35">
        <v>3.0</v>
      </c>
      <c r="I42" s="35" t="s">
        <v>421</v>
      </c>
      <c r="J42" s="35">
        <v>2.0</v>
      </c>
      <c r="K42" s="35" t="s">
        <v>421</v>
      </c>
      <c r="L42" s="35">
        <v>1.0</v>
      </c>
      <c r="M42" s="35" t="s">
        <v>672</v>
      </c>
      <c r="N42" s="35">
        <v>2.0</v>
      </c>
      <c r="Q42" s="35" t="s">
        <v>400</v>
      </c>
      <c r="R42" s="35">
        <v>1.0</v>
      </c>
      <c r="S42" s="35" t="s">
        <v>409</v>
      </c>
      <c r="T42" s="35">
        <v>1.0</v>
      </c>
      <c r="U42" s="35" t="s">
        <v>457</v>
      </c>
      <c r="V42" s="35">
        <v>2.0</v>
      </c>
      <c r="W42" s="35" t="s">
        <v>400</v>
      </c>
      <c r="X42" s="35">
        <v>1.0</v>
      </c>
      <c r="Y42" s="35" t="s">
        <v>417</v>
      </c>
      <c r="Z42" s="35">
        <v>1.0</v>
      </c>
      <c r="AA42" s="95"/>
      <c r="AB42" s="95"/>
      <c r="AC42" s="35" t="s">
        <v>394</v>
      </c>
      <c r="AD42" s="35">
        <v>1.0</v>
      </c>
      <c r="AE42" s="35" t="s">
        <v>403</v>
      </c>
      <c r="AF42" s="35">
        <v>1.0</v>
      </c>
      <c r="AG42" s="35" t="s">
        <v>672</v>
      </c>
      <c r="AH42" s="35">
        <v>1.0</v>
      </c>
      <c r="AI42" s="35" t="s">
        <v>431</v>
      </c>
      <c r="AJ42" s="35">
        <v>1.0</v>
      </c>
      <c r="AK42" s="35" t="s">
        <v>421</v>
      </c>
      <c r="AL42" s="35">
        <v>1.0</v>
      </c>
      <c r="AM42" s="95"/>
      <c r="AN42" s="95"/>
      <c r="AO42" s="35" t="s">
        <v>440</v>
      </c>
      <c r="AP42" s="35">
        <v>2.0</v>
      </c>
      <c r="AQ42" s="35" t="s">
        <v>409</v>
      </c>
      <c r="AR42" s="35">
        <v>1.0</v>
      </c>
      <c r="AS42" s="35" t="s">
        <v>465</v>
      </c>
      <c r="AT42" s="35">
        <v>1.0</v>
      </c>
      <c r="AU42" s="35" t="s">
        <v>421</v>
      </c>
      <c r="AV42" s="35">
        <v>2.0</v>
      </c>
      <c r="AW42" s="109" t="s">
        <v>431</v>
      </c>
      <c r="AX42" s="35">
        <v>2.0</v>
      </c>
    </row>
    <row r="43">
      <c r="A43" s="35" t="s">
        <v>431</v>
      </c>
      <c r="B43" s="35">
        <v>1.0</v>
      </c>
      <c r="E43" s="35" t="s">
        <v>421</v>
      </c>
      <c r="F43" s="35">
        <v>1.0</v>
      </c>
      <c r="G43" s="35" t="s">
        <v>408</v>
      </c>
      <c r="H43" s="35">
        <v>1.0</v>
      </c>
      <c r="I43" s="35" t="s">
        <v>431</v>
      </c>
      <c r="J43" s="35">
        <v>1.0</v>
      </c>
      <c r="K43" s="35" t="s">
        <v>431</v>
      </c>
      <c r="L43" s="35">
        <v>1.0</v>
      </c>
      <c r="M43" s="35" t="s">
        <v>408</v>
      </c>
      <c r="N43" s="35">
        <v>2.0</v>
      </c>
      <c r="Q43" s="35" t="s">
        <v>403</v>
      </c>
      <c r="R43" s="35">
        <v>1.0</v>
      </c>
      <c r="S43" s="35" t="s">
        <v>396</v>
      </c>
      <c r="T43" s="35">
        <v>1.0</v>
      </c>
      <c r="U43" s="35" t="s">
        <v>465</v>
      </c>
      <c r="V43" s="35">
        <v>1.0</v>
      </c>
      <c r="W43" s="35" t="s">
        <v>403</v>
      </c>
      <c r="X43" s="35">
        <v>1.0</v>
      </c>
      <c r="Y43" s="35" t="s">
        <v>440</v>
      </c>
      <c r="Z43" s="35">
        <v>1.0</v>
      </c>
      <c r="AA43" s="95"/>
      <c r="AB43" s="95"/>
      <c r="AC43" s="35" t="s">
        <v>396</v>
      </c>
      <c r="AD43" s="35">
        <v>1.0</v>
      </c>
      <c r="AE43" s="35" t="s">
        <v>419</v>
      </c>
      <c r="AF43" s="35">
        <v>5.0</v>
      </c>
      <c r="AG43" s="35" t="s">
        <v>408</v>
      </c>
      <c r="AH43" s="35">
        <v>1.0</v>
      </c>
      <c r="AI43" s="35" t="s">
        <v>440</v>
      </c>
      <c r="AJ43" s="35">
        <v>1.0</v>
      </c>
      <c r="AK43" s="35" t="s">
        <v>436</v>
      </c>
      <c r="AL43" s="35">
        <v>1.0</v>
      </c>
      <c r="AM43" s="95"/>
      <c r="AN43" s="95"/>
      <c r="AO43" s="35" t="s">
        <v>443</v>
      </c>
      <c r="AP43" s="35">
        <v>1.0</v>
      </c>
      <c r="AQ43" s="35" t="s">
        <v>396</v>
      </c>
      <c r="AR43" s="35">
        <v>2.0</v>
      </c>
      <c r="AS43" s="35" t="s">
        <v>460</v>
      </c>
      <c r="AT43" s="35">
        <v>1.0</v>
      </c>
      <c r="AU43" s="35" t="s">
        <v>443</v>
      </c>
      <c r="AV43" s="35">
        <v>1.0</v>
      </c>
      <c r="AW43" s="35" t="s">
        <v>673</v>
      </c>
      <c r="AX43" s="35">
        <v>2.0</v>
      </c>
    </row>
    <row r="44">
      <c r="A44" s="35" t="s">
        <v>475</v>
      </c>
      <c r="B44" s="35">
        <v>2.0</v>
      </c>
      <c r="E44" s="35" t="s">
        <v>431</v>
      </c>
      <c r="F44" s="35">
        <v>1.0</v>
      </c>
      <c r="G44" s="35" t="s">
        <v>417</v>
      </c>
      <c r="H44" s="35">
        <v>3.0</v>
      </c>
      <c r="I44" s="35" t="s">
        <v>443</v>
      </c>
      <c r="J44" s="35">
        <v>1.0</v>
      </c>
      <c r="K44" s="35" t="s">
        <v>440</v>
      </c>
      <c r="L44" s="35">
        <v>1.0</v>
      </c>
      <c r="M44" s="35" t="s">
        <v>431</v>
      </c>
      <c r="N44" s="35">
        <v>2.0</v>
      </c>
      <c r="Q44" s="35" t="s">
        <v>419</v>
      </c>
      <c r="R44" s="35">
        <v>1.0</v>
      </c>
      <c r="S44" s="35" t="s">
        <v>403</v>
      </c>
      <c r="T44" s="35">
        <v>1.0</v>
      </c>
      <c r="U44" s="35" t="s">
        <v>462</v>
      </c>
      <c r="V44" s="35">
        <v>1.0</v>
      </c>
      <c r="W44" s="35" t="s">
        <v>419</v>
      </c>
      <c r="X44" s="35">
        <v>2.0</v>
      </c>
      <c r="Y44" s="35" t="s">
        <v>453</v>
      </c>
      <c r="Z44" s="35">
        <v>3.0</v>
      </c>
      <c r="AA44" s="95"/>
      <c r="AB44" s="95"/>
      <c r="AC44" s="35" t="s">
        <v>419</v>
      </c>
      <c r="AD44" s="35">
        <v>1.0</v>
      </c>
      <c r="AE44" s="35" t="s">
        <v>417</v>
      </c>
      <c r="AF44" s="35">
        <v>4.0</v>
      </c>
      <c r="AG44" s="35" t="s">
        <v>426</v>
      </c>
      <c r="AH44" s="35">
        <v>1.0</v>
      </c>
      <c r="AI44" s="35" t="s">
        <v>443</v>
      </c>
      <c r="AJ44" s="35">
        <v>1.0</v>
      </c>
      <c r="AK44" s="35" t="s">
        <v>442</v>
      </c>
      <c r="AL44" s="35">
        <v>3.0</v>
      </c>
      <c r="AM44" s="95"/>
      <c r="AN44" s="95"/>
      <c r="AO44" s="35" t="s">
        <v>446</v>
      </c>
      <c r="AP44" s="35">
        <v>1.0</v>
      </c>
      <c r="AQ44" s="35" t="s">
        <v>403</v>
      </c>
      <c r="AR44" s="35">
        <v>1.0</v>
      </c>
      <c r="AS44" s="35" t="s">
        <v>468</v>
      </c>
      <c r="AT44" s="35">
        <v>3.0</v>
      </c>
      <c r="AU44" s="35" t="s">
        <v>449</v>
      </c>
      <c r="AV44" s="35">
        <v>2.0</v>
      </c>
      <c r="AW44" s="35" t="s">
        <v>442</v>
      </c>
      <c r="AX44" s="35">
        <v>1.0</v>
      </c>
    </row>
    <row r="45">
      <c r="A45" s="35" t="s">
        <v>442</v>
      </c>
      <c r="B45" s="35">
        <v>1.0</v>
      </c>
      <c r="E45" s="35" t="s">
        <v>440</v>
      </c>
      <c r="F45" s="35">
        <v>2.0</v>
      </c>
      <c r="G45" s="87" t="s">
        <v>421</v>
      </c>
      <c r="H45" s="87">
        <v>2.0</v>
      </c>
      <c r="I45" s="35" t="s">
        <v>442</v>
      </c>
      <c r="J45" s="35">
        <v>2.0</v>
      </c>
      <c r="K45" s="35" t="s">
        <v>449</v>
      </c>
      <c r="L45" s="35">
        <v>2.0</v>
      </c>
      <c r="M45" s="35" t="s">
        <v>447</v>
      </c>
      <c r="N45" s="35">
        <v>1.0</v>
      </c>
      <c r="Q45" s="35" t="s">
        <v>408</v>
      </c>
      <c r="R45" s="35">
        <v>1.0</v>
      </c>
      <c r="S45" s="35" t="s">
        <v>419</v>
      </c>
      <c r="T45" s="35">
        <v>3.0</v>
      </c>
      <c r="U45" s="35" t="s">
        <v>468</v>
      </c>
      <c r="V45" s="35">
        <v>2.0</v>
      </c>
      <c r="W45" s="35" t="s">
        <v>408</v>
      </c>
      <c r="X45" s="35">
        <v>1.0</v>
      </c>
      <c r="Y45" s="35" t="s">
        <v>465</v>
      </c>
      <c r="Z45" s="35">
        <v>2.0</v>
      </c>
      <c r="AA45" s="95"/>
      <c r="AB45" s="95"/>
      <c r="AC45" s="35" t="s">
        <v>408</v>
      </c>
      <c r="AD45" s="35">
        <v>1.0</v>
      </c>
      <c r="AE45" s="87" t="s">
        <v>440</v>
      </c>
      <c r="AF45" s="87">
        <v>1.0</v>
      </c>
      <c r="AG45" s="35" t="s">
        <v>453</v>
      </c>
      <c r="AH45" s="35">
        <v>4.0</v>
      </c>
      <c r="AI45" s="35" t="s">
        <v>449</v>
      </c>
      <c r="AJ45" s="35">
        <v>1.0</v>
      </c>
      <c r="AK45" s="35" t="s">
        <v>446</v>
      </c>
      <c r="AL45" s="35">
        <v>1.0</v>
      </c>
      <c r="AM45" s="95"/>
      <c r="AN45" s="95"/>
      <c r="AO45" s="35" t="s">
        <v>453</v>
      </c>
      <c r="AP45" s="35">
        <v>1.0</v>
      </c>
      <c r="AQ45" s="87" t="s">
        <v>419</v>
      </c>
      <c r="AR45" s="87">
        <v>1.0</v>
      </c>
      <c r="AS45" s="35" t="s">
        <v>471</v>
      </c>
      <c r="AT45" s="35">
        <v>2.0</v>
      </c>
      <c r="AU45" s="35" t="s">
        <v>673</v>
      </c>
      <c r="AV45" s="35">
        <v>1.0</v>
      </c>
      <c r="AW45" s="35" t="s">
        <v>446</v>
      </c>
      <c r="AX45" s="35">
        <v>1.0</v>
      </c>
    </row>
    <row r="46">
      <c r="A46" s="35" t="s">
        <v>453</v>
      </c>
      <c r="B46" s="35">
        <v>1.0</v>
      </c>
      <c r="E46" s="35" t="s">
        <v>442</v>
      </c>
      <c r="F46" s="35">
        <v>1.0</v>
      </c>
      <c r="G46" s="87" t="s">
        <v>440</v>
      </c>
      <c r="H46" s="87">
        <v>1.0</v>
      </c>
      <c r="I46" s="35" t="s">
        <v>446</v>
      </c>
      <c r="J46" s="35">
        <v>1.0</v>
      </c>
      <c r="K46" s="35" t="s">
        <v>442</v>
      </c>
      <c r="L46" s="35">
        <v>2.0</v>
      </c>
      <c r="M46" s="35" t="s">
        <v>442</v>
      </c>
      <c r="N46" s="35">
        <v>3.0</v>
      </c>
      <c r="Q46" s="35" t="s">
        <v>417</v>
      </c>
      <c r="R46" s="35">
        <v>1.0</v>
      </c>
      <c r="S46" s="87" t="s">
        <v>408</v>
      </c>
      <c r="T46" s="87">
        <v>1.0</v>
      </c>
      <c r="U46" s="35" t="s">
        <v>476</v>
      </c>
      <c r="V46" s="35">
        <v>1.0</v>
      </c>
      <c r="W46" s="35" t="s">
        <v>417</v>
      </c>
      <c r="X46" s="35">
        <v>3.0</v>
      </c>
      <c r="Y46" s="35" t="s">
        <v>463</v>
      </c>
      <c r="Z46" s="35">
        <v>2.0</v>
      </c>
      <c r="AA46" s="95"/>
      <c r="AB46" s="95"/>
      <c r="AC46" s="35" t="s">
        <v>417</v>
      </c>
      <c r="AD46" s="35">
        <v>1.0</v>
      </c>
      <c r="AE46" s="87" t="s">
        <v>475</v>
      </c>
      <c r="AF46" s="87">
        <v>1.0</v>
      </c>
      <c r="AG46" s="35" t="s">
        <v>457</v>
      </c>
      <c r="AH46" s="35">
        <v>1.0</v>
      </c>
      <c r="AI46" s="35" t="s">
        <v>447</v>
      </c>
      <c r="AJ46" s="35">
        <v>1.0</v>
      </c>
      <c r="AK46" s="35" t="s">
        <v>453</v>
      </c>
      <c r="AL46" s="35">
        <v>2.0</v>
      </c>
      <c r="AM46" s="95"/>
      <c r="AN46" s="95"/>
      <c r="AO46" s="35" t="s">
        <v>457</v>
      </c>
      <c r="AP46" s="35">
        <v>1.0</v>
      </c>
      <c r="AQ46" s="87" t="s">
        <v>408</v>
      </c>
      <c r="AR46" s="87">
        <v>2.0</v>
      </c>
      <c r="AS46" s="35" t="s">
        <v>483</v>
      </c>
      <c r="AT46" s="35">
        <v>1.0</v>
      </c>
      <c r="AU46" s="35" t="s">
        <v>446</v>
      </c>
      <c r="AV46" s="35">
        <v>1.0</v>
      </c>
      <c r="AW46" s="35" t="s">
        <v>453</v>
      </c>
      <c r="AX46" s="35">
        <v>3.0</v>
      </c>
    </row>
    <row r="47">
      <c r="A47" s="35" t="s">
        <v>457</v>
      </c>
      <c r="B47" s="35">
        <v>1.0</v>
      </c>
      <c r="E47" s="35" t="s">
        <v>453</v>
      </c>
      <c r="F47" s="35">
        <v>1.0</v>
      </c>
      <c r="G47" s="87" t="s">
        <v>449</v>
      </c>
      <c r="H47" s="87">
        <v>1.0</v>
      </c>
      <c r="I47" s="35" t="s">
        <v>453</v>
      </c>
      <c r="J47" s="35">
        <v>3.0</v>
      </c>
      <c r="K47" s="35" t="s">
        <v>453</v>
      </c>
      <c r="L47" s="35">
        <v>2.0</v>
      </c>
      <c r="M47" s="35" t="s">
        <v>446</v>
      </c>
      <c r="N47" s="35">
        <v>1.0</v>
      </c>
      <c r="Q47" s="35" t="s">
        <v>421</v>
      </c>
      <c r="R47" s="35">
        <v>1.0</v>
      </c>
      <c r="S47" s="87" t="s">
        <v>417</v>
      </c>
      <c r="T47" s="87">
        <v>5.0</v>
      </c>
      <c r="U47" s="35" t="s">
        <v>471</v>
      </c>
      <c r="V47" s="35">
        <v>4.0</v>
      </c>
      <c r="W47" s="35" t="s">
        <v>421</v>
      </c>
      <c r="X47" s="35">
        <v>2.0</v>
      </c>
      <c r="Y47" s="35" t="s">
        <v>468</v>
      </c>
      <c r="Z47" s="35">
        <v>6.0</v>
      </c>
      <c r="AA47" s="95"/>
      <c r="AB47" s="95"/>
      <c r="AC47" s="35" t="s">
        <v>440</v>
      </c>
      <c r="AD47" s="35">
        <v>2.0</v>
      </c>
      <c r="AE47" s="87" t="s">
        <v>449</v>
      </c>
      <c r="AF47" s="87">
        <v>1.0</v>
      </c>
      <c r="AG47" s="35" t="s">
        <v>465</v>
      </c>
      <c r="AH47" s="35">
        <v>1.0</v>
      </c>
      <c r="AI47" s="35" t="s">
        <v>446</v>
      </c>
      <c r="AJ47" s="35">
        <v>1.0</v>
      </c>
      <c r="AK47" s="35" t="s">
        <v>465</v>
      </c>
      <c r="AL47" s="35">
        <v>2.0</v>
      </c>
      <c r="AM47" s="95"/>
      <c r="AN47" s="95"/>
      <c r="AO47" s="35" t="s">
        <v>465</v>
      </c>
      <c r="AP47" s="35">
        <v>1.0</v>
      </c>
      <c r="AQ47" s="87" t="s">
        <v>417</v>
      </c>
      <c r="AR47" s="87">
        <v>1.0</v>
      </c>
      <c r="AS47" s="35" t="s">
        <v>674</v>
      </c>
      <c r="AT47" s="35">
        <v>1.0</v>
      </c>
      <c r="AU47" s="35" t="s">
        <v>453</v>
      </c>
      <c r="AV47" s="35">
        <v>1.0</v>
      </c>
      <c r="AW47" s="35" t="s">
        <v>457</v>
      </c>
      <c r="AX47" s="35">
        <v>1.0</v>
      </c>
    </row>
    <row r="48">
      <c r="A48" s="35" t="s">
        <v>465</v>
      </c>
      <c r="B48" s="35">
        <v>2.0</v>
      </c>
      <c r="E48" s="35" t="s">
        <v>457</v>
      </c>
      <c r="F48" s="35">
        <v>2.0</v>
      </c>
      <c r="G48" s="87" t="s">
        <v>447</v>
      </c>
      <c r="H48" s="87">
        <v>1.0</v>
      </c>
      <c r="I48" s="35" t="s">
        <v>457</v>
      </c>
      <c r="J48" s="35">
        <v>1.0</v>
      </c>
      <c r="K48" s="35" t="s">
        <v>457</v>
      </c>
      <c r="L48" s="35">
        <v>1.0</v>
      </c>
      <c r="M48" s="35" t="s">
        <v>453</v>
      </c>
      <c r="N48" s="35">
        <v>1.0</v>
      </c>
      <c r="Q48" s="35" t="s">
        <v>440</v>
      </c>
      <c r="R48" s="35">
        <v>2.0</v>
      </c>
      <c r="S48" s="87" t="s">
        <v>421</v>
      </c>
      <c r="T48" s="87">
        <v>1.0</v>
      </c>
      <c r="U48" s="35" t="s">
        <v>486</v>
      </c>
      <c r="V48" s="35">
        <v>1.0</v>
      </c>
      <c r="W48" s="35" t="s">
        <v>431</v>
      </c>
      <c r="X48" s="35">
        <v>1.0</v>
      </c>
      <c r="Y48" s="35" t="s">
        <v>476</v>
      </c>
      <c r="Z48" s="35">
        <v>1.0</v>
      </c>
      <c r="AA48" s="95"/>
      <c r="AB48" s="95"/>
      <c r="AC48" s="35" t="s">
        <v>443</v>
      </c>
      <c r="AD48" s="35">
        <v>1.0</v>
      </c>
      <c r="AE48" s="87" t="s">
        <v>446</v>
      </c>
      <c r="AF48" s="87">
        <v>1.0</v>
      </c>
      <c r="AG48" s="35" t="s">
        <v>462</v>
      </c>
      <c r="AH48" s="35">
        <v>2.0</v>
      </c>
      <c r="AI48" s="35" t="s">
        <v>465</v>
      </c>
      <c r="AJ48" s="35">
        <v>3.0</v>
      </c>
      <c r="AK48" s="35" t="s">
        <v>460</v>
      </c>
      <c r="AL48" s="35">
        <v>1.0</v>
      </c>
      <c r="AM48" s="95"/>
      <c r="AN48" s="95"/>
      <c r="AO48" s="35" t="s">
        <v>463</v>
      </c>
      <c r="AP48" s="35">
        <v>1.0</v>
      </c>
      <c r="AQ48" s="87" t="s">
        <v>421</v>
      </c>
      <c r="AR48" s="87">
        <v>1.0</v>
      </c>
      <c r="AS48" s="35" t="s">
        <v>500</v>
      </c>
      <c r="AT48" s="35">
        <v>2.0</v>
      </c>
      <c r="AU48" s="35" t="s">
        <v>457</v>
      </c>
      <c r="AV48" s="35">
        <v>1.0</v>
      </c>
      <c r="AW48" s="35" t="s">
        <v>465</v>
      </c>
      <c r="AX48" s="35">
        <v>3.0</v>
      </c>
    </row>
    <row r="49">
      <c r="A49" s="35" t="s">
        <v>462</v>
      </c>
      <c r="B49" s="35">
        <v>1.0</v>
      </c>
      <c r="E49" s="35" t="s">
        <v>465</v>
      </c>
      <c r="F49" s="35">
        <v>1.0</v>
      </c>
      <c r="G49" s="87" t="s">
        <v>453</v>
      </c>
      <c r="H49" s="87">
        <v>5.0</v>
      </c>
      <c r="I49" s="35" t="s">
        <v>465</v>
      </c>
      <c r="J49" s="35">
        <v>2.0</v>
      </c>
      <c r="K49" s="35" t="s">
        <v>465</v>
      </c>
      <c r="L49" s="35">
        <v>1.0</v>
      </c>
      <c r="M49" s="35" t="s">
        <v>465</v>
      </c>
      <c r="N49" s="35">
        <v>1.0</v>
      </c>
      <c r="Q49" s="35" t="s">
        <v>442</v>
      </c>
      <c r="R49" s="35">
        <v>1.0</v>
      </c>
      <c r="S49" s="87" t="s">
        <v>440</v>
      </c>
      <c r="T49" s="87">
        <v>1.0</v>
      </c>
      <c r="U49" s="35" t="s">
        <v>483</v>
      </c>
      <c r="V49" s="35">
        <v>1.0</v>
      </c>
      <c r="W49" s="35" t="s">
        <v>443</v>
      </c>
      <c r="X49" s="35">
        <v>1.0</v>
      </c>
      <c r="Y49" s="35" t="s">
        <v>472</v>
      </c>
      <c r="Z49" s="35">
        <v>2.0</v>
      </c>
      <c r="AA49" s="95"/>
      <c r="AB49" s="95"/>
      <c r="AC49" s="35" t="s">
        <v>462</v>
      </c>
      <c r="AD49" s="35">
        <v>2.0</v>
      </c>
      <c r="AE49" s="87" t="s">
        <v>453</v>
      </c>
      <c r="AF49" s="87">
        <v>1.0</v>
      </c>
      <c r="AG49" s="35" t="s">
        <v>468</v>
      </c>
      <c r="AH49" s="35">
        <v>2.0</v>
      </c>
      <c r="AI49" s="35" t="s">
        <v>460</v>
      </c>
      <c r="AJ49" s="35">
        <v>1.0</v>
      </c>
      <c r="AK49" s="35" t="s">
        <v>468</v>
      </c>
      <c r="AL49" s="35">
        <v>6.0</v>
      </c>
      <c r="AM49" s="95"/>
      <c r="AN49" s="95"/>
      <c r="AO49" s="35" t="s">
        <v>468</v>
      </c>
      <c r="AP49" s="35">
        <v>2.0</v>
      </c>
      <c r="AQ49" s="87" t="s">
        <v>440</v>
      </c>
      <c r="AR49" s="87">
        <v>1.0</v>
      </c>
      <c r="AS49" s="35" t="s">
        <v>495</v>
      </c>
      <c r="AT49" s="35">
        <v>1.0</v>
      </c>
      <c r="AU49" s="35" t="s">
        <v>465</v>
      </c>
      <c r="AV49" s="35">
        <v>1.0</v>
      </c>
      <c r="AW49" s="35" t="s">
        <v>468</v>
      </c>
      <c r="AX49" s="35">
        <v>7.0</v>
      </c>
    </row>
    <row r="50">
      <c r="A50" s="35" t="s">
        <v>463</v>
      </c>
      <c r="B50" s="35">
        <v>1.0</v>
      </c>
      <c r="E50" s="35" t="s">
        <v>462</v>
      </c>
      <c r="F50" s="35">
        <v>3.0</v>
      </c>
      <c r="G50" s="87" t="s">
        <v>457</v>
      </c>
      <c r="H50" s="87">
        <v>1.0</v>
      </c>
      <c r="I50" s="35" t="s">
        <v>468</v>
      </c>
      <c r="J50" s="35">
        <v>1.0</v>
      </c>
      <c r="K50" s="35" t="s">
        <v>462</v>
      </c>
      <c r="L50" s="35">
        <v>1.0</v>
      </c>
      <c r="M50" s="35" t="s">
        <v>460</v>
      </c>
      <c r="N50" s="35">
        <v>1.0</v>
      </c>
      <c r="Q50" s="35" t="s">
        <v>453</v>
      </c>
      <c r="R50" s="35">
        <v>3.0</v>
      </c>
      <c r="S50" s="87" t="s">
        <v>443</v>
      </c>
      <c r="T50" s="87">
        <v>2.0</v>
      </c>
      <c r="U50" s="35" t="s">
        <v>501</v>
      </c>
      <c r="V50" s="35">
        <v>1.0</v>
      </c>
      <c r="W50" s="35" t="s">
        <v>449</v>
      </c>
      <c r="X50" s="35">
        <v>1.0</v>
      </c>
      <c r="Y50" s="35" t="s">
        <v>481</v>
      </c>
      <c r="Z50" s="35">
        <v>1.0</v>
      </c>
      <c r="AA50" s="95"/>
      <c r="AB50" s="95"/>
      <c r="AC50" s="35" t="s">
        <v>481</v>
      </c>
      <c r="AD50" s="35">
        <v>1.0</v>
      </c>
      <c r="AE50" s="87" t="s">
        <v>457</v>
      </c>
      <c r="AF50" s="87">
        <v>2.0</v>
      </c>
      <c r="AG50" s="35" t="s">
        <v>472</v>
      </c>
      <c r="AH50" s="35">
        <v>1.0</v>
      </c>
      <c r="AI50" s="35" t="s">
        <v>462</v>
      </c>
      <c r="AJ50" s="35">
        <v>1.0</v>
      </c>
      <c r="AK50" s="35" t="s">
        <v>476</v>
      </c>
      <c r="AL50" s="35">
        <v>1.0</v>
      </c>
      <c r="AM50" s="95"/>
      <c r="AN50" s="95"/>
      <c r="AO50" s="35" t="s">
        <v>486</v>
      </c>
      <c r="AP50" s="35">
        <v>1.0</v>
      </c>
      <c r="AQ50" s="87" t="s">
        <v>449</v>
      </c>
      <c r="AR50" s="87">
        <v>1.0</v>
      </c>
      <c r="AS50" s="35" t="s">
        <v>523</v>
      </c>
      <c r="AT50" s="35">
        <v>1.0</v>
      </c>
      <c r="AU50" s="35" t="s">
        <v>460</v>
      </c>
      <c r="AV50" s="35">
        <v>1.0</v>
      </c>
      <c r="AW50" s="35" t="s">
        <v>476</v>
      </c>
      <c r="AX50" s="35">
        <v>1.0</v>
      </c>
    </row>
    <row r="51">
      <c r="A51" s="35" t="s">
        <v>468</v>
      </c>
      <c r="B51" s="35">
        <v>3.0</v>
      </c>
      <c r="E51" s="35" t="s">
        <v>468</v>
      </c>
      <c r="F51" s="35">
        <v>1.0</v>
      </c>
      <c r="G51" s="87" t="s">
        <v>465</v>
      </c>
      <c r="H51" s="87">
        <v>1.0</v>
      </c>
      <c r="I51" s="35" t="s">
        <v>471</v>
      </c>
      <c r="J51" s="35">
        <v>2.0</v>
      </c>
      <c r="K51" s="35" t="s">
        <v>468</v>
      </c>
      <c r="L51" s="35">
        <v>1.0</v>
      </c>
      <c r="M51" s="35" t="s">
        <v>468</v>
      </c>
      <c r="N51" s="35">
        <v>7.0</v>
      </c>
      <c r="Q51" s="35" t="s">
        <v>457</v>
      </c>
      <c r="R51" s="35">
        <v>1.0</v>
      </c>
      <c r="S51" s="87" t="s">
        <v>449</v>
      </c>
      <c r="T51" s="87">
        <v>1.0</v>
      </c>
      <c r="U51" s="35" t="s">
        <v>533</v>
      </c>
      <c r="V51" s="35">
        <v>1.0</v>
      </c>
      <c r="W51" s="35" t="s">
        <v>447</v>
      </c>
      <c r="X51" s="35">
        <v>1.0</v>
      </c>
      <c r="Y51" s="35" t="s">
        <v>471</v>
      </c>
      <c r="Z51" s="35">
        <v>2.0</v>
      </c>
      <c r="AA51" s="95"/>
      <c r="AB51" s="95"/>
      <c r="AC51" s="35" t="s">
        <v>514</v>
      </c>
      <c r="AD51" s="35">
        <v>2.0</v>
      </c>
      <c r="AE51" s="87" t="s">
        <v>462</v>
      </c>
      <c r="AF51" s="87">
        <v>2.0</v>
      </c>
      <c r="AG51" s="35" t="s">
        <v>471</v>
      </c>
      <c r="AH51" s="35">
        <v>2.0</v>
      </c>
      <c r="AI51" s="35" t="s">
        <v>468</v>
      </c>
      <c r="AJ51" s="35">
        <v>2.0</v>
      </c>
      <c r="AK51" s="35" t="s">
        <v>472</v>
      </c>
      <c r="AL51" s="35">
        <v>1.0</v>
      </c>
      <c r="AM51" s="95"/>
      <c r="AN51" s="95"/>
      <c r="AO51" s="35" t="s">
        <v>506</v>
      </c>
      <c r="AP51" s="35">
        <v>1.0</v>
      </c>
      <c r="AQ51" s="87" t="s">
        <v>453</v>
      </c>
      <c r="AR51" s="87">
        <v>2.0</v>
      </c>
      <c r="AS51" s="35" t="s">
        <v>515</v>
      </c>
      <c r="AT51" s="35">
        <v>2.0</v>
      </c>
      <c r="AU51" s="35" t="s">
        <v>468</v>
      </c>
      <c r="AV51" s="35">
        <v>2.0</v>
      </c>
      <c r="AW51" s="35" t="s">
        <v>472</v>
      </c>
      <c r="AX51" s="35">
        <v>2.0</v>
      </c>
    </row>
    <row r="52">
      <c r="A52" s="35" t="s">
        <v>517</v>
      </c>
      <c r="B52" s="35">
        <v>1.0</v>
      </c>
      <c r="E52" s="35" t="s">
        <v>472</v>
      </c>
      <c r="F52" s="35">
        <v>1.0</v>
      </c>
      <c r="G52" s="87" t="s">
        <v>460</v>
      </c>
      <c r="H52" s="87">
        <v>1.0</v>
      </c>
      <c r="I52" s="35" t="s">
        <v>477</v>
      </c>
      <c r="J52" s="35">
        <v>1.0</v>
      </c>
      <c r="K52" s="35" t="s">
        <v>481</v>
      </c>
      <c r="L52" s="35">
        <v>1.0</v>
      </c>
      <c r="M52" s="35" t="s">
        <v>517</v>
      </c>
      <c r="N52" s="35">
        <v>1.0</v>
      </c>
      <c r="Q52" s="35" t="s">
        <v>462</v>
      </c>
      <c r="R52" s="35">
        <v>2.0</v>
      </c>
      <c r="S52" s="87" t="s">
        <v>447</v>
      </c>
      <c r="T52" s="87">
        <v>1.0</v>
      </c>
      <c r="U52" s="35" t="s">
        <v>488</v>
      </c>
      <c r="V52" s="35">
        <v>1.0</v>
      </c>
      <c r="W52" s="35" t="s">
        <v>442</v>
      </c>
      <c r="X52" s="35">
        <v>1.0</v>
      </c>
      <c r="Y52" s="35" t="s">
        <v>486</v>
      </c>
      <c r="Z52" s="35">
        <v>1.0</v>
      </c>
      <c r="AA52" s="95"/>
      <c r="AB52" s="95"/>
      <c r="AC52" s="35" t="s">
        <v>483</v>
      </c>
      <c r="AD52" s="35">
        <v>1.0</v>
      </c>
      <c r="AE52" s="87" t="s">
        <v>468</v>
      </c>
      <c r="AF52" s="87">
        <v>3.0</v>
      </c>
      <c r="AG52" s="35" t="s">
        <v>506</v>
      </c>
      <c r="AH52" s="35">
        <v>1.0</v>
      </c>
      <c r="AI52" s="35" t="s">
        <v>471</v>
      </c>
      <c r="AJ52" s="35">
        <v>1.0</v>
      </c>
      <c r="AK52" s="35" t="s">
        <v>471</v>
      </c>
      <c r="AL52" s="35">
        <v>3.0</v>
      </c>
      <c r="AM52" s="95"/>
      <c r="AN52" s="95"/>
      <c r="AO52" s="35" t="s">
        <v>514</v>
      </c>
      <c r="AP52" s="35">
        <v>2.0</v>
      </c>
      <c r="AQ52" s="87" t="s">
        <v>465</v>
      </c>
      <c r="AR52" s="87">
        <v>1.0</v>
      </c>
      <c r="AS52" s="35" t="s">
        <v>503</v>
      </c>
      <c r="AT52" s="35">
        <v>1.0</v>
      </c>
      <c r="AU52" s="35" t="s">
        <v>481</v>
      </c>
      <c r="AV52" s="35">
        <v>1.0</v>
      </c>
      <c r="AW52" s="35" t="s">
        <v>486</v>
      </c>
      <c r="AX52" s="35">
        <v>1.0</v>
      </c>
    </row>
    <row r="53">
      <c r="A53" s="35" t="s">
        <v>472</v>
      </c>
      <c r="B53" s="35">
        <v>1.0</v>
      </c>
      <c r="E53" s="35" t="s">
        <v>486</v>
      </c>
      <c r="F53" s="35">
        <v>2.0</v>
      </c>
      <c r="G53" s="87" t="s">
        <v>468</v>
      </c>
      <c r="H53" s="87">
        <v>3.0</v>
      </c>
      <c r="I53" s="35" t="s">
        <v>483</v>
      </c>
      <c r="J53" s="35">
        <v>1.0</v>
      </c>
      <c r="K53" s="35" t="s">
        <v>486</v>
      </c>
      <c r="L53" s="35">
        <v>2.0</v>
      </c>
      <c r="M53" s="35" t="s">
        <v>476</v>
      </c>
      <c r="N53" s="35">
        <v>1.0</v>
      </c>
      <c r="Q53" s="35" t="s">
        <v>468</v>
      </c>
      <c r="R53" s="35">
        <v>3.0</v>
      </c>
      <c r="S53" s="87" t="s">
        <v>453</v>
      </c>
      <c r="T53" s="87">
        <v>1.0</v>
      </c>
      <c r="U53" s="35" t="s">
        <v>487</v>
      </c>
      <c r="V53" s="35">
        <v>1.0</v>
      </c>
      <c r="W53" s="35" t="s">
        <v>453</v>
      </c>
      <c r="X53" s="35">
        <v>2.0</v>
      </c>
      <c r="Y53" s="35" t="s">
        <v>506</v>
      </c>
      <c r="Z53" s="35">
        <v>1.0</v>
      </c>
      <c r="AA53" s="95"/>
      <c r="AB53" s="95"/>
      <c r="AC53" s="35" t="s">
        <v>484</v>
      </c>
      <c r="AD53" s="35">
        <v>1.0</v>
      </c>
      <c r="AE53" s="87" t="s">
        <v>486</v>
      </c>
      <c r="AF53" s="87">
        <v>1.0</v>
      </c>
      <c r="AG53" s="35" t="s">
        <v>483</v>
      </c>
      <c r="AH53" s="35">
        <v>1.0</v>
      </c>
      <c r="AI53" s="35" t="s">
        <v>477</v>
      </c>
      <c r="AJ53" s="35">
        <v>1.0</v>
      </c>
      <c r="AK53" s="35" t="s">
        <v>477</v>
      </c>
      <c r="AL53" s="35">
        <v>1.0</v>
      </c>
      <c r="AM53" s="95"/>
      <c r="AN53" s="95"/>
      <c r="AO53" s="35" t="s">
        <v>533</v>
      </c>
      <c r="AP53" s="35">
        <v>1.0</v>
      </c>
      <c r="AQ53" s="87" t="s">
        <v>460</v>
      </c>
      <c r="AR53" s="87">
        <v>1.0</v>
      </c>
      <c r="AS53" s="35" t="s">
        <v>513</v>
      </c>
      <c r="AT53" s="35">
        <v>1.0</v>
      </c>
      <c r="AU53" s="35" t="s">
        <v>477</v>
      </c>
      <c r="AV53" s="35">
        <v>1.0</v>
      </c>
      <c r="AW53" s="35" t="s">
        <v>674</v>
      </c>
      <c r="AX53" s="35">
        <v>1.0</v>
      </c>
    </row>
    <row r="54">
      <c r="A54" s="35" t="s">
        <v>486</v>
      </c>
      <c r="B54" s="35">
        <v>1.0</v>
      </c>
      <c r="E54" s="35" t="s">
        <v>514</v>
      </c>
      <c r="F54" s="35">
        <v>1.0</v>
      </c>
      <c r="G54" s="87" t="s">
        <v>479</v>
      </c>
      <c r="H54" s="87">
        <v>1.0</v>
      </c>
      <c r="I54" s="35" t="s">
        <v>674</v>
      </c>
      <c r="J54" s="35">
        <v>1.0</v>
      </c>
      <c r="K54" s="35" t="s">
        <v>514</v>
      </c>
      <c r="L54" s="35">
        <v>1.0</v>
      </c>
      <c r="M54" s="35" t="s">
        <v>477</v>
      </c>
      <c r="N54" s="35">
        <v>1.0</v>
      </c>
      <c r="Q54" s="35" t="s">
        <v>472</v>
      </c>
      <c r="R54" s="35">
        <v>1.0</v>
      </c>
      <c r="S54" s="87" t="s">
        <v>457</v>
      </c>
      <c r="T54" s="87">
        <v>1.0</v>
      </c>
      <c r="U54" s="35" t="s">
        <v>497</v>
      </c>
      <c r="V54" s="35">
        <v>1.0</v>
      </c>
      <c r="W54" s="35" t="s">
        <v>457</v>
      </c>
      <c r="X54" s="35">
        <v>2.0</v>
      </c>
      <c r="Y54" s="35" t="s">
        <v>514</v>
      </c>
      <c r="Z54" s="35">
        <v>1.0</v>
      </c>
      <c r="AA54" s="95"/>
      <c r="AB54" s="95"/>
      <c r="AC54" s="35" t="s">
        <v>533</v>
      </c>
      <c r="AD54" s="35">
        <v>1.0</v>
      </c>
      <c r="AE54" s="87" t="s">
        <v>484</v>
      </c>
      <c r="AF54" s="87">
        <v>1.0</v>
      </c>
      <c r="AG54" s="35" t="s">
        <v>487</v>
      </c>
      <c r="AH54" s="35">
        <v>1.0</v>
      </c>
      <c r="AI54" s="35" t="s">
        <v>486</v>
      </c>
      <c r="AJ54" s="35">
        <v>2.0</v>
      </c>
      <c r="AK54" s="35" t="s">
        <v>486</v>
      </c>
      <c r="AL54" s="35">
        <v>2.0</v>
      </c>
      <c r="AM54" s="95"/>
      <c r="AN54" s="95"/>
      <c r="AO54" s="35" t="s">
        <v>507</v>
      </c>
      <c r="AP54" s="35">
        <v>1.0</v>
      </c>
      <c r="AQ54" s="87" t="s">
        <v>462</v>
      </c>
      <c r="AR54" s="87">
        <v>4.0</v>
      </c>
      <c r="AS54" s="35" t="s">
        <v>526</v>
      </c>
      <c r="AT54" s="35">
        <v>2.0</v>
      </c>
      <c r="AU54" s="35" t="s">
        <v>484</v>
      </c>
      <c r="AV54" s="35">
        <v>1.0</v>
      </c>
      <c r="AW54" s="35" t="s">
        <v>487</v>
      </c>
      <c r="AX54" s="35">
        <v>2.0</v>
      </c>
    </row>
    <row r="55">
      <c r="A55" s="35" t="s">
        <v>479</v>
      </c>
      <c r="B55" s="35">
        <v>4.0</v>
      </c>
      <c r="E55" s="35" t="s">
        <v>484</v>
      </c>
      <c r="F55" s="35">
        <v>2.0</v>
      </c>
      <c r="G55" s="35" t="s">
        <v>495</v>
      </c>
      <c r="H55" s="35">
        <v>3.0</v>
      </c>
      <c r="I55" s="35" t="s">
        <v>488</v>
      </c>
      <c r="J55" s="35">
        <v>1.0</v>
      </c>
      <c r="K55" s="35" t="s">
        <v>674</v>
      </c>
      <c r="L55" s="35">
        <v>1.0</v>
      </c>
      <c r="M55" s="35" t="s">
        <v>486</v>
      </c>
      <c r="N55" s="35">
        <v>1.0</v>
      </c>
      <c r="Q55" s="35" t="s">
        <v>481</v>
      </c>
      <c r="R55" s="35">
        <v>1.0</v>
      </c>
      <c r="S55" s="87" t="s">
        <v>465</v>
      </c>
      <c r="T55" s="87">
        <v>1.0</v>
      </c>
      <c r="U55" s="35" t="s">
        <v>507</v>
      </c>
      <c r="V55" s="35">
        <v>3.0</v>
      </c>
      <c r="W55" s="35" t="s">
        <v>465</v>
      </c>
      <c r="X55" s="35">
        <v>1.0</v>
      </c>
      <c r="Y55" s="35" t="s">
        <v>483</v>
      </c>
      <c r="Z55" s="35">
        <v>1.0</v>
      </c>
      <c r="AA55" s="95"/>
      <c r="AB55" s="95"/>
      <c r="AC55" s="35" t="s">
        <v>507</v>
      </c>
      <c r="AD55" s="35">
        <v>1.0</v>
      </c>
      <c r="AE55" s="87" t="s">
        <v>674</v>
      </c>
      <c r="AF55" s="87">
        <v>1.0</v>
      </c>
      <c r="AG55" s="35" t="s">
        <v>507</v>
      </c>
      <c r="AH55" s="35">
        <v>1.0</v>
      </c>
      <c r="AI55" s="35" t="s">
        <v>514</v>
      </c>
      <c r="AJ55" s="35">
        <v>1.0</v>
      </c>
      <c r="AK55" s="35" t="s">
        <v>479</v>
      </c>
      <c r="AL55" s="35">
        <v>1.0</v>
      </c>
      <c r="AM55" s="95"/>
      <c r="AN55" s="95"/>
      <c r="AO55" s="35" t="s">
        <v>495</v>
      </c>
      <c r="AP55" s="35">
        <v>2.0</v>
      </c>
      <c r="AQ55" s="87" t="s">
        <v>468</v>
      </c>
      <c r="AR55" s="87">
        <v>3.0</v>
      </c>
      <c r="AS55" s="35" t="s">
        <v>518</v>
      </c>
      <c r="AT55" s="35">
        <v>2.0</v>
      </c>
      <c r="AU55" s="35" t="s">
        <v>674</v>
      </c>
      <c r="AV55" s="35">
        <v>1.0</v>
      </c>
      <c r="AW55" s="35" t="s">
        <v>508</v>
      </c>
      <c r="AX55" s="35">
        <v>1.0</v>
      </c>
    </row>
    <row r="56">
      <c r="A56" s="35" t="s">
        <v>674</v>
      </c>
      <c r="B56" s="35">
        <v>2.0</v>
      </c>
      <c r="E56" s="35" t="s">
        <v>674</v>
      </c>
      <c r="F56" s="35">
        <v>1.0</v>
      </c>
      <c r="G56" s="35" t="s">
        <v>515</v>
      </c>
      <c r="H56" s="35">
        <v>1.0</v>
      </c>
      <c r="I56" s="35" t="s">
        <v>507</v>
      </c>
      <c r="J56" s="35">
        <v>1.0</v>
      </c>
      <c r="K56" s="35" t="s">
        <v>501</v>
      </c>
      <c r="L56" s="35">
        <v>1.0</v>
      </c>
      <c r="M56" s="35" t="s">
        <v>484</v>
      </c>
      <c r="N56" s="35">
        <v>1.0</v>
      </c>
      <c r="Q56" s="35" t="s">
        <v>514</v>
      </c>
      <c r="R56" s="35">
        <v>1.0</v>
      </c>
      <c r="S56" s="35" t="s">
        <v>460</v>
      </c>
      <c r="T56" s="35">
        <v>1.0</v>
      </c>
      <c r="U56" s="35" t="s">
        <v>496</v>
      </c>
      <c r="V56" s="35">
        <v>1.0</v>
      </c>
      <c r="W56" s="35" t="s">
        <v>462</v>
      </c>
      <c r="X56" s="35">
        <v>1.0</v>
      </c>
      <c r="Y56" s="35" t="s">
        <v>501</v>
      </c>
      <c r="Z56" s="35">
        <v>1.0</v>
      </c>
      <c r="AA56" s="95"/>
      <c r="AB56" s="95"/>
      <c r="AC56" s="35" t="s">
        <v>495</v>
      </c>
      <c r="AD56" s="35">
        <v>2.0</v>
      </c>
      <c r="AE56" s="35" t="s">
        <v>501</v>
      </c>
      <c r="AF56" s="35">
        <v>1.0</v>
      </c>
      <c r="AG56" s="35" t="s">
        <v>495</v>
      </c>
      <c r="AH56" s="35">
        <v>1.0</v>
      </c>
      <c r="AI56" s="35" t="s">
        <v>674</v>
      </c>
      <c r="AJ56" s="35">
        <v>1.0</v>
      </c>
      <c r="AK56" s="109" t="s">
        <v>483</v>
      </c>
      <c r="AL56" s="35">
        <v>1.0</v>
      </c>
      <c r="AM56" s="95"/>
      <c r="AN56" s="95"/>
      <c r="AO56" s="35" t="s">
        <v>523</v>
      </c>
      <c r="AP56" s="35">
        <v>1.0</v>
      </c>
      <c r="AQ56" s="35" t="s">
        <v>479</v>
      </c>
      <c r="AR56" s="35">
        <v>1.0</v>
      </c>
      <c r="AS56" s="35" t="s">
        <v>521</v>
      </c>
      <c r="AT56" s="35">
        <v>1.0</v>
      </c>
      <c r="AU56" s="35" t="s">
        <v>488</v>
      </c>
      <c r="AV56" s="35">
        <v>1.0</v>
      </c>
      <c r="AW56" s="35" t="s">
        <v>495</v>
      </c>
      <c r="AX56" s="35">
        <v>2.0</v>
      </c>
    </row>
    <row r="57">
      <c r="A57" s="35" t="s">
        <v>488</v>
      </c>
      <c r="B57" s="35">
        <v>2.0</v>
      </c>
      <c r="E57" s="35" t="s">
        <v>496</v>
      </c>
      <c r="F57" s="35">
        <v>1.0</v>
      </c>
      <c r="G57" s="35" t="s">
        <v>513</v>
      </c>
      <c r="H57" s="35">
        <v>1.0</v>
      </c>
      <c r="I57" s="35" t="s">
        <v>495</v>
      </c>
      <c r="J57" s="35">
        <v>1.0</v>
      </c>
      <c r="K57" s="35" t="s">
        <v>488</v>
      </c>
      <c r="L57" s="35">
        <v>1.0</v>
      </c>
      <c r="M57" s="35" t="s">
        <v>674</v>
      </c>
      <c r="N57" s="35">
        <v>1.0</v>
      </c>
      <c r="Q57" s="35" t="s">
        <v>507</v>
      </c>
      <c r="R57" s="35">
        <v>1.0</v>
      </c>
      <c r="S57" s="35" t="s">
        <v>462</v>
      </c>
      <c r="T57" s="35">
        <v>2.0</v>
      </c>
      <c r="U57" s="35" t="s">
        <v>495</v>
      </c>
      <c r="V57" s="35">
        <v>2.0</v>
      </c>
      <c r="W57" s="35" t="s">
        <v>468</v>
      </c>
      <c r="X57" s="35">
        <v>1.0</v>
      </c>
      <c r="Y57" s="109" t="s">
        <v>533</v>
      </c>
      <c r="Z57" s="35">
        <v>1.0</v>
      </c>
      <c r="AA57" s="95"/>
      <c r="AB57" s="95"/>
      <c r="AC57" s="35" t="s">
        <v>515</v>
      </c>
      <c r="AD57" s="35">
        <v>4.0</v>
      </c>
      <c r="AE57" s="35" t="s">
        <v>507</v>
      </c>
      <c r="AF57" s="35">
        <v>1.0</v>
      </c>
      <c r="AG57" s="35" t="s">
        <v>515</v>
      </c>
      <c r="AH57" s="35">
        <v>2.0</v>
      </c>
      <c r="AI57" s="35" t="s">
        <v>488</v>
      </c>
      <c r="AJ57" s="35">
        <v>2.0</v>
      </c>
      <c r="AK57" s="35" t="s">
        <v>674</v>
      </c>
      <c r="AL57" s="35">
        <v>1.0</v>
      </c>
      <c r="AM57" s="95"/>
      <c r="AN57" s="95"/>
      <c r="AO57" s="35" t="s">
        <v>515</v>
      </c>
      <c r="AP57" s="35">
        <v>3.0</v>
      </c>
      <c r="AQ57" s="35" t="s">
        <v>484</v>
      </c>
      <c r="AR57" s="35">
        <v>1.0</v>
      </c>
      <c r="AS57" s="35" t="s">
        <v>525</v>
      </c>
      <c r="AT57" s="35">
        <v>2.0</v>
      </c>
      <c r="AU57" s="35" t="s">
        <v>508</v>
      </c>
      <c r="AV57" s="35">
        <v>1.0</v>
      </c>
      <c r="AW57" s="35" t="s">
        <v>515</v>
      </c>
      <c r="AX57" s="35">
        <v>1.0</v>
      </c>
    </row>
    <row r="58">
      <c r="A58" s="109" t="s">
        <v>495</v>
      </c>
      <c r="B58" s="35">
        <v>3.0</v>
      </c>
      <c r="E58" s="35" t="s">
        <v>495</v>
      </c>
      <c r="F58" s="35">
        <v>3.0</v>
      </c>
      <c r="G58" s="35" t="s">
        <v>531</v>
      </c>
      <c r="H58" s="35">
        <v>2.0</v>
      </c>
      <c r="I58" s="35" t="s">
        <v>515</v>
      </c>
      <c r="J58" s="35">
        <v>3.0</v>
      </c>
      <c r="K58" s="35" t="s">
        <v>507</v>
      </c>
      <c r="L58" s="35">
        <v>1.0</v>
      </c>
      <c r="M58" s="35" t="s">
        <v>501</v>
      </c>
      <c r="N58" s="35">
        <v>2.0</v>
      </c>
      <c r="Q58" s="35" t="s">
        <v>495</v>
      </c>
      <c r="R58" s="35">
        <v>3.0</v>
      </c>
      <c r="S58" s="35" t="s">
        <v>468</v>
      </c>
      <c r="T58" s="35">
        <v>2.0</v>
      </c>
      <c r="U58" s="35" t="s">
        <v>515</v>
      </c>
      <c r="V58" s="35">
        <v>3.0</v>
      </c>
      <c r="W58" s="35" t="s">
        <v>481</v>
      </c>
      <c r="X58" s="35">
        <v>1.0</v>
      </c>
      <c r="Y58" s="35" t="s">
        <v>487</v>
      </c>
      <c r="Z58" s="35">
        <v>1.0</v>
      </c>
      <c r="AA58" s="95"/>
      <c r="AB58" s="95"/>
      <c r="AC58" s="35" t="s">
        <v>519</v>
      </c>
      <c r="AD58" s="35">
        <v>2.0</v>
      </c>
      <c r="AE58" s="35" t="s">
        <v>495</v>
      </c>
      <c r="AF58" s="35">
        <v>4.0</v>
      </c>
      <c r="AG58" s="35" t="s">
        <v>513</v>
      </c>
      <c r="AH58" s="35">
        <v>1.0</v>
      </c>
      <c r="AI58" s="35" t="s">
        <v>487</v>
      </c>
      <c r="AJ58" s="35">
        <v>1.0</v>
      </c>
      <c r="AK58" s="35" t="s">
        <v>533</v>
      </c>
      <c r="AL58" s="35">
        <v>1.0</v>
      </c>
      <c r="AM58" s="95"/>
      <c r="AN58" s="95"/>
      <c r="AO58" s="35" t="s">
        <v>503</v>
      </c>
      <c r="AP58" s="35">
        <v>1.0</v>
      </c>
      <c r="AQ58" s="35" t="s">
        <v>674</v>
      </c>
      <c r="AR58" s="35">
        <v>2.0</v>
      </c>
      <c r="AS58" s="35" t="s">
        <v>540</v>
      </c>
      <c r="AT58" s="35">
        <v>1.0</v>
      </c>
      <c r="AU58" s="35" t="s">
        <v>495</v>
      </c>
      <c r="AV58" s="35">
        <v>3.0</v>
      </c>
      <c r="AW58" s="35" t="s">
        <v>513</v>
      </c>
      <c r="AX58" s="35">
        <v>2.0</v>
      </c>
    </row>
    <row r="59">
      <c r="A59" s="35" t="s">
        <v>515</v>
      </c>
      <c r="B59" s="35">
        <v>2.0</v>
      </c>
      <c r="E59" s="35" t="s">
        <v>515</v>
      </c>
      <c r="F59" s="35">
        <v>2.0</v>
      </c>
      <c r="G59" s="35" t="s">
        <v>518</v>
      </c>
      <c r="H59" s="35">
        <v>2.0</v>
      </c>
      <c r="I59" s="35" t="s">
        <v>503</v>
      </c>
      <c r="J59" s="35">
        <v>1.0</v>
      </c>
      <c r="K59" s="35" t="s">
        <v>508</v>
      </c>
      <c r="L59" s="35">
        <v>1.0</v>
      </c>
      <c r="M59" s="109" t="s">
        <v>533</v>
      </c>
      <c r="N59" s="35">
        <v>1.0</v>
      </c>
      <c r="Q59" s="35" t="s">
        <v>515</v>
      </c>
      <c r="R59" s="35">
        <v>2.0</v>
      </c>
      <c r="S59" s="35" t="s">
        <v>476</v>
      </c>
      <c r="T59" s="35">
        <v>1.0</v>
      </c>
      <c r="U59" s="35" t="s">
        <v>513</v>
      </c>
      <c r="V59" s="35">
        <v>2.0</v>
      </c>
      <c r="W59" s="35" t="s">
        <v>471</v>
      </c>
      <c r="X59" s="35">
        <v>1.0</v>
      </c>
      <c r="Y59" s="35" t="s">
        <v>495</v>
      </c>
      <c r="Z59" s="35">
        <v>4.0</v>
      </c>
      <c r="AA59" s="95"/>
      <c r="AB59" s="95"/>
      <c r="AC59" s="35" t="s">
        <v>531</v>
      </c>
      <c r="AD59" s="35">
        <v>1.0</v>
      </c>
      <c r="AE59" s="35" t="s">
        <v>513</v>
      </c>
      <c r="AF59" s="35">
        <v>1.0</v>
      </c>
      <c r="AG59" s="35" t="s">
        <v>519</v>
      </c>
      <c r="AH59" s="35">
        <v>3.0</v>
      </c>
      <c r="AI59" s="35" t="s">
        <v>497</v>
      </c>
      <c r="AJ59" s="35">
        <v>1.0</v>
      </c>
      <c r="AK59" s="35" t="s">
        <v>487</v>
      </c>
      <c r="AL59" s="35">
        <v>1.0</v>
      </c>
      <c r="AM59" s="95"/>
      <c r="AN59" s="95"/>
      <c r="AO59" s="35" t="s">
        <v>519</v>
      </c>
      <c r="AP59" s="35">
        <v>2.0</v>
      </c>
      <c r="AQ59" s="35" t="s">
        <v>533</v>
      </c>
      <c r="AR59" s="35">
        <v>1.0</v>
      </c>
      <c r="AS59" s="35" t="s">
        <v>532</v>
      </c>
      <c r="AT59" s="35">
        <v>1.0</v>
      </c>
      <c r="AU59" s="35" t="s">
        <v>515</v>
      </c>
      <c r="AV59" s="35">
        <v>1.0</v>
      </c>
      <c r="AW59" s="35" t="s">
        <v>519</v>
      </c>
      <c r="AX59" s="35">
        <v>2.0</v>
      </c>
    </row>
    <row r="60">
      <c r="A60" s="35" t="s">
        <v>503</v>
      </c>
      <c r="B60" s="35">
        <v>2.0</v>
      </c>
      <c r="E60" s="35" t="s">
        <v>513</v>
      </c>
      <c r="F60" s="35">
        <v>1.0</v>
      </c>
      <c r="G60" s="35" t="s">
        <v>521</v>
      </c>
      <c r="H60" s="35">
        <v>1.0</v>
      </c>
      <c r="I60" s="35" t="s">
        <v>513</v>
      </c>
      <c r="J60" s="35">
        <v>2.0</v>
      </c>
      <c r="K60" s="35" t="s">
        <v>495</v>
      </c>
      <c r="L60" s="35">
        <v>2.0</v>
      </c>
      <c r="M60" s="35" t="s">
        <v>488</v>
      </c>
      <c r="N60" s="35">
        <v>1.0</v>
      </c>
      <c r="Q60" s="35" t="s">
        <v>513</v>
      </c>
      <c r="R60" s="35">
        <v>1.0</v>
      </c>
      <c r="S60" s="35" t="s">
        <v>471</v>
      </c>
      <c r="T60" s="35">
        <v>1.0</v>
      </c>
      <c r="U60" s="35" t="s">
        <v>531</v>
      </c>
      <c r="V60" s="35">
        <v>1.0</v>
      </c>
      <c r="W60" s="35" t="s">
        <v>533</v>
      </c>
      <c r="X60" s="35">
        <v>1.0</v>
      </c>
      <c r="Y60" s="35" t="s">
        <v>523</v>
      </c>
      <c r="Z60" s="35">
        <v>1.0</v>
      </c>
      <c r="AA60" s="95"/>
      <c r="AB60" s="95"/>
      <c r="AC60" s="35" t="s">
        <v>521</v>
      </c>
      <c r="AD60" s="35">
        <v>1.0</v>
      </c>
      <c r="AE60" s="35" t="s">
        <v>518</v>
      </c>
      <c r="AF60" s="35">
        <v>1.0</v>
      </c>
      <c r="AG60" s="35" t="s">
        <v>531</v>
      </c>
      <c r="AH60" s="35">
        <v>1.0</v>
      </c>
      <c r="AI60" s="35" t="s">
        <v>507</v>
      </c>
      <c r="AJ60" s="35">
        <v>1.0</v>
      </c>
      <c r="AK60" s="35" t="s">
        <v>495</v>
      </c>
      <c r="AL60" s="35">
        <v>2.0</v>
      </c>
      <c r="AM60" s="95"/>
      <c r="AN60" s="95"/>
      <c r="AO60" s="35" t="s">
        <v>518</v>
      </c>
      <c r="AP60" s="35">
        <v>3.0</v>
      </c>
      <c r="AQ60" s="35" t="s">
        <v>507</v>
      </c>
      <c r="AR60" s="35">
        <v>1.0</v>
      </c>
      <c r="AS60" s="35" t="s">
        <v>541</v>
      </c>
      <c r="AT60" s="35">
        <v>1.0</v>
      </c>
      <c r="AU60" s="35" t="s">
        <v>503</v>
      </c>
      <c r="AV60" s="35">
        <v>1.0</v>
      </c>
      <c r="AW60" s="109" t="s">
        <v>518</v>
      </c>
      <c r="AX60" s="35">
        <v>4.0</v>
      </c>
    </row>
    <row r="61">
      <c r="A61" s="35" t="s">
        <v>513</v>
      </c>
      <c r="B61" s="35">
        <v>3.0</v>
      </c>
      <c r="E61" s="35" t="s">
        <v>526</v>
      </c>
      <c r="F61" s="35">
        <v>1.0</v>
      </c>
      <c r="G61" s="35" t="s">
        <v>527</v>
      </c>
      <c r="H61" s="35">
        <v>1.0</v>
      </c>
      <c r="I61" s="35" t="s">
        <v>526</v>
      </c>
      <c r="J61" s="35">
        <v>1.0</v>
      </c>
      <c r="K61" s="35" t="s">
        <v>515</v>
      </c>
      <c r="L61" s="35">
        <v>2.0</v>
      </c>
      <c r="M61" s="35" t="s">
        <v>500</v>
      </c>
      <c r="N61" s="35">
        <v>1.0</v>
      </c>
      <c r="Q61" s="35" t="s">
        <v>519</v>
      </c>
      <c r="R61" s="35">
        <v>1.0</v>
      </c>
      <c r="S61" s="35" t="s">
        <v>674</v>
      </c>
      <c r="T61" s="35">
        <v>1.0</v>
      </c>
      <c r="U61" s="35" t="s">
        <v>518</v>
      </c>
      <c r="V61" s="35">
        <v>2.0</v>
      </c>
      <c r="W61" s="35" t="s">
        <v>488</v>
      </c>
      <c r="X61" s="35">
        <v>1.0</v>
      </c>
      <c r="Y61" s="35" t="s">
        <v>515</v>
      </c>
      <c r="Z61" s="35">
        <v>1.0</v>
      </c>
      <c r="AA61" s="95"/>
      <c r="AB61" s="95"/>
      <c r="AC61" s="35" t="s">
        <v>525</v>
      </c>
      <c r="AD61" s="35">
        <v>1.0</v>
      </c>
      <c r="AE61" s="35" t="s">
        <v>521</v>
      </c>
      <c r="AF61" s="35">
        <v>1.0</v>
      </c>
      <c r="AG61" s="35" t="s">
        <v>518</v>
      </c>
      <c r="AH61" s="35">
        <v>1.0</v>
      </c>
      <c r="AI61" s="35" t="s">
        <v>495</v>
      </c>
      <c r="AJ61" s="35">
        <v>3.0</v>
      </c>
      <c r="AK61" s="35" t="s">
        <v>523</v>
      </c>
      <c r="AL61" s="35">
        <v>2.0</v>
      </c>
      <c r="AM61" s="95"/>
      <c r="AN61" s="95"/>
      <c r="AO61" s="35" t="s">
        <v>525</v>
      </c>
      <c r="AP61" s="35">
        <v>1.0</v>
      </c>
      <c r="AQ61" s="35" t="s">
        <v>496</v>
      </c>
      <c r="AR61" s="35">
        <v>1.0</v>
      </c>
      <c r="AS61" s="35" t="s">
        <v>535</v>
      </c>
      <c r="AT61" s="35">
        <v>3.0</v>
      </c>
      <c r="AU61" s="35" t="s">
        <v>513</v>
      </c>
      <c r="AV61" s="35">
        <v>5.0</v>
      </c>
      <c r="AW61" s="35" t="s">
        <v>530</v>
      </c>
      <c r="AX61" s="35">
        <v>2.0</v>
      </c>
    </row>
    <row r="62">
      <c r="A62" s="35" t="s">
        <v>526</v>
      </c>
      <c r="B62" s="35">
        <v>1.0</v>
      </c>
      <c r="E62" s="35" t="s">
        <v>519</v>
      </c>
      <c r="F62" s="35">
        <v>2.0</v>
      </c>
      <c r="G62" s="35" t="s">
        <v>536</v>
      </c>
      <c r="H62" s="35">
        <v>1.0</v>
      </c>
      <c r="I62" s="35" t="s">
        <v>518</v>
      </c>
      <c r="J62" s="35">
        <v>1.0</v>
      </c>
      <c r="K62" s="35" t="s">
        <v>503</v>
      </c>
      <c r="L62" s="35">
        <v>2.0</v>
      </c>
      <c r="M62" s="35" t="s">
        <v>497</v>
      </c>
      <c r="N62" s="35">
        <v>1.0</v>
      </c>
      <c r="Q62" s="35" t="s">
        <v>531</v>
      </c>
      <c r="R62" s="35">
        <v>2.0</v>
      </c>
      <c r="S62" s="35" t="s">
        <v>488</v>
      </c>
      <c r="T62" s="35">
        <v>1.0</v>
      </c>
      <c r="U62" s="35" t="s">
        <v>521</v>
      </c>
      <c r="V62" s="35">
        <v>1.0</v>
      </c>
      <c r="W62" s="35" t="s">
        <v>487</v>
      </c>
      <c r="X62" s="35">
        <v>1.0</v>
      </c>
      <c r="Y62" s="35" t="s">
        <v>503</v>
      </c>
      <c r="Z62" s="35">
        <v>1.0</v>
      </c>
      <c r="AA62" s="95"/>
      <c r="AB62" s="95"/>
      <c r="AC62" s="35" t="s">
        <v>535</v>
      </c>
      <c r="AD62" s="35">
        <v>3.0</v>
      </c>
      <c r="AE62" s="35" t="s">
        <v>532</v>
      </c>
      <c r="AF62" s="35">
        <v>2.0</v>
      </c>
      <c r="AG62" s="35" t="s">
        <v>521</v>
      </c>
      <c r="AH62" s="35">
        <v>1.0</v>
      </c>
      <c r="AI62" s="35" t="s">
        <v>515</v>
      </c>
      <c r="AJ62" s="35">
        <v>1.0</v>
      </c>
      <c r="AK62" s="35" t="s">
        <v>503</v>
      </c>
      <c r="AL62" s="35">
        <v>3.0</v>
      </c>
      <c r="AM62" s="95"/>
      <c r="AN62" s="95"/>
      <c r="AO62" s="35" t="s">
        <v>532</v>
      </c>
      <c r="AP62" s="35">
        <v>1.0</v>
      </c>
      <c r="AQ62" s="35" t="s">
        <v>495</v>
      </c>
      <c r="AR62" s="35">
        <v>3.0</v>
      </c>
      <c r="AS62" s="35" t="s">
        <v>553</v>
      </c>
      <c r="AT62" s="35">
        <v>1.0</v>
      </c>
      <c r="AU62" s="35" t="s">
        <v>526</v>
      </c>
      <c r="AV62" s="35">
        <v>1.0</v>
      </c>
      <c r="AW62" s="35" t="s">
        <v>545</v>
      </c>
      <c r="AX62" s="35">
        <v>2.0</v>
      </c>
    </row>
    <row r="63">
      <c r="A63" s="35" t="s">
        <v>519</v>
      </c>
      <c r="B63" s="35">
        <v>1.0</v>
      </c>
      <c r="E63" s="35" t="s">
        <v>531</v>
      </c>
      <c r="F63" s="35">
        <v>1.0</v>
      </c>
      <c r="G63" s="87" t="s">
        <v>530</v>
      </c>
      <c r="H63" s="158">
        <v>1.0</v>
      </c>
      <c r="I63" s="35" t="s">
        <v>527</v>
      </c>
      <c r="J63" s="35">
        <v>1.0</v>
      </c>
      <c r="K63" s="35" t="s">
        <v>513</v>
      </c>
      <c r="L63" s="35">
        <v>2.0</v>
      </c>
      <c r="M63" s="35" t="s">
        <v>508</v>
      </c>
      <c r="N63" s="35">
        <v>2.0</v>
      </c>
      <c r="Q63" s="35" t="s">
        <v>518</v>
      </c>
      <c r="R63" s="35">
        <v>1.0</v>
      </c>
      <c r="S63" s="35" t="s">
        <v>487</v>
      </c>
      <c r="T63" s="35">
        <v>2.0</v>
      </c>
      <c r="U63" s="35" t="s">
        <v>525</v>
      </c>
      <c r="V63" s="35">
        <v>2.0</v>
      </c>
      <c r="W63" s="35" t="s">
        <v>507</v>
      </c>
      <c r="X63" s="35">
        <v>1.0</v>
      </c>
      <c r="Y63" s="35" t="s">
        <v>513</v>
      </c>
      <c r="Z63" s="35">
        <v>2.0</v>
      </c>
      <c r="AA63" s="95"/>
      <c r="AB63" s="95"/>
      <c r="AC63" s="35" t="s">
        <v>571</v>
      </c>
      <c r="AD63" s="35">
        <v>1.0</v>
      </c>
      <c r="AE63" s="35" t="s">
        <v>541</v>
      </c>
      <c r="AF63" s="35">
        <v>1.0</v>
      </c>
      <c r="AG63" s="35" t="s">
        <v>527</v>
      </c>
      <c r="AH63" s="35">
        <v>1.0</v>
      </c>
      <c r="AI63" s="35" t="s">
        <v>503</v>
      </c>
      <c r="AJ63" s="35">
        <v>2.0</v>
      </c>
      <c r="AK63" s="35" t="s">
        <v>513</v>
      </c>
      <c r="AL63" s="35">
        <v>2.0</v>
      </c>
      <c r="AM63" s="95"/>
      <c r="AN63" s="95"/>
      <c r="AO63" s="35" t="s">
        <v>571</v>
      </c>
      <c r="AP63" s="35">
        <v>2.0</v>
      </c>
      <c r="AQ63" s="87" t="s">
        <v>523</v>
      </c>
      <c r="AR63" s="158">
        <v>1.0</v>
      </c>
      <c r="AS63" s="35" t="s">
        <v>544</v>
      </c>
      <c r="AT63" s="35">
        <v>1.0</v>
      </c>
      <c r="AU63" s="35" t="s">
        <v>519</v>
      </c>
      <c r="AV63" s="35">
        <v>1.0</v>
      </c>
      <c r="AW63" s="35" t="s">
        <v>535</v>
      </c>
      <c r="AX63" s="35">
        <v>1.0</v>
      </c>
    </row>
    <row r="64">
      <c r="A64" s="35" t="s">
        <v>518</v>
      </c>
      <c r="B64" s="35">
        <v>4.0</v>
      </c>
      <c r="E64" s="35" t="s">
        <v>521</v>
      </c>
      <c r="F64" s="35">
        <v>1.0</v>
      </c>
      <c r="G64" s="87" t="s">
        <v>541</v>
      </c>
      <c r="H64" s="158">
        <v>1.0</v>
      </c>
      <c r="I64" s="35" t="s">
        <v>525</v>
      </c>
      <c r="J64" s="35">
        <v>3.0</v>
      </c>
      <c r="K64" s="35" t="s">
        <v>531</v>
      </c>
      <c r="L64" s="35">
        <v>1.0</v>
      </c>
      <c r="M64" s="35" t="s">
        <v>495</v>
      </c>
      <c r="N64" s="35">
        <v>2.0</v>
      </c>
      <c r="Q64" s="35" t="s">
        <v>540</v>
      </c>
      <c r="R64" s="35">
        <v>2.0</v>
      </c>
      <c r="S64" s="35" t="s">
        <v>495</v>
      </c>
      <c r="T64" s="35">
        <v>4.0</v>
      </c>
      <c r="U64" s="35" t="s">
        <v>540</v>
      </c>
      <c r="V64" s="35">
        <v>2.0</v>
      </c>
      <c r="W64" s="35" t="s">
        <v>508</v>
      </c>
      <c r="X64" s="35">
        <v>1.0</v>
      </c>
      <c r="Y64" s="35" t="s">
        <v>519</v>
      </c>
      <c r="Z64" s="35">
        <v>2.0</v>
      </c>
      <c r="AA64" s="95"/>
      <c r="AB64" s="95"/>
      <c r="AC64" s="35" t="s">
        <v>544</v>
      </c>
      <c r="AD64" s="35">
        <v>1.0</v>
      </c>
      <c r="AE64" s="35" t="s">
        <v>571</v>
      </c>
      <c r="AF64" s="35">
        <v>2.0</v>
      </c>
      <c r="AG64" s="35" t="s">
        <v>525</v>
      </c>
      <c r="AH64" s="35">
        <v>1.0</v>
      </c>
      <c r="AI64" s="35" t="s">
        <v>513</v>
      </c>
      <c r="AJ64" s="35">
        <v>2.0</v>
      </c>
      <c r="AK64" s="35" t="s">
        <v>526</v>
      </c>
      <c r="AL64" s="35">
        <v>1.0</v>
      </c>
      <c r="AM64" s="95"/>
      <c r="AN64" s="95"/>
      <c r="AO64" s="35" t="s">
        <v>544</v>
      </c>
      <c r="AP64" s="35">
        <v>2.0</v>
      </c>
      <c r="AQ64" s="87" t="s">
        <v>513</v>
      </c>
      <c r="AR64" s="158">
        <v>1.0</v>
      </c>
      <c r="AS64" s="35" t="s">
        <v>556</v>
      </c>
      <c r="AT64" s="35">
        <v>3.0</v>
      </c>
      <c r="AU64" s="35" t="s">
        <v>531</v>
      </c>
      <c r="AV64" s="35">
        <v>1.0</v>
      </c>
      <c r="AW64" s="35" t="s">
        <v>553</v>
      </c>
      <c r="AX64" s="35">
        <v>2.0</v>
      </c>
    </row>
    <row r="65">
      <c r="A65" s="35" t="s">
        <v>521</v>
      </c>
      <c r="B65" s="35">
        <v>1.0</v>
      </c>
      <c r="E65" s="35" t="s">
        <v>525</v>
      </c>
      <c r="F65" s="35">
        <v>1.0</v>
      </c>
      <c r="G65" s="87" t="s">
        <v>535</v>
      </c>
      <c r="H65" s="158">
        <v>1.0</v>
      </c>
      <c r="I65" s="35" t="s">
        <v>540</v>
      </c>
      <c r="J65" s="35">
        <v>2.0</v>
      </c>
      <c r="K65" s="35" t="s">
        <v>518</v>
      </c>
      <c r="L65" s="35">
        <v>4.0</v>
      </c>
      <c r="M65" s="35" t="s">
        <v>515</v>
      </c>
      <c r="N65" s="35">
        <v>1.0</v>
      </c>
      <c r="Q65" s="35" t="s">
        <v>532</v>
      </c>
      <c r="R65" s="35">
        <v>1.0</v>
      </c>
      <c r="S65" s="87" t="s">
        <v>503</v>
      </c>
      <c r="T65" s="158">
        <v>1.0</v>
      </c>
      <c r="U65" s="35" t="s">
        <v>537</v>
      </c>
      <c r="V65" s="35">
        <v>1.0</v>
      </c>
      <c r="W65" s="35" t="s">
        <v>495</v>
      </c>
      <c r="X65" s="35">
        <v>4.0</v>
      </c>
      <c r="Y65" s="35" t="s">
        <v>531</v>
      </c>
      <c r="Z65" s="35">
        <v>1.0</v>
      </c>
      <c r="AA65" s="95"/>
      <c r="AB65" s="95"/>
      <c r="AC65" s="35" t="s">
        <v>559</v>
      </c>
      <c r="AD65" s="35">
        <v>1.0</v>
      </c>
      <c r="AE65" s="87" t="s">
        <v>544</v>
      </c>
      <c r="AF65" s="158">
        <v>1.0</v>
      </c>
      <c r="AG65" s="35" t="s">
        <v>540</v>
      </c>
      <c r="AH65" s="35">
        <v>2.0</v>
      </c>
      <c r="AI65" s="35" t="s">
        <v>526</v>
      </c>
      <c r="AJ65" s="35">
        <v>1.0</v>
      </c>
      <c r="AK65" s="35" t="s">
        <v>519</v>
      </c>
      <c r="AL65" s="35">
        <v>2.0</v>
      </c>
      <c r="AM65" s="95"/>
      <c r="AN65" s="95"/>
      <c r="AO65" s="35"/>
      <c r="AP65" s="35"/>
      <c r="AQ65" s="87" t="s">
        <v>519</v>
      </c>
      <c r="AR65" s="158">
        <v>2.0</v>
      </c>
      <c r="AS65" s="35" t="s">
        <v>548</v>
      </c>
      <c r="AT65" s="35">
        <v>1.0</v>
      </c>
      <c r="AU65" s="35" t="s">
        <v>518</v>
      </c>
      <c r="AV65" s="35">
        <v>1.0</v>
      </c>
      <c r="AW65" s="35" t="s">
        <v>571</v>
      </c>
      <c r="AX65" s="35">
        <v>1.0</v>
      </c>
    </row>
    <row r="66">
      <c r="A66" s="35" t="s">
        <v>527</v>
      </c>
      <c r="B66" s="35">
        <v>1.0</v>
      </c>
      <c r="E66" s="35" t="s">
        <v>540</v>
      </c>
      <c r="F66" s="35">
        <v>1.0</v>
      </c>
      <c r="G66" s="87" t="s">
        <v>571</v>
      </c>
      <c r="H66" s="158">
        <v>2.0</v>
      </c>
      <c r="I66" s="35" t="s">
        <v>553</v>
      </c>
      <c r="J66" s="35">
        <v>1.0</v>
      </c>
      <c r="K66" s="35" t="s">
        <v>540</v>
      </c>
      <c r="L66" s="35">
        <v>2.0</v>
      </c>
      <c r="M66" s="35" t="s">
        <v>503</v>
      </c>
      <c r="N66" s="35">
        <v>1.0</v>
      </c>
      <c r="Q66" s="35" t="s">
        <v>536</v>
      </c>
      <c r="R66" s="35">
        <v>2.0</v>
      </c>
      <c r="S66" s="87" t="s">
        <v>513</v>
      </c>
      <c r="T66" s="158">
        <v>3.0</v>
      </c>
      <c r="U66" s="35" t="s">
        <v>536</v>
      </c>
      <c r="V66" s="35">
        <v>1.0</v>
      </c>
      <c r="W66" s="35" t="s">
        <v>515</v>
      </c>
      <c r="X66" s="35">
        <v>1.0</v>
      </c>
      <c r="Y66" s="35" t="s">
        <v>518</v>
      </c>
      <c r="Z66" s="35">
        <v>3.0</v>
      </c>
      <c r="AA66" s="95"/>
      <c r="AB66" s="95"/>
      <c r="AC66" s="35" t="s">
        <v>548</v>
      </c>
      <c r="AD66" s="35">
        <v>1.0</v>
      </c>
      <c r="AE66" s="87" t="s">
        <v>548</v>
      </c>
      <c r="AF66" s="158">
        <v>2.0</v>
      </c>
      <c r="AG66" s="35" t="s">
        <v>536</v>
      </c>
      <c r="AH66" s="35">
        <v>1.0</v>
      </c>
      <c r="AI66" s="35" t="s">
        <v>531</v>
      </c>
      <c r="AJ66" s="35">
        <v>1.0</v>
      </c>
      <c r="AK66" s="35" t="s">
        <v>518</v>
      </c>
      <c r="AL66" s="35">
        <v>2.0</v>
      </c>
      <c r="AM66" s="95"/>
      <c r="AN66" s="95"/>
      <c r="AO66" s="35"/>
      <c r="AP66" s="72">
        <v>76.0</v>
      </c>
      <c r="AQ66" s="87" t="s">
        <v>525</v>
      </c>
      <c r="AR66" s="158">
        <v>2.0</v>
      </c>
      <c r="AS66" s="35" t="s">
        <v>552</v>
      </c>
      <c r="AT66" s="35">
        <v>1.0</v>
      </c>
      <c r="AU66" s="35" t="s">
        <v>521</v>
      </c>
      <c r="AV66" s="35">
        <v>1.0</v>
      </c>
      <c r="AW66" s="35" t="s">
        <v>676</v>
      </c>
      <c r="AX66" s="35">
        <v>1.0</v>
      </c>
    </row>
    <row r="67">
      <c r="A67" s="35" t="s">
        <v>525</v>
      </c>
      <c r="B67" s="35">
        <v>3.0</v>
      </c>
      <c r="E67" s="35" t="s">
        <v>537</v>
      </c>
      <c r="F67" s="35">
        <v>1.0</v>
      </c>
      <c r="G67" s="35" t="s">
        <v>559</v>
      </c>
      <c r="H67" s="35">
        <v>1.0</v>
      </c>
      <c r="I67" s="35" t="s">
        <v>539</v>
      </c>
      <c r="J67" s="35">
        <v>2.0</v>
      </c>
      <c r="K67" s="35" t="s">
        <v>532</v>
      </c>
      <c r="L67" s="35">
        <v>1.0</v>
      </c>
      <c r="M67" s="35" t="s">
        <v>513</v>
      </c>
      <c r="N67" s="35">
        <v>4.0</v>
      </c>
      <c r="Q67" s="35" t="s">
        <v>535</v>
      </c>
      <c r="R67" s="35">
        <v>1.0</v>
      </c>
      <c r="S67" s="87" t="s">
        <v>518</v>
      </c>
      <c r="T67" s="158">
        <v>1.0</v>
      </c>
      <c r="U67" s="35" t="s">
        <v>535</v>
      </c>
      <c r="V67" s="35">
        <v>1.0</v>
      </c>
      <c r="W67" s="35" t="s">
        <v>503</v>
      </c>
      <c r="X67" s="35">
        <v>2.0</v>
      </c>
      <c r="Y67" s="35" t="s">
        <v>527</v>
      </c>
      <c r="Z67" s="35">
        <v>3.0</v>
      </c>
      <c r="AA67" s="95"/>
      <c r="AB67" s="95"/>
      <c r="AC67" s="35" t="s">
        <v>569</v>
      </c>
      <c r="AD67" s="35">
        <v>1.0</v>
      </c>
      <c r="AE67" s="87" t="s">
        <v>552</v>
      </c>
      <c r="AF67" s="158">
        <v>1.0</v>
      </c>
      <c r="AG67" s="35" t="s">
        <v>553</v>
      </c>
      <c r="AH67" s="35">
        <v>2.0</v>
      </c>
      <c r="AI67" s="35" t="s">
        <v>518</v>
      </c>
      <c r="AJ67" s="35">
        <v>1.0</v>
      </c>
      <c r="AK67" s="35" t="s">
        <v>527</v>
      </c>
      <c r="AL67" s="35">
        <v>1.0</v>
      </c>
      <c r="AM67" s="95"/>
      <c r="AN67" s="95"/>
      <c r="AO67" s="95"/>
      <c r="AP67" s="95"/>
      <c r="AQ67" s="35" t="s">
        <v>536</v>
      </c>
      <c r="AR67" s="35">
        <v>1.0</v>
      </c>
      <c r="AS67" s="35"/>
      <c r="AT67" s="35"/>
      <c r="AU67" s="35" t="s">
        <v>540</v>
      </c>
      <c r="AV67" s="35">
        <v>2.0</v>
      </c>
      <c r="AW67" s="35" t="s">
        <v>559</v>
      </c>
      <c r="AX67" s="35">
        <v>1.0</v>
      </c>
    </row>
    <row r="68">
      <c r="A68" s="35" t="s">
        <v>532</v>
      </c>
      <c r="B68" s="35">
        <v>2.0</v>
      </c>
      <c r="E68" s="35" t="s">
        <v>536</v>
      </c>
      <c r="F68" s="35">
        <v>1.0</v>
      </c>
      <c r="G68" s="35" t="s">
        <v>548</v>
      </c>
      <c r="H68" s="35">
        <v>3.0</v>
      </c>
      <c r="I68" s="35" t="s">
        <v>544</v>
      </c>
      <c r="J68" s="35">
        <v>3.0</v>
      </c>
      <c r="K68" s="35" t="s">
        <v>537</v>
      </c>
      <c r="L68" s="35">
        <v>1.0</v>
      </c>
      <c r="M68" s="35" t="s">
        <v>526</v>
      </c>
      <c r="N68" s="35">
        <v>2.0</v>
      </c>
      <c r="Q68" s="35" t="s">
        <v>571</v>
      </c>
      <c r="R68" s="35">
        <v>1.0</v>
      </c>
      <c r="S68" s="87" t="s">
        <v>521</v>
      </c>
      <c r="T68" s="158">
        <v>1.0</v>
      </c>
      <c r="U68" s="35" t="s">
        <v>544</v>
      </c>
      <c r="V68" s="35">
        <v>1.0</v>
      </c>
      <c r="W68" s="35" t="s">
        <v>513</v>
      </c>
      <c r="X68" s="35">
        <v>2.0</v>
      </c>
      <c r="Y68" s="35" t="s">
        <v>525</v>
      </c>
      <c r="Z68" s="35">
        <v>1.0</v>
      </c>
      <c r="AA68" s="95"/>
      <c r="AB68" s="95"/>
      <c r="AC68" s="35"/>
      <c r="AD68" s="35"/>
      <c r="AE68" s="35" t="s">
        <v>569</v>
      </c>
      <c r="AF68" s="35">
        <v>1.0</v>
      </c>
      <c r="AG68" s="35" t="s">
        <v>544</v>
      </c>
      <c r="AH68" s="35">
        <v>1.0</v>
      </c>
      <c r="AI68" s="35" t="s">
        <v>521</v>
      </c>
      <c r="AJ68" s="35">
        <v>1.0</v>
      </c>
      <c r="AK68" s="35" t="s">
        <v>525</v>
      </c>
      <c r="AL68" s="35">
        <v>1.0</v>
      </c>
      <c r="AM68" s="95"/>
      <c r="AN68" s="95"/>
      <c r="AO68" s="95"/>
      <c r="AP68" s="95"/>
      <c r="AQ68" s="35" t="s">
        <v>553</v>
      </c>
      <c r="AR68" s="35">
        <v>1.0</v>
      </c>
      <c r="AS68" s="35"/>
      <c r="AT68" s="72">
        <v>72.0</v>
      </c>
      <c r="AU68" s="35" t="s">
        <v>537</v>
      </c>
      <c r="AV68" s="35">
        <v>1.0</v>
      </c>
      <c r="AW68" s="35" t="s">
        <v>556</v>
      </c>
      <c r="AX68" s="35">
        <v>1.0</v>
      </c>
    </row>
    <row r="69">
      <c r="A69" s="35" t="s">
        <v>537</v>
      </c>
      <c r="B69" s="35">
        <v>1.0</v>
      </c>
      <c r="E69" s="35" t="s">
        <v>545</v>
      </c>
      <c r="F69" s="35">
        <v>1.0</v>
      </c>
      <c r="G69" s="35" t="s">
        <v>562</v>
      </c>
      <c r="H69" s="35">
        <v>1.0</v>
      </c>
      <c r="I69" s="35" t="s">
        <v>556</v>
      </c>
      <c r="J69" s="35">
        <v>1.0</v>
      </c>
      <c r="K69" s="35" t="s">
        <v>536</v>
      </c>
      <c r="L69" s="35">
        <v>1.0</v>
      </c>
      <c r="M69" s="35" t="s">
        <v>519</v>
      </c>
      <c r="N69" s="35">
        <v>3.0</v>
      </c>
      <c r="Q69" s="35" t="s">
        <v>544</v>
      </c>
      <c r="R69" s="35">
        <v>3.0</v>
      </c>
      <c r="S69" s="35" t="s">
        <v>540</v>
      </c>
      <c r="T69" s="35">
        <v>1.0</v>
      </c>
      <c r="U69" s="35" t="s">
        <v>556</v>
      </c>
      <c r="V69" s="35">
        <v>1.0</v>
      </c>
      <c r="W69" s="35" t="s">
        <v>526</v>
      </c>
      <c r="X69" s="35">
        <v>1.0</v>
      </c>
      <c r="Y69" s="35" t="s">
        <v>540</v>
      </c>
      <c r="Z69" s="35">
        <v>1.0</v>
      </c>
      <c r="AA69" s="95"/>
      <c r="AB69" s="95"/>
      <c r="AC69" s="35"/>
      <c r="AD69" s="72">
        <v>79.0</v>
      </c>
      <c r="AE69" s="72"/>
      <c r="AF69" s="72"/>
      <c r="AG69" s="35" t="s">
        <v>556</v>
      </c>
      <c r="AH69" s="35">
        <v>1.0</v>
      </c>
      <c r="AI69" s="35" t="s">
        <v>540</v>
      </c>
      <c r="AJ69" s="35">
        <v>1.0</v>
      </c>
      <c r="AK69" s="35" t="s">
        <v>540</v>
      </c>
      <c r="AL69" s="35">
        <v>1.0</v>
      </c>
      <c r="AM69" s="95"/>
      <c r="AN69" s="95"/>
      <c r="AO69" s="95"/>
      <c r="AP69" s="95"/>
      <c r="AQ69" s="35" t="s">
        <v>571</v>
      </c>
      <c r="AR69" s="35">
        <v>1.0</v>
      </c>
      <c r="AS69" s="95"/>
      <c r="AT69" s="95"/>
      <c r="AU69" s="35" t="s">
        <v>536</v>
      </c>
      <c r="AV69" s="35">
        <v>2.0</v>
      </c>
      <c r="AW69" s="35" t="s">
        <v>548</v>
      </c>
      <c r="AX69" s="35">
        <v>3.0</v>
      </c>
    </row>
    <row r="70">
      <c r="A70" s="35" t="s">
        <v>536</v>
      </c>
      <c r="B70" s="35">
        <v>1.0</v>
      </c>
      <c r="E70" s="35" t="s">
        <v>535</v>
      </c>
      <c r="F70" s="35">
        <v>1.0</v>
      </c>
      <c r="G70" s="35" t="s">
        <v>569</v>
      </c>
      <c r="H70" s="35">
        <v>1.0</v>
      </c>
      <c r="I70" s="35" t="s">
        <v>548</v>
      </c>
      <c r="J70" s="35">
        <v>2.0</v>
      </c>
      <c r="K70" s="35" t="s">
        <v>539</v>
      </c>
      <c r="L70" s="35">
        <v>2.0</v>
      </c>
      <c r="M70" s="35" t="s">
        <v>518</v>
      </c>
      <c r="N70" s="35">
        <v>2.0</v>
      </c>
      <c r="Q70" s="35" t="s">
        <v>562</v>
      </c>
      <c r="R70" s="35">
        <v>1.0</v>
      </c>
      <c r="S70" s="35" t="s">
        <v>532</v>
      </c>
      <c r="T70" s="35">
        <v>1.0</v>
      </c>
      <c r="U70" s="35" t="s">
        <v>548</v>
      </c>
      <c r="V70" s="35">
        <v>2.0</v>
      </c>
      <c r="W70" s="35" t="s">
        <v>531</v>
      </c>
      <c r="X70" s="35">
        <v>2.0</v>
      </c>
      <c r="Y70" s="35" t="s">
        <v>532</v>
      </c>
      <c r="Z70" s="35">
        <v>1.0</v>
      </c>
      <c r="AA70" s="95"/>
      <c r="AB70" s="95"/>
      <c r="AC70" s="95"/>
      <c r="AD70" s="95"/>
      <c r="AE70" s="35"/>
      <c r="AF70" s="72">
        <v>88.0</v>
      </c>
      <c r="AG70" s="35" t="s">
        <v>548</v>
      </c>
      <c r="AH70" s="35">
        <v>1.0</v>
      </c>
      <c r="AI70" s="35" t="s">
        <v>532</v>
      </c>
      <c r="AJ70" s="35">
        <v>1.0</v>
      </c>
      <c r="AK70" s="35" t="s">
        <v>530</v>
      </c>
      <c r="AL70" s="35">
        <v>1.0</v>
      </c>
      <c r="AM70" s="95"/>
      <c r="AN70" s="95"/>
      <c r="AO70" s="95"/>
      <c r="AP70" s="95"/>
      <c r="AQ70" s="35" t="s">
        <v>548</v>
      </c>
      <c r="AR70" s="35">
        <v>2.0</v>
      </c>
      <c r="AS70" s="95"/>
      <c r="AT70" s="95"/>
      <c r="AU70" s="35" t="s">
        <v>535</v>
      </c>
      <c r="AV70" s="35">
        <v>1.0</v>
      </c>
      <c r="AW70" s="35" t="s">
        <v>552</v>
      </c>
      <c r="AX70" s="35">
        <v>1.0</v>
      </c>
    </row>
    <row r="71">
      <c r="A71" s="35" t="s">
        <v>541</v>
      </c>
      <c r="B71" s="35">
        <v>1.0</v>
      </c>
      <c r="E71" s="35" t="s">
        <v>544</v>
      </c>
      <c r="F71" s="35">
        <v>4.0</v>
      </c>
      <c r="G71" s="8"/>
      <c r="H71" s="8"/>
      <c r="I71" s="35" t="s">
        <v>552</v>
      </c>
      <c r="J71" s="35">
        <v>2.0</v>
      </c>
      <c r="K71" s="35" t="s">
        <v>544</v>
      </c>
      <c r="L71" s="35">
        <v>1.0</v>
      </c>
      <c r="M71" s="35" t="s">
        <v>527</v>
      </c>
      <c r="N71" s="35">
        <v>1.0</v>
      </c>
      <c r="Q71" s="8"/>
      <c r="R71" s="8"/>
      <c r="S71" s="35" t="s">
        <v>571</v>
      </c>
      <c r="T71" s="35">
        <v>2.0</v>
      </c>
      <c r="U71" s="35" t="s">
        <v>552</v>
      </c>
      <c r="V71" s="35">
        <v>2.0</v>
      </c>
      <c r="W71" s="35" t="s">
        <v>518</v>
      </c>
      <c r="X71" s="35">
        <v>3.0</v>
      </c>
      <c r="Y71" s="35" t="s">
        <v>530</v>
      </c>
      <c r="Z71" s="35">
        <v>2.0</v>
      </c>
      <c r="AA71" s="95"/>
      <c r="AB71" s="95"/>
      <c r="AC71" s="95"/>
      <c r="AD71" s="95"/>
      <c r="AE71" s="95"/>
      <c r="AF71" s="95"/>
      <c r="AG71" s="35" t="s">
        <v>552</v>
      </c>
      <c r="AH71" s="35">
        <v>3.0</v>
      </c>
      <c r="AI71" s="35" t="s">
        <v>530</v>
      </c>
      <c r="AJ71" s="35">
        <v>1.0</v>
      </c>
      <c r="AK71" s="35" t="s">
        <v>541</v>
      </c>
      <c r="AL71" s="35">
        <v>1.0</v>
      </c>
      <c r="AM71" s="95"/>
      <c r="AN71" s="95"/>
      <c r="AO71" s="95"/>
      <c r="AP71" s="95"/>
      <c r="AQ71" s="35" t="s">
        <v>565</v>
      </c>
      <c r="AR71" s="35">
        <v>1.0</v>
      </c>
      <c r="AS71" s="95"/>
      <c r="AT71" s="95"/>
      <c r="AU71" s="35" t="s">
        <v>553</v>
      </c>
      <c r="AV71" s="35">
        <v>1.0</v>
      </c>
      <c r="AW71" s="35" t="s">
        <v>562</v>
      </c>
      <c r="AX71" s="35">
        <v>1.0</v>
      </c>
    </row>
    <row r="72">
      <c r="A72" s="35" t="s">
        <v>545</v>
      </c>
      <c r="B72" s="35">
        <v>2.0</v>
      </c>
      <c r="E72" s="35" t="s">
        <v>556</v>
      </c>
      <c r="F72" s="35">
        <v>1.0</v>
      </c>
      <c r="G72" s="8"/>
      <c r="H72" s="69">
        <v>87.0</v>
      </c>
      <c r="I72" s="8"/>
      <c r="J72" s="8"/>
      <c r="K72" s="35" t="s">
        <v>559</v>
      </c>
      <c r="L72" s="35">
        <v>1.0</v>
      </c>
      <c r="M72" s="35" t="s">
        <v>532</v>
      </c>
      <c r="N72" s="35">
        <v>1.0</v>
      </c>
      <c r="Q72" s="8"/>
      <c r="R72" s="69">
        <v>81.0</v>
      </c>
      <c r="S72" s="35" t="s">
        <v>548</v>
      </c>
      <c r="T72" s="35">
        <v>2.0</v>
      </c>
      <c r="U72" s="8"/>
      <c r="V72" s="8"/>
      <c r="W72" s="35" t="s">
        <v>527</v>
      </c>
      <c r="X72" s="35">
        <v>1.0</v>
      </c>
      <c r="Y72" s="35" t="s">
        <v>541</v>
      </c>
      <c r="Z72" s="35">
        <v>1.0</v>
      </c>
      <c r="AA72" s="95"/>
      <c r="AB72" s="95"/>
      <c r="AC72" s="95"/>
      <c r="AD72" s="95"/>
      <c r="AE72" s="95"/>
      <c r="AF72" s="95"/>
      <c r="AG72" s="35" t="s">
        <v>569</v>
      </c>
      <c r="AH72" s="35">
        <v>1.0</v>
      </c>
      <c r="AI72" s="35" t="s">
        <v>535</v>
      </c>
      <c r="AJ72" s="35">
        <v>1.0</v>
      </c>
      <c r="AK72" s="35" t="s">
        <v>545</v>
      </c>
      <c r="AL72" s="35">
        <v>1.0</v>
      </c>
      <c r="AM72" s="95"/>
      <c r="AN72" s="95"/>
      <c r="AO72" s="95"/>
      <c r="AP72" s="95"/>
      <c r="AQ72" s="35" t="s">
        <v>569</v>
      </c>
      <c r="AR72" s="35">
        <v>1.0</v>
      </c>
      <c r="AS72" s="95"/>
      <c r="AT72" s="95"/>
      <c r="AU72" s="35" t="s">
        <v>571</v>
      </c>
      <c r="AV72" s="35">
        <v>1.0</v>
      </c>
      <c r="AW72" s="35" t="s">
        <v>569</v>
      </c>
      <c r="AX72" s="35">
        <v>1.0</v>
      </c>
    </row>
    <row r="73">
      <c r="A73" s="35" t="s">
        <v>535</v>
      </c>
      <c r="B73" s="35">
        <v>1.0</v>
      </c>
      <c r="E73" s="8"/>
      <c r="F73" s="8"/>
      <c r="I73" s="8"/>
      <c r="J73" s="69">
        <v>81.0</v>
      </c>
      <c r="K73" s="35" t="s">
        <v>562</v>
      </c>
      <c r="L73" s="35">
        <v>1.0</v>
      </c>
      <c r="M73" s="35" t="s">
        <v>536</v>
      </c>
      <c r="N73" s="35">
        <v>2.0</v>
      </c>
      <c r="S73" s="35" t="s">
        <v>552</v>
      </c>
      <c r="T73" s="35">
        <v>1.0</v>
      </c>
      <c r="U73" s="8"/>
      <c r="V73" s="69">
        <v>82.0</v>
      </c>
      <c r="W73" s="35" t="s">
        <v>540</v>
      </c>
      <c r="X73" s="35">
        <v>1.0</v>
      </c>
      <c r="Y73" s="35" t="s">
        <v>545</v>
      </c>
      <c r="Z73" s="35">
        <v>1.0</v>
      </c>
      <c r="AA73" s="95"/>
      <c r="AB73" s="95"/>
      <c r="AC73" s="95"/>
      <c r="AD73" s="95"/>
      <c r="AE73" s="95"/>
      <c r="AF73" s="95"/>
      <c r="AG73" s="35"/>
      <c r="AH73" s="35"/>
      <c r="AI73" s="35" t="s">
        <v>553</v>
      </c>
      <c r="AJ73" s="35">
        <v>1.0</v>
      </c>
      <c r="AK73" s="35" t="s">
        <v>535</v>
      </c>
      <c r="AL73" s="35">
        <v>1.0</v>
      </c>
      <c r="AM73" s="95"/>
      <c r="AN73" s="95"/>
      <c r="AO73" s="95"/>
      <c r="AP73" s="95"/>
      <c r="AQ73" s="35"/>
      <c r="AR73" s="35"/>
      <c r="AS73" s="95"/>
      <c r="AT73" s="95"/>
      <c r="AU73" s="35" t="s">
        <v>544</v>
      </c>
      <c r="AV73" s="35">
        <v>1.0</v>
      </c>
      <c r="AW73" s="35"/>
      <c r="AX73" s="35"/>
    </row>
    <row r="74">
      <c r="A74" s="35" t="s">
        <v>539</v>
      </c>
      <c r="B74" s="35">
        <v>1.0</v>
      </c>
      <c r="E74" s="8"/>
      <c r="F74" s="69">
        <v>84.0</v>
      </c>
      <c r="K74" s="8"/>
      <c r="L74" s="8"/>
      <c r="M74" s="35" t="s">
        <v>530</v>
      </c>
      <c r="N74" s="35">
        <v>2.0</v>
      </c>
      <c r="S74" s="35" t="s">
        <v>569</v>
      </c>
      <c r="T74" s="35">
        <v>1.0</v>
      </c>
      <c r="W74" s="35" t="s">
        <v>532</v>
      </c>
      <c r="X74" s="35">
        <v>1.0</v>
      </c>
      <c r="Y74" s="35" t="s">
        <v>553</v>
      </c>
      <c r="Z74" s="35">
        <v>2.0</v>
      </c>
      <c r="AA74" s="95"/>
      <c r="AB74" s="95"/>
      <c r="AC74" s="95"/>
      <c r="AD74" s="95"/>
      <c r="AE74" s="95"/>
      <c r="AF74" s="95"/>
      <c r="AG74" s="35"/>
      <c r="AH74" s="72">
        <v>76.0</v>
      </c>
      <c r="AI74" s="35" t="s">
        <v>571</v>
      </c>
      <c r="AJ74" s="35">
        <v>2.0</v>
      </c>
      <c r="AK74" s="35" t="s">
        <v>553</v>
      </c>
      <c r="AL74" s="35">
        <v>1.0</v>
      </c>
      <c r="AM74" s="95"/>
      <c r="AN74" s="95"/>
      <c r="AO74" s="95"/>
      <c r="AP74" s="95"/>
      <c r="AQ74" s="35"/>
      <c r="AR74" s="72">
        <v>87.0</v>
      </c>
      <c r="AS74" s="165"/>
      <c r="AT74" s="165"/>
      <c r="AU74" s="35" t="s">
        <v>548</v>
      </c>
      <c r="AV74" s="35">
        <v>1.0</v>
      </c>
      <c r="AW74" s="35"/>
      <c r="AX74" s="72">
        <v>95.0</v>
      </c>
    </row>
    <row r="75">
      <c r="A75" s="35" t="s">
        <v>544</v>
      </c>
      <c r="B75" s="35">
        <v>1.0</v>
      </c>
      <c r="K75" s="8"/>
      <c r="L75" s="69">
        <v>91.0</v>
      </c>
      <c r="M75" s="35" t="s">
        <v>545</v>
      </c>
      <c r="N75" s="35">
        <v>1.0</v>
      </c>
      <c r="S75" s="8"/>
      <c r="T75" s="8"/>
      <c r="W75" s="35" t="s">
        <v>537</v>
      </c>
      <c r="X75" s="35">
        <v>2.0</v>
      </c>
      <c r="Y75" s="35" t="s">
        <v>539</v>
      </c>
      <c r="Z75" s="35">
        <v>1.0</v>
      </c>
      <c r="AA75" s="95"/>
      <c r="AB75" s="95"/>
      <c r="AC75" s="95"/>
      <c r="AD75" s="95"/>
      <c r="AE75" s="95"/>
      <c r="AF75" s="95"/>
      <c r="AG75" s="95"/>
      <c r="AH75" s="95"/>
      <c r="AI75" s="35" t="s">
        <v>544</v>
      </c>
      <c r="AJ75" s="35">
        <v>1.0</v>
      </c>
      <c r="AK75" s="35" t="s">
        <v>676</v>
      </c>
      <c r="AL75" s="35">
        <v>1.0</v>
      </c>
      <c r="AM75" s="95"/>
      <c r="AN75" s="95"/>
      <c r="AO75" s="95"/>
      <c r="AP75" s="95"/>
      <c r="AQ75" s="95"/>
      <c r="AR75" s="95"/>
      <c r="AS75" s="95"/>
      <c r="AT75" s="95"/>
      <c r="AU75" s="35" t="s">
        <v>562</v>
      </c>
      <c r="AV75" s="35">
        <v>1.0</v>
      </c>
      <c r="AW75" s="95"/>
      <c r="AX75" s="95"/>
    </row>
    <row r="76">
      <c r="A76" s="35" t="s">
        <v>548</v>
      </c>
      <c r="B76" s="35">
        <v>4.0</v>
      </c>
      <c r="M76" s="35" t="s">
        <v>535</v>
      </c>
      <c r="N76" s="35">
        <v>2.0</v>
      </c>
      <c r="S76" s="8"/>
      <c r="T76" s="69">
        <v>91.0</v>
      </c>
      <c r="W76" s="35" t="s">
        <v>536</v>
      </c>
      <c r="X76" s="35">
        <v>2.0</v>
      </c>
      <c r="Y76" s="35" t="s">
        <v>544</v>
      </c>
      <c r="Z76" s="35">
        <v>1.0</v>
      </c>
      <c r="AA76" s="95"/>
      <c r="AB76" s="95"/>
      <c r="AC76" s="95"/>
      <c r="AD76" s="95"/>
      <c r="AE76" s="95"/>
      <c r="AF76" s="95"/>
      <c r="AG76" s="95"/>
      <c r="AH76" s="95"/>
      <c r="AI76" s="35" t="s">
        <v>556</v>
      </c>
      <c r="AJ76" s="35">
        <v>1.0</v>
      </c>
      <c r="AK76" s="35" t="s">
        <v>548</v>
      </c>
      <c r="AL76" s="35">
        <v>1.0</v>
      </c>
      <c r="AM76" s="95"/>
      <c r="AN76" s="95"/>
      <c r="AO76" s="95"/>
      <c r="AP76" s="95"/>
      <c r="AQ76" s="95"/>
      <c r="AR76" s="95"/>
      <c r="AS76" s="95"/>
      <c r="AT76" s="95"/>
      <c r="AU76" s="35" t="s">
        <v>565</v>
      </c>
      <c r="AV76" s="35">
        <v>1.0</v>
      </c>
      <c r="AW76" s="95"/>
      <c r="AX76" s="95"/>
    </row>
    <row r="77">
      <c r="A77" s="35" t="s">
        <v>562</v>
      </c>
      <c r="B77" s="35">
        <v>1.0</v>
      </c>
      <c r="M77" s="35" t="s">
        <v>553</v>
      </c>
      <c r="N77" s="35">
        <v>1.0</v>
      </c>
      <c r="W77" s="35" t="s">
        <v>535</v>
      </c>
      <c r="X77" s="35">
        <v>2.0</v>
      </c>
      <c r="Y77" s="35" t="s">
        <v>559</v>
      </c>
      <c r="Z77" s="35">
        <v>1.0</v>
      </c>
      <c r="AA77" s="95"/>
      <c r="AB77" s="95"/>
      <c r="AC77" s="95"/>
      <c r="AD77" s="95"/>
      <c r="AE77" s="95"/>
      <c r="AF77" s="95"/>
      <c r="AG77" s="95"/>
      <c r="AH77" s="95"/>
      <c r="AI77" s="35" t="s">
        <v>552</v>
      </c>
      <c r="AJ77" s="35">
        <v>1.0</v>
      </c>
      <c r="AK77" s="35" t="s">
        <v>552</v>
      </c>
      <c r="AL77" s="35">
        <v>1.0</v>
      </c>
      <c r="AM77" s="95"/>
      <c r="AN77" s="95"/>
      <c r="AO77" s="95"/>
      <c r="AP77" s="95"/>
      <c r="AQ77" s="95"/>
      <c r="AR77" s="95"/>
      <c r="AS77" s="95"/>
      <c r="AT77" s="95"/>
      <c r="AU77" s="35"/>
      <c r="AV77" s="35"/>
      <c r="AW77" s="95"/>
      <c r="AX77" s="95"/>
    </row>
    <row r="78">
      <c r="A78" s="35" t="s">
        <v>565</v>
      </c>
      <c r="B78" s="35">
        <v>1.0</v>
      </c>
      <c r="M78" s="35" t="s">
        <v>539</v>
      </c>
      <c r="N78" s="35">
        <v>1.0</v>
      </c>
      <c r="W78" s="35" t="s">
        <v>571</v>
      </c>
      <c r="X78" s="35">
        <v>1.0</v>
      </c>
      <c r="Y78" s="35" t="s">
        <v>556</v>
      </c>
      <c r="Z78" s="35">
        <v>2.0</v>
      </c>
      <c r="AA78" s="95"/>
      <c r="AB78" s="95"/>
      <c r="AC78" s="95"/>
      <c r="AD78" s="95"/>
      <c r="AE78" s="95"/>
      <c r="AF78" s="95"/>
      <c r="AG78" s="95"/>
      <c r="AH78" s="95"/>
      <c r="AI78" s="35" t="s">
        <v>562</v>
      </c>
      <c r="AJ78" s="35">
        <v>1.0</v>
      </c>
      <c r="AK78" s="35" t="s">
        <v>562</v>
      </c>
      <c r="AL78" s="35">
        <v>2.0</v>
      </c>
      <c r="AM78" s="95"/>
      <c r="AN78" s="95"/>
      <c r="AO78" s="95"/>
      <c r="AP78" s="95"/>
      <c r="AQ78" s="95"/>
      <c r="AR78" s="95"/>
      <c r="AS78" s="95"/>
      <c r="AT78" s="95"/>
      <c r="AU78" s="35"/>
      <c r="AV78" s="72">
        <v>86.0</v>
      </c>
      <c r="AW78" s="165"/>
      <c r="AX78" s="165"/>
    </row>
    <row r="79">
      <c r="A79" s="35" t="s">
        <v>555</v>
      </c>
      <c r="B79" s="35">
        <v>1.0</v>
      </c>
      <c r="M79" s="35" t="s">
        <v>559</v>
      </c>
      <c r="N79" s="35">
        <v>1.0</v>
      </c>
      <c r="W79" s="35" t="s">
        <v>544</v>
      </c>
      <c r="X79" s="35">
        <v>1.0</v>
      </c>
      <c r="Y79" s="35" t="s">
        <v>548</v>
      </c>
      <c r="Z79" s="35">
        <v>3.0</v>
      </c>
      <c r="AA79" s="95"/>
      <c r="AB79" s="95"/>
      <c r="AC79" s="95"/>
      <c r="AD79" s="95"/>
      <c r="AE79" s="95"/>
      <c r="AF79" s="95"/>
      <c r="AG79" s="95"/>
      <c r="AH79" s="95"/>
      <c r="AI79" s="35"/>
      <c r="AJ79" s="35"/>
      <c r="AK79" s="35" t="s">
        <v>555</v>
      </c>
      <c r="AL79" s="35">
        <v>1.0</v>
      </c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</row>
    <row r="80">
      <c r="A80" s="8"/>
      <c r="B80" s="8"/>
      <c r="M80" s="35" t="s">
        <v>548</v>
      </c>
      <c r="N80" s="35">
        <v>1.0</v>
      </c>
      <c r="W80" s="8"/>
      <c r="X80" s="8"/>
      <c r="Y80" s="35" t="s">
        <v>562</v>
      </c>
      <c r="Z80" s="35">
        <v>2.0</v>
      </c>
      <c r="AA80" s="95"/>
      <c r="AB80" s="95"/>
      <c r="AC80" s="95"/>
      <c r="AD80" s="95"/>
      <c r="AE80" s="95"/>
      <c r="AF80" s="95"/>
      <c r="AG80" s="95"/>
      <c r="AH80" s="95"/>
      <c r="AI80" s="35"/>
      <c r="AJ80" s="72">
        <v>87.0</v>
      </c>
      <c r="AK80" s="72"/>
      <c r="AL80" s="72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</row>
    <row r="81">
      <c r="A81" s="8"/>
      <c r="B81" s="69">
        <v>97.0</v>
      </c>
      <c r="M81" s="35" t="s">
        <v>552</v>
      </c>
      <c r="N81" s="35">
        <v>2.0</v>
      </c>
      <c r="W81" s="8"/>
      <c r="X81" s="69">
        <v>93.0</v>
      </c>
      <c r="Y81" s="8"/>
      <c r="Z81" s="8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8"/>
      <c r="AL81" s="69">
        <v>88.0</v>
      </c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</row>
    <row r="82">
      <c r="M82" s="35" t="s">
        <v>562</v>
      </c>
      <c r="N82" s="35">
        <v>4.0</v>
      </c>
      <c r="Y82" s="8"/>
      <c r="Z82" s="69">
        <v>97.0</v>
      </c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</row>
    <row r="83">
      <c r="M83" s="35" t="s">
        <v>569</v>
      </c>
      <c r="N83" s="35">
        <v>1.0</v>
      </c>
    </row>
    <row r="84">
      <c r="M84" s="8"/>
      <c r="N84" s="8"/>
    </row>
    <row r="85">
      <c r="M85" s="8"/>
      <c r="N85" s="69">
        <v>98.0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4.25"/>
    <col hidden="1" min="2" max="2" width="12.63"/>
    <col customWidth="1" hidden="1" min="3" max="3" width="34.25"/>
    <col hidden="1" min="4" max="4" width="12.63"/>
    <col customWidth="1" hidden="1" min="5" max="5" width="34.25"/>
    <col hidden="1" min="6" max="6" width="12.63"/>
    <col customWidth="1" hidden="1" min="7" max="7" width="34.25"/>
    <col hidden="1" min="8" max="8" width="12.63"/>
    <col customWidth="1" hidden="1" min="9" max="9" width="34.25"/>
    <col hidden="1" min="10" max="10" width="12.63"/>
    <col customWidth="1" hidden="1" min="11" max="11" width="34.25"/>
    <col hidden="1" min="12" max="12" width="12.63"/>
    <col customWidth="1" hidden="1" min="13" max="13" width="34.25"/>
    <col hidden="1" min="14" max="14" width="12.63"/>
    <col customWidth="1" hidden="1" min="15" max="15" width="34.25"/>
    <col hidden="1" min="16" max="16" width="12.63"/>
    <col customWidth="1" hidden="1" min="17" max="17" width="34.25"/>
    <col hidden="1" min="18" max="18" width="12.63"/>
    <col customWidth="1" hidden="1" min="19" max="19" width="34.25"/>
    <col hidden="1" min="20" max="20" width="12.63"/>
    <col customWidth="1" hidden="1" min="21" max="21" width="34.25"/>
    <col hidden="1" min="22" max="22" width="12.63"/>
    <col customWidth="1" hidden="1" min="23" max="23" width="34.25"/>
    <col hidden="1" min="24" max="24" width="12.63"/>
    <col customWidth="1" hidden="1" min="25" max="25" width="34.25"/>
    <col hidden="1" min="26" max="26" width="12.63"/>
    <col customWidth="1" hidden="1" min="27" max="27" width="34.25"/>
    <col hidden="1" min="28" max="28" width="12.63"/>
    <col customWidth="1" hidden="1" min="29" max="29" width="34.25"/>
    <col hidden="1" min="30" max="30" width="12.63"/>
    <col customWidth="1" hidden="1" min="31" max="31" width="34.25"/>
    <col hidden="1" min="32" max="32" width="12.63"/>
    <col customWidth="1" hidden="1" min="33" max="33" width="34.25"/>
    <col hidden="1" min="34" max="34" width="12.63"/>
    <col customWidth="1" hidden="1" min="35" max="35" width="34.25"/>
    <col hidden="1" min="36" max="36" width="12.63"/>
    <col customWidth="1" hidden="1" min="37" max="37" width="34.25"/>
    <col hidden="1" min="38" max="38" width="12.63"/>
    <col customWidth="1" hidden="1" min="39" max="39" width="34.25"/>
    <col hidden="1" min="40" max="40" width="12.63"/>
    <col customWidth="1" hidden="1" min="41" max="41" width="34.25"/>
    <col hidden="1" min="42" max="42" width="12.63"/>
    <col customWidth="1" hidden="1" min="43" max="43" width="34.25"/>
    <col hidden="1" min="44" max="44" width="12.63"/>
    <col customWidth="1" min="45" max="45" width="34.25"/>
    <col customWidth="1" min="47" max="47" width="34.25"/>
  </cols>
  <sheetData>
    <row r="1">
      <c r="A1" s="11" t="s">
        <v>645</v>
      </c>
      <c r="B1" s="13"/>
      <c r="C1" s="11" t="s">
        <v>646</v>
      </c>
      <c r="D1" s="13"/>
      <c r="E1" s="11" t="s">
        <v>647</v>
      </c>
      <c r="F1" s="13"/>
      <c r="G1" s="11" t="s">
        <v>648</v>
      </c>
      <c r="H1" s="13"/>
      <c r="I1" s="11" t="s">
        <v>649</v>
      </c>
      <c r="J1" s="13"/>
      <c r="K1" s="2" t="s">
        <v>650</v>
      </c>
      <c r="L1" s="13"/>
      <c r="M1" s="11" t="s">
        <v>651</v>
      </c>
      <c r="N1" s="13"/>
      <c r="O1" s="11" t="s">
        <v>652</v>
      </c>
      <c r="P1" s="13"/>
      <c r="Q1" s="11" t="s">
        <v>653</v>
      </c>
      <c r="R1" s="13"/>
      <c r="S1" s="11" t="s">
        <v>654</v>
      </c>
      <c r="T1" s="13"/>
      <c r="U1" s="11" t="s">
        <v>649</v>
      </c>
      <c r="V1" s="13"/>
      <c r="W1" s="11" t="s">
        <v>655</v>
      </c>
      <c r="X1" s="13"/>
      <c r="Y1" s="11" t="s">
        <v>656</v>
      </c>
      <c r="Z1" s="13"/>
      <c r="AA1" s="11" t="s">
        <v>657</v>
      </c>
      <c r="AB1" s="13"/>
      <c r="AC1" s="11" t="s">
        <v>658</v>
      </c>
      <c r="AD1" s="13"/>
      <c r="AE1" s="11" t="s">
        <v>659</v>
      </c>
      <c r="AF1" s="13"/>
      <c r="AG1" s="11" t="s">
        <v>660</v>
      </c>
      <c r="AH1" s="13"/>
      <c r="AI1" s="11" t="s">
        <v>661</v>
      </c>
      <c r="AJ1" s="13"/>
      <c r="AK1" s="11" t="s">
        <v>662</v>
      </c>
      <c r="AL1" s="13"/>
      <c r="AM1" s="11" t="s">
        <v>663</v>
      </c>
      <c r="AN1" s="13"/>
      <c r="AO1" s="11" t="s">
        <v>664</v>
      </c>
      <c r="AP1" s="13"/>
      <c r="AQ1" s="11" t="s">
        <v>665</v>
      </c>
      <c r="AR1" s="13"/>
      <c r="AS1" s="2" t="s">
        <v>666</v>
      </c>
      <c r="AT1" s="13"/>
      <c r="AU1" s="2" t="s">
        <v>667</v>
      </c>
      <c r="AV1" s="13"/>
    </row>
    <row r="2">
      <c r="A2" s="35" t="s">
        <v>54</v>
      </c>
      <c r="B2" s="35">
        <v>40.0</v>
      </c>
      <c r="C2" s="35" t="s">
        <v>12</v>
      </c>
      <c r="D2" s="35">
        <v>4.0</v>
      </c>
      <c r="E2" s="35" t="s">
        <v>12</v>
      </c>
      <c r="F2" s="35">
        <v>6.0</v>
      </c>
      <c r="G2" s="35" t="s">
        <v>12</v>
      </c>
      <c r="H2" s="35">
        <v>3.0</v>
      </c>
      <c r="I2" s="35" t="s">
        <v>12</v>
      </c>
      <c r="J2" s="35">
        <v>4.0</v>
      </c>
      <c r="K2" s="35" t="s">
        <v>12</v>
      </c>
      <c r="L2" s="35">
        <v>7.0</v>
      </c>
      <c r="M2" s="35" t="s">
        <v>54</v>
      </c>
      <c r="N2" s="35">
        <v>39.0</v>
      </c>
      <c r="O2" s="35" t="s">
        <v>12</v>
      </c>
      <c r="P2" s="35">
        <v>7.0</v>
      </c>
      <c r="Q2" s="35" t="s">
        <v>12</v>
      </c>
      <c r="R2" s="35">
        <v>4.0</v>
      </c>
      <c r="S2" s="35" t="s">
        <v>12</v>
      </c>
      <c r="T2" s="35">
        <v>1.0</v>
      </c>
      <c r="U2" s="35" t="s">
        <v>12</v>
      </c>
      <c r="V2" s="35">
        <v>7.0</v>
      </c>
      <c r="W2" s="35" t="s">
        <v>12</v>
      </c>
      <c r="X2" s="35">
        <v>7.0</v>
      </c>
      <c r="Y2" s="35" t="s">
        <v>54</v>
      </c>
      <c r="Z2" s="35">
        <v>43.0</v>
      </c>
      <c r="AA2" s="35" t="s">
        <v>12</v>
      </c>
      <c r="AB2" s="35">
        <v>4.0</v>
      </c>
      <c r="AC2" s="35" t="s">
        <v>12</v>
      </c>
      <c r="AD2" s="35">
        <v>8.0</v>
      </c>
      <c r="AE2" s="35" t="s">
        <v>12</v>
      </c>
      <c r="AF2" s="35">
        <v>1.0</v>
      </c>
      <c r="AG2" s="35" t="s">
        <v>12</v>
      </c>
      <c r="AH2" s="35">
        <v>5.0</v>
      </c>
      <c r="AI2" s="35" t="s">
        <v>12</v>
      </c>
      <c r="AJ2" s="35">
        <v>6.0</v>
      </c>
      <c r="AK2" s="35" t="s">
        <v>54</v>
      </c>
      <c r="AL2" s="35">
        <v>40.0</v>
      </c>
      <c r="AM2" s="35" t="s">
        <v>12</v>
      </c>
      <c r="AN2" s="35">
        <v>4.0</v>
      </c>
      <c r="AO2" s="35" t="s">
        <v>12</v>
      </c>
      <c r="AP2" s="35">
        <v>9.0</v>
      </c>
      <c r="AQ2" s="35" t="s">
        <v>12</v>
      </c>
      <c r="AR2" s="35">
        <v>5.0</v>
      </c>
      <c r="AS2" s="35" t="s">
        <v>12</v>
      </c>
      <c r="AT2" s="35">
        <v>7.0</v>
      </c>
      <c r="AU2" s="35" t="s">
        <v>12</v>
      </c>
      <c r="AV2" s="35">
        <v>9.0</v>
      </c>
    </row>
    <row r="3">
      <c r="A3" s="35" t="s">
        <v>71</v>
      </c>
      <c r="B3" s="35">
        <v>22.0</v>
      </c>
      <c r="C3" s="35" t="s">
        <v>16</v>
      </c>
      <c r="D3" s="35">
        <v>22.0</v>
      </c>
      <c r="E3" s="35" t="s">
        <v>16</v>
      </c>
      <c r="F3" s="35">
        <v>19.0</v>
      </c>
      <c r="G3" s="35" t="s">
        <v>16</v>
      </c>
      <c r="H3" s="35">
        <v>7.0</v>
      </c>
      <c r="I3" s="35" t="s">
        <v>16</v>
      </c>
      <c r="J3" s="35">
        <v>16.0</v>
      </c>
      <c r="K3" s="35" t="s">
        <v>16</v>
      </c>
      <c r="L3" s="35">
        <v>15.0</v>
      </c>
      <c r="M3" s="35" t="s">
        <v>71</v>
      </c>
      <c r="N3" s="35">
        <v>23.0</v>
      </c>
      <c r="O3" s="35" t="s">
        <v>16</v>
      </c>
      <c r="P3" s="35">
        <v>20.0</v>
      </c>
      <c r="Q3" s="35" t="s">
        <v>16</v>
      </c>
      <c r="R3" s="35">
        <v>20.0</v>
      </c>
      <c r="S3" s="35" t="s">
        <v>16</v>
      </c>
      <c r="T3" s="35">
        <v>13.0</v>
      </c>
      <c r="U3" s="35" t="s">
        <v>16</v>
      </c>
      <c r="V3" s="35">
        <v>18.0</v>
      </c>
      <c r="W3" s="35" t="s">
        <v>16</v>
      </c>
      <c r="X3" s="35">
        <v>22.0</v>
      </c>
      <c r="Y3" s="35" t="s">
        <v>71</v>
      </c>
      <c r="Z3" s="35">
        <v>22.0</v>
      </c>
      <c r="AA3" s="35" t="s">
        <v>16</v>
      </c>
      <c r="AB3" s="35">
        <v>23.0</v>
      </c>
      <c r="AC3" s="35" t="s">
        <v>16</v>
      </c>
      <c r="AD3" s="35">
        <v>18.0</v>
      </c>
      <c r="AE3" s="35" t="s">
        <v>16</v>
      </c>
      <c r="AF3" s="35">
        <v>11.0</v>
      </c>
      <c r="AG3" s="35" t="s">
        <v>16</v>
      </c>
      <c r="AH3" s="35">
        <v>17.0</v>
      </c>
      <c r="AI3" s="35" t="s">
        <v>16</v>
      </c>
      <c r="AJ3" s="35">
        <v>19.0</v>
      </c>
      <c r="AK3" s="35" t="s">
        <v>71</v>
      </c>
      <c r="AL3" s="35">
        <v>21.0</v>
      </c>
      <c r="AM3" s="35" t="s">
        <v>16</v>
      </c>
      <c r="AN3" s="35">
        <v>25.0</v>
      </c>
      <c r="AO3" s="35" t="s">
        <v>16</v>
      </c>
      <c r="AP3" s="35">
        <v>26.0</v>
      </c>
      <c r="AQ3" s="35" t="s">
        <v>16</v>
      </c>
      <c r="AR3" s="35">
        <v>12.0</v>
      </c>
      <c r="AS3" s="35" t="s">
        <v>16</v>
      </c>
      <c r="AT3" s="35">
        <v>12.0</v>
      </c>
      <c r="AU3" s="35" t="s">
        <v>16</v>
      </c>
      <c r="AV3" s="35">
        <v>20.0</v>
      </c>
    </row>
    <row r="4">
      <c r="A4" s="8"/>
      <c r="B4" s="8"/>
      <c r="C4" s="35" t="s">
        <v>23</v>
      </c>
      <c r="D4" s="35">
        <v>5.0</v>
      </c>
      <c r="E4" s="35" t="s">
        <v>23</v>
      </c>
      <c r="F4" s="35">
        <v>4.0</v>
      </c>
      <c r="G4" s="35" t="s">
        <v>23</v>
      </c>
      <c r="H4" s="35">
        <v>5.0</v>
      </c>
      <c r="I4" s="35" t="s">
        <v>23</v>
      </c>
      <c r="J4" s="35">
        <v>6.0</v>
      </c>
      <c r="K4" s="35" t="s">
        <v>23</v>
      </c>
      <c r="L4" s="35">
        <v>8.0</v>
      </c>
      <c r="M4" s="8"/>
      <c r="N4" s="8"/>
      <c r="O4" s="35" t="s">
        <v>23</v>
      </c>
      <c r="P4" s="35">
        <v>5.0</v>
      </c>
      <c r="Q4" s="35" t="s">
        <v>23</v>
      </c>
      <c r="R4" s="35">
        <v>5.0</v>
      </c>
      <c r="S4" s="35" t="s">
        <v>23</v>
      </c>
      <c r="T4" s="35">
        <v>4.0</v>
      </c>
      <c r="U4" s="35" t="s">
        <v>23</v>
      </c>
      <c r="V4" s="35">
        <v>4.0</v>
      </c>
      <c r="W4" s="35" t="s">
        <v>23</v>
      </c>
      <c r="X4" s="35">
        <v>4.0</v>
      </c>
      <c r="Y4" s="8"/>
      <c r="Z4" s="8"/>
      <c r="AA4" s="35" t="s">
        <v>23</v>
      </c>
      <c r="AB4" s="35">
        <v>4.0</v>
      </c>
      <c r="AC4" s="35" t="s">
        <v>23</v>
      </c>
      <c r="AD4" s="35">
        <v>3.0</v>
      </c>
      <c r="AE4" s="35" t="s">
        <v>23</v>
      </c>
      <c r="AF4" s="35">
        <v>5.0</v>
      </c>
      <c r="AG4" s="35" t="s">
        <v>23</v>
      </c>
      <c r="AH4" s="35">
        <v>5.0</v>
      </c>
      <c r="AI4" s="35" t="s">
        <v>23</v>
      </c>
      <c r="AJ4" s="35">
        <v>8.0</v>
      </c>
      <c r="AK4" s="35"/>
      <c r="AL4" s="35"/>
      <c r="AM4" s="35" t="s">
        <v>23</v>
      </c>
      <c r="AN4" s="35">
        <v>4.0</v>
      </c>
      <c r="AO4" s="35" t="s">
        <v>23</v>
      </c>
      <c r="AP4" s="35">
        <v>2.0</v>
      </c>
      <c r="AQ4" s="35" t="s">
        <v>23</v>
      </c>
      <c r="AR4" s="35">
        <v>5.0</v>
      </c>
      <c r="AS4" s="35" t="s">
        <v>23</v>
      </c>
      <c r="AT4" s="35">
        <v>14.0</v>
      </c>
      <c r="AU4" s="35" t="s">
        <v>23</v>
      </c>
      <c r="AV4" s="35">
        <v>2.0</v>
      </c>
    </row>
    <row r="5">
      <c r="A5" s="8"/>
      <c r="B5" s="69">
        <v>62.0</v>
      </c>
      <c r="C5" s="35" t="s">
        <v>47</v>
      </c>
      <c r="D5" s="35">
        <v>7.0</v>
      </c>
      <c r="E5" s="35" t="s">
        <v>47</v>
      </c>
      <c r="F5" s="35">
        <v>6.0</v>
      </c>
      <c r="G5" s="35" t="s">
        <v>47</v>
      </c>
      <c r="H5" s="35">
        <v>11.0</v>
      </c>
      <c r="I5" s="35" t="s">
        <v>47</v>
      </c>
      <c r="J5" s="35">
        <v>9.0</v>
      </c>
      <c r="K5" s="35" t="s">
        <v>47</v>
      </c>
      <c r="L5" s="35">
        <v>10.0</v>
      </c>
      <c r="M5" s="8"/>
      <c r="N5" s="69">
        <v>62.0</v>
      </c>
      <c r="O5" s="35" t="s">
        <v>47</v>
      </c>
      <c r="P5" s="35">
        <v>4.0</v>
      </c>
      <c r="Q5" s="35" t="s">
        <v>47</v>
      </c>
      <c r="R5" s="35">
        <v>3.0</v>
      </c>
      <c r="S5" s="35" t="s">
        <v>47</v>
      </c>
      <c r="T5" s="35">
        <v>12.0</v>
      </c>
      <c r="U5" s="35" t="s">
        <v>47</v>
      </c>
      <c r="V5" s="35">
        <v>9.0</v>
      </c>
      <c r="W5" s="35" t="s">
        <v>47</v>
      </c>
      <c r="X5" s="35">
        <v>10.0</v>
      </c>
      <c r="Y5" s="8"/>
      <c r="Z5" s="69">
        <v>65.0</v>
      </c>
      <c r="AA5" s="35" t="s">
        <v>47</v>
      </c>
      <c r="AB5" s="35">
        <v>6.0</v>
      </c>
      <c r="AC5" s="35" t="s">
        <v>47</v>
      </c>
      <c r="AD5" s="35">
        <v>4.0</v>
      </c>
      <c r="AE5" s="35" t="s">
        <v>47</v>
      </c>
      <c r="AF5" s="35">
        <v>11.0</v>
      </c>
      <c r="AG5" s="35" t="s">
        <v>47</v>
      </c>
      <c r="AH5" s="35">
        <v>6.0</v>
      </c>
      <c r="AI5" s="35" t="s">
        <v>47</v>
      </c>
      <c r="AJ5" s="35">
        <v>9.0</v>
      </c>
      <c r="AK5" s="35"/>
      <c r="AL5" s="72">
        <v>61.0</v>
      </c>
      <c r="AM5" s="35" t="s">
        <v>47</v>
      </c>
      <c r="AN5" s="35">
        <v>8.0</v>
      </c>
      <c r="AO5" s="35" t="s">
        <v>47</v>
      </c>
      <c r="AP5" s="35">
        <v>9.0</v>
      </c>
      <c r="AQ5" s="35" t="s">
        <v>47</v>
      </c>
      <c r="AR5" s="35">
        <v>12.0</v>
      </c>
      <c r="AS5" s="35" t="s">
        <v>47</v>
      </c>
      <c r="AT5" s="35">
        <v>6.0</v>
      </c>
      <c r="AU5" s="35" t="s">
        <v>47</v>
      </c>
      <c r="AV5" s="35">
        <v>11.0</v>
      </c>
    </row>
    <row r="6">
      <c r="A6" s="8"/>
      <c r="B6" s="8"/>
      <c r="C6" s="35" t="s">
        <v>55</v>
      </c>
      <c r="D6" s="35">
        <v>12.0</v>
      </c>
      <c r="E6" s="35" t="s">
        <v>55</v>
      </c>
      <c r="F6" s="35">
        <v>10.0</v>
      </c>
      <c r="G6" s="35" t="s">
        <v>55</v>
      </c>
      <c r="H6" s="35">
        <v>8.0</v>
      </c>
      <c r="I6" s="35" t="s">
        <v>55</v>
      </c>
      <c r="J6" s="35">
        <v>13.0</v>
      </c>
      <c r="K6" s="35" t="s">
        <v>55</v>
      </c>
      <c r="L6" s="35">
        <v>16.0</v>
      </c>
      <c r="M6" s="8"/>
      <c r="N6" s="8"/>
      <c r="O6" s="35" t="s">
        <v>55</v>
      </c>
      <c r="P6" s="35">
        <v>8.0</v>
      </c>
      <c r="Q6" s="35" t="s">
        <v>55</v>
      </c>
      <c r="R6" s="35">
        <v>10.0</v>
      </c>
      <c r="S6" s="35" t="s">
        <v>55</v>
      </c>
      <c r="T6" s="35">
        <v>8.0</v>
      </c>
      <c r="U6" s="35" t="s">
        <v>55</v>
      </c>
      <c r="V6" s="35">
        <v>17.0</v>
      </c>
      <c r="W6" s="35" t="s">
        <v>55</v>
      </c>
      <c r="X6" s="35">
        <v>18.0</v>
      </c>
      <c r="Y6" s="8"/>
      <c r="Z6" s="8"/>
      <c r="AA6" s="35" t="s">
        <v>55</v>
      </c>
      <c r="AB6" s="35">
        <v>12.0</v>
      </c>
      <c r="AC6" s="35" t="s">
        <v>55</v>
      </c>
      <c r="AD6" s="35">
        <v>15.0</v>
      </c>
      <c r="AE6" s="35" t="s">
        <v>55</v>
      </c>
      <c r="AF6" s="35">
        <v>12.0</v>
      </c>
      <c r="AG6" s="35" t="s">
        <v>55</v>
      </c>
      <c r="AH6" s="35">
        <v>20.0</v>
      </c>
      <c r="AI6" s="35" t="s">
        <v>55</v>
      </c>
      <c r="AJ6" s="35">
        <v>23.0</v>
      </c>
      <c r="AK6" s="35"/>
      <c r="AL6" s="35"/>
      <c r="AM6" s="35" t="s">
        <v>55</v>
      </c>
      <c r="AN6" s="35">
        <v>12.0</v>
      </c>
      <c r="AO6" s="35" t="s">
        <v>55</v>
      </c>
      <c r="AP6" s="35">
        <v>16.0</v>
      </c>
      <c r="AQ6" s="35" t="s">
        <v>55</v>
      </c>
      <c r="AR6" s="35">
        <v>8.0</v>
      </c>
      <c r="AS6" s="35" t="s">
        <v>55</v>
      </c>
      <c r="AT6" s="35">
        <v>19.0</v>
      </c>
      <c r="AU6" s="35" t="s">
        <v>55</v>
      </c>
      <c r="AV6" s="35">
        <v>19.0</v>
      </c>
    </row>
    <row r="7">
      <c r="A7" s="35" t="s">
        <v>66</v>
      </c>
      <c r="B7" s="35">
        <v>18.0</v>
      </c>
      <c r="C7" s="35" t="s">
        <v>57</v>
      </c>
      <c r="D7" s="35">
        <v>15.0</v>
      </c>
      <c r="E7" s="35" t="s">
        <v>57</v>
      </c>
      <c r="F7" s="35">
        <v>8.0</v>
      </c>
      <c r="G7" s="35" t="s">
        <v>57</v>
      </c>
      <c r="H7" s="35">
        <v>20.0</v>
      </c>
      <c r="I7" s="35" t="s">
        <v>57</v>
      </c>
      <c r="J7" s="35">
        <v>18.0</v>
      </c>
      <c r="K7" s="35" t="s">
        <v>57</v>
      </c>
      <c r="L7" s="35">
        <v>17.0</v>
      </c>
      <c r="M7" s="35" t="s">
        <v>66</v>
      </c>
      <c r="N7" s="35">
        <v>18.0</v>
      </c>
      <c r="O7" s="35" t="s">
        <v>57</v>
      </c>
      <c r="P7" s="35">
        <v>18.0</v>
      </c>
      <c r="Q7" s="35" t="s">
        <v>57</v>
      </c>
      <c r="R7" s="35">
        <v>10.0</v>
      </c>
      <c r="S7" s="35" t="s">
        <v>57</v>
      </c>
      <c r="T7" s="35">
        <v>14.0</v>
      </c>
      <c r="U7" s="35" t="s">
        <v>57</v>
      </c>
      <c r="V7" s="35">
        <v>12.0</v>
      </c>
      <c r="W7" s="35" t="s">
        <v>57</v>
      </c>
      <c r="X7" s="35">
        <v>15.0</v>
      </c>
      <c r="Y7" s="35" t="s">
        <v>66</v>
      </c>
      <c r="Z7" s="35">
        <v>18.0</v>
      </c>
      <c r="AA7" s="35" t="s">
        <v>57</v>
      </c>
      <c r="AB7" s="35">
        <v>12.0</v>
      </c>
      <c r="AC7" s="35" t="s">
        <v>57</v>
      </c>
      <c r="AD7" s="35">
        <v>9.0</v>
      </c>
      <c r="AE7" s="35" t="s">
        <v>57</v>
      </c>
      <c r="AF7" s="35">
        <v>18.0</v>
      </c>
      <c r="AG7" s="35" t="s">
        <v>57</v>
      </c>
      <c r="AH7" s="35">
        <v>16.0</v>
      </c>
      <c r="AI7" s="35" t="s">
        <v>57</v>
      </c>
      <c r="AJ7" s="35">
        <v>17.0</v>
      </c>
      <c r="AK7" s="35" t="s">
        <v>66</v>
      </c>
      <c r="AL7" s="35">
        <v>15.0</v>
      </c>
      <c r="AM7" s="35" t="s">
        <v>57</v>
      </c>
      <c r="AN7" s="35">
        <v>12.0</v>
      </c>
      <c r="AO7" s="35" t="s">
        <v>57</v>
      </c>
      <c r="AP7" s="35">
        <v>7.0</v>
      </c>
      <c r="AQ7" s="35" t="s">
        <v>57</v>
      </c>
      <c r="AR7" s="35">
        <v>19.0</v>
      </c>
      <c r="AS7" s="35" t="s">
        <v>57</v>
      </c>
      <c r="AT7" s="35">
        <v>14.0</v>
      </c>
      <c r="AU7" s="35" t="s">
        <v>57</v>
      </c>
      <c r="AV7" s="35">
        <v>15.0</v>
      </c>
    </row>
    <row r="8">
      <c r="A8" s="35" t="s">
        <v>76</v>
      </c>
      <c r="B8" s="35">
        <v>11.0</v>
      </c>
      <c r="C8" s="35" t="s">
        <v>5</v>
      </c>
      <c r="D8" s="35">
        <v>12.0</v>
      </c>
      <c r="E8" s="35" t="s">
        <v>62</v>
      </c>
      <c r="F8" s="35">
        <v>9.0</v>
      </c>
      <c r="G8" s="35" t="s">
        <v>62</v>
      </c>
      <c r="H8" s="35">
        <v>4.0</v>
      </c>
      <c r="I8" s="35" t="s">
        <v>62</v>
      </c>
      <c r="J8" s="35">
        <v>11.0</v>
      </c>
      <c r="K8" s="35" t="s">
        <v>62</v>
      </c>
      <c r="L8" s="35">
        <v>5.0</v>
      </c>
      <c r="M8" s="35" t="s">
        <v>76</v>
      </c>
      <c r="N8" s="35">
        <v>9.0</v>
      </c>
      <c r="O8" s="35" t="s">
        <v>62</v>
      </c>
      <c r="P8" s="35">
        <v>4.0</v>
      </c>
      <c r="Q8" s="35" t="s">
        <v>62</v>
      </c>
      <c r="R8" s="35">
        <v>10.0</v>
      </c>
      <c r="S8" s="35" t="s">
        <v>62</v>
      </c>
      <c r="T8" s="35">
        <v>8.0</v>
      </c>
      <c r="U8" s="35" t="s">
        <v>62</v>
      </c>
      <c r="V8" s="35">
        <v>8.0</v>
      </c>
      <c r="W8" s="35" t="s">
        <v>62</v>
      </c>
      <c r="X8" s="35">
        <v>6.0</v>
      </c>
      <c r="Y8" s="35" t="s">
        <v>76</v>
      </c>
      <c r="Z8" s="35">
        <v>10.0</v>
      </c>
      <c r="AA8" s="35" t="s">
        <v>62</v>
      </c>
      <c r="AB8" s="35">
        <v>1.0</v>
      </c>
      <c r="AC8" s="35" t="s">
        <v>62</v>
      </c>
      <c r="AD8" s="35">
        <v>5.0</v>
      </c>
      <c r="AE8" s="35" t="s">
        <v>62</v>
      </c>
      <c r="AF8" s="35">
        <v>3.0</v>
      </c>
      <c r="AG8" s="35" t="s">
        <v>62</v>
      </c>
      <c r="AH8" s="35">
        <v>4.0</v>
      </c>
      <c r="AI8" s="35" t="s">
        <v>62</v>
      </c>
      <c r="AJ8" s="35">
        <v>5.0</v>
      </c>
      <c r="AK8" s="35" t="s">
        <v>76</v>
      </c>
      <c r="AL8" s="35">
        <v>10.0</v>
      </c>
      <c r="AM8" s="35" t="s">
        <v>5</v>
      </c>
      <c r="AN8" s="35">
        <v>8.0</v>
      </c>
      <c r="AO8" s="35" t="s">
        <v>62</v>
      </c>
      <c r="AP8" s="35">
        <v>6.0</v>
      </c>
      <c r="AQ8" s="35" t="s">
        <v>62</v>
      </c>
      <c r="AR8" s="35">
        <v>4.0</v>
      </c>
      <c r="AS8" s="35" t="s">
        <v>62</v>
      </c>
      <c r="AT8" s="35">
        <v>7.0</v>
      </c>
      <c r="AU8" s="35" t="s">
        <v>62</v>
      </c>
      <c r="AV8" s="35">
        <v>4.0</v>
      </c>
    </row>
    <row r="9">
      <c r="A9" s="35" t="s">
        <v>100</v>
      </c>
      <c r="B9" s="35">
        <v>33.0</v>
      </c>
      <c r="C9" s="35" t="s">
        <v>32</v>
      </c>
      <c r="D9" s="35">
        <v>4.0</v>
      </c>
      <c r="E9" s="35" t="s">
        <v>5</v>
      </c>
      <c r="F9" s="35">
        <v>14.0</v>
      </c>
      <c r="G9" s="35" t="s">
        <v>5</v>
      </c>
      <c r="H9" s="35">
        <v>9.0</v>
      </c>
      <c r="I9" s="35" t="s">
        <v>5</v>
      </c>
      <c r="J9" s="35">
        <v>8.0</v>
      </c>
      <c r="K9" s="35" t="s">
        <v>5</v>
      </c>
      <c r="L9" s="35">
        <v>7.0</v>
      </c>
      <c r="M9" s="35" t="s">
        <v>100</v>
      </c>
      <c r="N9" s="35">
        <v>35.0</v>
      </c>
      <c r="O9" s="35" t="s">
        <v>5</v>
      </c>
      <c r="P9" s="35">
        <v>13.0</v>
      </c>
      <c r="Q9" s="35" t="s">
        <v>5</v>
      </c>
      <c r="R9" s="35">
        <v>16.0</v>
      </c>
      <c r="S9" s="35" t="s">
        <v>5</v>
      </c>
      <c r="T9" s="35">
        <v>12.0</v>
      </c>
      <c r="U9" s="35" t="s">
        <v>5</v>
      </c>
      <c r="V9" s="35">
        <v>7.0</v>
      </c>
      <c r="W9" s="35" t="s">
        <v>5</v>
      </c>
      <c r="X9" s="35">
        <v>7.0</v>
      </c>
      <c r="Y9" s="35" t="s">
        <v>100</v>
      </c>
      <c r="Z9" s="35">
        <v>37.0</v>
      </c>
      <c r="AA9" s="35" t="s">
        <v>5</v>
      </c>
      <c r="AB9" s="35">
        <v>15.0</v>
      </c>
      <c r="AC9" s="35" t="s">
        <v>5</v>
      </c>
      <c r="AD9" s="35">
        <v>15.0</v>
      </c>
      <c r="AE9" s="35" t="s">
        <v>5</v>
      </c>
      <c r="AF9" s="35">
        <v>7.0</v>
      </c>
      <c r="AG9" s="35" t="s">
        <v>5</v>
      </c>
      <c r="AH9" s="35">
        <v>7.0</v>
      </c>
      <c r="AI9" s="35" t="s">
        <v>5</v>
      </c>
      <c r="AJ9" s="35">
        <v>5.0</v>
      </c>
      <c r="AK9" s="35" t="s">
        <v>100</v>
      </c>
      <c r="AL9" s="35">
        <v>36.0</v>
      </c>
      <c r="AM9" s="35" t="s">
        <v>32</v>
      </c>
      <c r="AN9" s="35">
        <v>9.0</v>
      </c>
      <c r="AO9" s="35" t="s">
        <v>5</v>
      </c>
      <c r="AP9" s="35">
        <v>12.0</v>
      </c>
      <c r="AQ9" s="35" t="s">
        <v>5</v>
      </c>
      <c r="AR9" s="35">
        <v>8.0</v>
      </c>
      <c r="AS9" s="35" t="s">
        <v>5</v>
      </c>
      <c r="AT9" s="35">
        <v>8.0</v>
      </c>
      <c r="AU9" s="35" t="s">
        <v>5</v>
      </c>
      <c r="AV9" s="35">
        <v>10.0</v>
      </c>
    </row>
    <row r="10">
      <c r="A10" s="8"/>
      <c r="B10" s="8"/>
      <c r="C10" s="8"/>
      <c r="D10" s="8"/>
      <c r="E10" s="35" t="s">
        <v>32</v>
      </c>
      <c r="F10" s="35">
        <v>8.0</v>
      </c>
      <c r="G10" s="35" t="s">
        <v>32</v>
      </c>
      <c r="H10" s="35">
        <v>7.0</v>
      </c>
      <c r="I10" s="35" t="s">
        <v>32</v>
      </c>
      <c r="J10" s="35">
        <v>6.0</v>
      </c>
      <c r="K10" s="35" t="s">
        <v>32</v>
      </c>
      <c r="L10" s="35">
        <v>8.0</v>
      </c>
      <c r="M10" s="8"/>
      <c r="N10" s="8"/>
      <c r="O10" s="35" t="s">
        <v>32</v>
      </c>
      <c r="P10" s="35">
        <v>5.0</v>
      </c>
      <c r="Q10" s="35" t="s">
        <v>32</v>
      </c>
      <c r="R10" s="35">
        <v>9.0</v>
      </c>
      <c r="S10" s="35" t="s">
        <v>32</v>
      </c>
      <c r="T10" s="35">
        <v>6.0</v>
      </c>
      <c r="U10" s="35" t="s">
        <v>32</v>
      </c>
      <c r="V10" s="35">
        <v>7.0</v>
      </c>
      <c r="W10" s="35" t="s">
        <v>32</v>
      </c>
      <c r="X10" s="35">
        <v>5.0</v>
      </c>
      <c r="Y10" s="8"/>
      <c r="Z10" s="8"/>
      <c r="AA10" s="35" t="s">
        <v>32</v>
      </c>
      <c r="AB10" s="35">
        <v>5.0</v>
      </c>
      <c r="AC10" s="35" t="s">
        <v>32</v>
      </c>
      <c r="AD10" s="35">
        <v>8.0</v>
      </c>
      <c r="AE10" s="35" t="s">
        <v>32</v>
      </c>
      <c r="AF10" s="35">
        <v>10.0</v>
      </c>
      <c r="AG10" s="35" t="s">
        <v>32</v>
      </c>
      <c r="AH10" s="35">
        <v>9.0</v>
      </c>
      <c r="AI10" s="35" t="s">
        <v>32</v>
      </c>
      <c r="AJ10" s="35">
        <v>4.0</v>
      </c>
      <c r="AK10" s="35"/>
      <c r="AL10" s="35"/>
      <c r="AM10" s="35"/>
      <c r="AN10" s="35"/>
      <c r="AO10" s="35" t="s">
        <v>32</v>
      </c>
      <c r="AP10" s="35">
        <v>10.0</v>
      </c>
      <c r="AQ10" s="35" t="s">
        <v>32</v>
      </c>
      <c r="AR10" s="35">
        <v>13.0</v>
      </c>
      <c r="AS10" s="35" t="s">
        <v>32</v>
      </c>
      <c r="AT10" s="35">
        <v>12.0</v>
      </c>
      <c r="AU10" s="35" t="s">
        <v>32</v>
      </c>
      <c r="AV10" s="35">
        <v>9.0</v>
      </c>
    </row>
    <row r="11">
      <c r="A11" s="8"/>
      <c r="B11" s="69">
        <v>62.0</v>
      </c>
      <c r="C11" s="8"/>
      <c r="D11" s="69">
        <v>81.0</v>
      </c>
      <c r="E11" s="8"/>
      <c r="F11" s="8"/>
      <c r="G11" s="8"/>
      <c r="H11" s="8"/>
      <c r="I11" s="8"/>
      <c r="J11" s="8"/>
      <c r="K11" s="8"/>
      <c r="L11" s="8"/>
      <c r="M11" s="8"/>
      <c r="N11" s="69">
        <v>62.0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69">
        <v>65.0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69">
        <v>61.0</v>
      </c>
      <c r="AM11" s="69"/>
      <c r="AN11" s="69">
        <v>82.0</v>
      </c>
      <c r="AO11" s="69"/>
      <c r="AP11" s="69"/>
      <c r="AQ11" s="69"/>
      <c r="AR11" s="69"/>
      <c r="AS11" s="69"/>
      <c r="AT11" s="69"/>
      <c r="AU11" s="69"/>
      <c r="AV11" s="69"/>
    </row>
    <row r="12">
      <c r="C12" s="8"/>
      <c r="D12" s="8"/>
      <c r="E12" s="8"/>
      <c r="F12" s="69">
        <v>84.0</v>
      </c>
      <c r="G12" s="8"/>
      <c r="H12" s="69">
        <v>74.0</v>
      </c>
      <c r="I12" s="8"/>
      <c r="J12" s="69">
        <v>91.0</v>
      </c>
      <c r="K12" s="8"/>
      <c r="L12" s="69">
        <v>93.0</v>
      </c>
      <c r="O12" s="8"/>
      <c r="P12" s="69">
        <v>84.0</v>
      </c>
      <c r="Q12" s="8"/>
      <c r="R12" s="69">
        <v>87.0</v>
      </c>
      <c r="S12" s="8"/>
      <c r="T12" s="69">
        <v>78.0</v>
      </c>
      <c r="U12" s="8"/>
      <c r="V12" s="69">
        <v>89.0</v>
      </c>
      <c r="W12" s="8"/>
      <c r="X12" s="69">
        <v>94.0</v>
      </c>
      <c r="AA12" s="8"/>
      <c r="AB12" s="69">
        <v>82.0</v>
      </c>
      <c r="AC12" s="69"/>
      <c r="AD12" s="69">
        <v>85.0</v>
      </c>
      <c r="AE12" s="69"/>
      <c r="AF12" s="69">
        <v>78.0</v>
      </c>
      <c r="AG12" s="69"/>
      <c r="AH12" s="69">
        <v>89.0</v>
      </c>
      <c r="AI12" s="69"/>
      <c r="AJ12" s="69">
        <v>96.0</v>
      </c>
      <c r="AK12" s="92"/>
      <c r="AL12" s="92"/>
      <c r="AM12" s="69"/>
      <c r="AN12" s="69"/>
      <c r="AO12" s="69"/>
      <c r="AP12" s="69">
        <v>97.0</v>
      </c>
      <c r="AQ12" s="69"/>
      <c r="AR12" s="69">
        <v>86.0</v>
      </c>
      <c r="AS12" s="69"/>
      <c r="AT12" s="69">
        <v>99.0</v>
      </c>
      <c r="AU12" s="69"/>
      <c r="AV12" s="69">
        <v>99.0</v>
      </c>
    </row>
    <row r="13">
      <c r="C13" s="35" t="s">
        <v>78</v>
      </c>
      <c r="D13" s="35">
        <v>10.0</v>
      </c>
      <c r="E13" s="8"/>
      <c r="F13" s="8"/>
      <c r="G13" s="8"/>
      <c r="H13" s="8"/>
      <c r="I13" s="8"/>
      <c r="J13" s="8"/>
      <c r="K13" s="8"/>
      <c r="L13" s="8"/>
      <c r="O13" s="8"/>
      <c r="P13" s="8"/>
      <c r="Q13" s="8"/>
      <c r="R13" s="8"/>
      <c r="S13" s="8"/>
      <c r="T13" s="8"/>
      <c r="U13" s="8"/>
      <c r="V13" s="8"/>
      <c r="W13" s="8"/>
      <c r="X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3"/>
      <c r="AL13" s="93"/>
      <c r="AM13" s="35" t="s">
        <v>78</v>
      </c>
      <c r="AN13" s="35">
        <v>16.0</v>
      </c>
      <c r="AO13" s="35"/>
      <c r="AP13" s="35"/>
      <c r="AQ13" s="35"/>
      <c r="AR13" s="35"/>
      <c r="AS13" s="35"/>
      <c r="AT13" s="35"/>
      <c r="AU13" s="35"/>
      <c r="AV13" s="35"/>
    </row>
    <row r="14">
      <c r="C14" s="35" t="s">
        <v>87</v>
      </c>
      <c r="D14" s="35">
        <v>25.0</v>
      </c>
      <c r="E14" s="35" t="s">
        <v>78</v>
      </c>
      <c r="F14" s="35">
        <v>21.0</v>
      </c>
      <c r="G14" s="35" t="s">
        <v>78</v>
      </c>
      <c r="H14" s="35">
        <v>5.0</v>
      </c>
      <c r="I14" s="35" t="s">
        <v>78</v>
      </c>
      <c r="J14" s="35">
        <v>8.0</v>
      </c>
      <c r="K14" s="35" t="s">
        <v>78</v>
      </c>
      <c r="L14" s="35">
        <v>12.0</v>
      </c>
      <c r="O14" s="35" t="s">
        <v>78</v>
      </c>
      <c r="P14" s="35">
        <v>16.0</v>
      </c>
      <c r="Q14" s="35" t="s">
        <v>78</v>
      </c>
      <c r="R14" s="35">
        <v>22.0</v>
      </c>
      <c r="S14" s="35" t="s">
        <v>78</v>
      </c>
      <c r="T14" s="35">
        <v>10.0</v>
      </c>
      <c r="U14" s="35" t="s">
        <v>78</v>
      </c>
      <c r="V14" s="35">
        <v>6.0</v>
      </c>
      <c r="W14" s="35" t="s">
        <v>78</v>
      </c>
      <c r="X14" s="35">
        <v>10.0</v>
      </c>
      <c r="AA14" s="35" t="s">
        <v>78</v>
      </c>
      <c r="AB14" s="35">
        <v>17.0</v>
      </c>
      <c r="AC14" s="35" t="s">
        <v>78</v>
      </c>
      <c r="AD14" s="35">
        <v>24.0</v>
      </c>
      <c r="AE14" s="35" t="s">
        <v>78</v>
      </c>
      <c r="AF14" s="35">
        <v>9.0</v>
      </c>
      <c r="AG14" s="35" t="s">
        <v>78</v>
      </c>
      <c r="AH14" s="35">
        <v>10.0</v>
      </c>
      <c r="AI14" s="35" t="s">
        <v>78</v>
      </c>
      <c r="AJ14" s="35">
        <v>17.0</v>
      </c>
      <c r="AK14" s="95"/>
      <c r="AL14" s="95"/>
      <c r="AM14" s="35" t="s">
        <v>87</v>
      </c>
      <c r="AN14" s="35">
        <v>17.0</v>
      </c>
      <c r="AO14" s="35" t="s">
        <v>78</v>
      </c>
      <c r="AP14" s="35">
        <v>22.0</v>
      </c>
      <c r="AQ14" s="35" t="s">
        <v>78</v>
      </c>
      <c r="AR14" s="35">
        <v>13.0</v>
      </c>
      <c r="AS14" s="35" t="s">
        <v>78</v>
      </c>
      <c r="AT14" s="35">
        <v>14.0</v>
      </c>
      <c r="AU14" s="35" t="s">
        <v>78</v>
      </c>
      <c r="AV14" s="35">
        <v>14.0</v>
      </c>
    </row>
    <row r="15">
      <c r="C15" s="35" t="s">
        <v>65</v>
      </c>
      <c r="D15" s="35">
        <v>19.0</v>
      </c>
      <c r="E15" s="35" t="s">
        <v>87</v>
      </c>
      <c r="F15" s="35">
        <v>24.0</v>
      </c>
      <c r="G15" s="35" t="s">
        <v>87</v>
      </c>
      <c r="H15" s="35">
        <v>20.0</v>
      </c>
      <c r="I15" s="35" t="s">
        <v>87</v>
      </c>
      <c r="J15" s="35">
        <v>18.0</v>
      </c>
      <c r="K15" s="35" t="s">
        <v>87</v>
      </c>
      <c r="L15" s="35">
        <v>22.0</v>
      </c>
      <c r="O15" s="35" t="s">
        <v>87</v>
      </c>
      <c r="P15" s="35">
        <v>23.0</v>
      </c>
      <c r="Q15" s="35" t="s">
        <v>87</v>
      </c>
      <c r="R15" s="35">
        <v>27.0</v>
      </c>
      <c r="S15" s="35" t="s">
        <v>87</v>
      </c>
      <c r="T15" s="35">
        <v>21.0</v>
      </c>
      <c r="U15" s="35" t="s">
        <v>87</v>
      </c>
      <c r="V15" s="35">
        <v>26.0</v>
      </c>
      <c r="W15" s="35" t="s">
        <v>87</v>
      </c>
      <c r="X15" s="35">
        <v>23.0</v>
      </c>
      <c r="AA15" s="35" t="s">
        <v>87</v>
      </c>
      <c r="AB15" s="35">
        <v>22.0</v>
      </c>
      <c r="AC15" s="35" t="s">
        <v>87</v>
      </c>
      <c r="AD15" s="35">
        <v>25.0</v>
      </c>
      <c r="AE15" s="35" t="s">
        <v>87</v>
      </c>
      <c r="AF15" s="35">
        <v>21.0</v>
      </c>
      <c r="AG15" s="35" t="s">
        <v>87</v>
      </c>
      <c r="AH15" s="35">
        <v>25.0</v>
      </c>
      <c r="AI15" s="35" t="s">
        <v>87</v>
      </c>
      <c r="AJ15" s="35">
        <v>23.0</v>
      </c>
      <c r="AK15" s="95"/>
      <c r="AL15" s="95"/>
      <c r="AM15" s="35" t="s">
        <v>65</v>
      </c>
      <c r="AN15" s="35">
        <v>17.0</v>
      </c>
      <c r="AO15" s="35" t="s">
        <v>87</v>
      </c>
      <c r="AP15" s="72">
        <v>31.0</v>
      </c>
      <c r="AQ15" s="35" t="s">
        <v>87</v>
      </c>
      <c r="AR15" s="35">
        <v>16.0</v>
      </c>
      <c r="AS15" s="35" t="s">
        <v>87</v>
      </c>
      <c r="AT15" s="35">
        <v>22.0</v>
      </c>
      <c r="AU15" s="35" t="s">
        <v>87</v>
      </c>
      <c r="AV15" s="35">
        <v>22.0</v>
      </c>
    </row>
    <row r="16">
      <c r="C16" s="35" t="s">
        <v>85</v>
      </c>
      <c r="D16" s="35">
        <v>8.0</v>
      </c>
      <c r="E16" s="35" t="s">
        <v>65</v>
      </c>
      <c r="F16" s="35">
        <v>15.0</v>
      </c>
      <c r="G16" s="35" t="s">
        <v>65</v>
      </c>
      <c r="H16" s="35">
        <v>12.0</v>
      </c>
      <c r="I16" s="35" t="s">
        <v>65</v>
      </c>
      <c r="J16" s="35">
        <v>13.0</v>
      </c>
      <c r="K16" s="35" t="s">
        <v>65</v>
      </c>
      <c r="L16" s="35">
        <v>23.0</v>
      </c>
      <c r="O16" s="35" t="s">
        <v>65</v>
      </c>
      <c r="P16" s="35">
        <v>16.0</v>
      </c>
      <c r="Q16" s="35" t="s">
        <v>65</v>
      </c>
      <c r="R16" s="35">
        <v>8.0</v>
      </c>
      <c r="S16" s="35" t="s">
        <v>65</v>
      </c>
      <c r="T16" s="35">
        <v>16.0</v>
      </c>
      <c r="U16" s="35" t="s">
        <v>65</v>
      </c>
      <c r="V16" s="35">
        <v>10.0</v>
      </c>
      <c r="W16" s="35" t="s">
        <v>65</v>
      </c>
      <c r="X16" s="35">
        <v>21.0</v>
      </c>
      <c r="AA16" s="35" t="s">
        <v>65</v>
      </c>
      <c r="AB16" s="35">
        <v>16.0</v>
      </c>
      <c r="AC16" s="35" t="s">
        <v>65</v>
      </c>
      <c r="AD16" s="35">
        <v>8.0</v>
      </c>
      <c r="AE16" s="35" t="s">
        <v>65</v>
      </c>
      <c r="AF16" s="35">
        <v>12.0</v>
      </c>
      <c r="AG16" s="35" t="s">
        <v>65</v>
      </c>
      <c r="AH16" s="35">
        <v>13.0</v>
      </c>
      <c r="AI16" s="35" t="s">
        <v>65</v>
      </c>
      <c r="AJ16" s="35">
        <v>22.0</v>
      </c>
      <c r="AK16" s="95"/>
      <c r="AL16" s="95"/>
      <c r="AM16" s="35" t="s">
        <v>85</v>
      </c>
      <c r="AN16" s="35">
        <v>10.0</v>
      </c>
      <c r="AO16" s="35" t="s">
        <v>65</v>
      </c>
      <c r="AP16" s="35">
        <v>9.0</v>
      </c>
      <c r="AQ16" s="35" t="s">
        <v>65</v>
      </c>
      <c r="AR16" s="35">
        <v>15.0</v>
      </c>
      <c r="AS16" s="35" t="s">
        <v>65</v>
      </c>
      <c r="AT16" s="35">
        <v>16.0</v>
      </c>
      <c r="AU16" s="35" t="s">
        <v>65</v>
      </c>
      <c r="AV16" s="35">
        <v>23.0</v>
      </c>
    </row>
    <row r="17">
      <c r="C17" s="35" t="s">
        <v>105</v>
      </c>
      <c r="D17" s="35">
        <v>9.0</v>
      </c>
      <c r="E17" s="35" t="s">
        <v>85</v>
      </c>
      <c r="F17" s="35">
        <v>7.0</v>
      </c>
      <c r="G17" s="35" t="s">
        <v>85</v>
      </c>
      <c r="H17" s="35">
        <v>4.0</v>
      </c>
      <c r="I17" s="35" t="s">
        <v>85</v>
      </c>
      <c r="J17" s="35">
        <v>10.0</v>
      </c>
      <c r="K17" s="35" t="s">
        <v>85</v>
      </c>
      <c r="L17" s="35">
        <v>7.0</v>
      </c>
      <c r="O17" s="35" t="s">
        <v>85</v>
      </c>
      <c r="P17" s="35">
        <v>12.0</v>
      </c>
      <c r="Q17" s="35" t="s">
        <v>85</v>
      </c>
      <c r="R17" s="35">
        <v>7.0</v>
      </c>
      <c r="S17" s="35" t="s">
        <v>85</v>
      </c>
      <c r="T17" s="35">
        <v>6.0</v>
      </c>
      <c r="U17" s="35" t="s">
        <v>85</v>
      </c>
      <c r="V17" s="35">
        <v>3.0</v>
      </c>
      <c r="W17" s="35" t="s">
        <v>85</v>
      </c>
      <c r="X17" s="35">
        <v>10.0</v>
      </c>
      <c r="AA17" s="35" t="s">
        <v>85</v>
      </c>
      <c r="AB17" s="35">
        <v>5.0</v>
      </c>
      <c r="AC17" s="35" t="s">
        <v>85</v>
      </c>
      <c r="AD17" s="35">
        <v>6.0</v>
      </c>
      <c r="AE17" s="35" t="s">
        <v>85</v>
      </c>
      <c r="AF17" s="35">
        <v>7.0</v>
      </c>
      <c r="AG17" s="35" t="s">
        <v>85</v>
      </c>
      <c r="AH17" s="35">
        <v>5.0</v>
      </c>
      <c r="AI17" s="35" t="s">
        <v>85</v>
      </c>
      <c r="AJ17" s="35">
        <v>9.0</v>
      </c>
      <c r="AK17" s="95"/>
      <c r="AL17" s="95"/>
      <c r="AM17" s="35" t="s">
        <v>105</v>
      </c>
      <c r="AN17" s="35">
        <v>14.0</v>
      </c>
      <c r="AO17" s="35" t="s">
        <v>85</v>
      </c>
      <c r="AP17" s="35">
        <v>9.0</v>
      </c>
      <c r="AQ17" s="35" t="s">
        <v>85</v>
      </c>
      <c r="AR17" s="35">
        <v>11.0</v>
      </c>
      <c r="AS17" s="35" t="s">
        <v>85</v>
      </c>
      <c r="AT17" s="35">
        <v>7.0</v>
      </c>
      <c r="AU17" s="35" t="s">
        <v>85</v>
      </c>
      <c r="AV17" s="35">
        <v>9.0</v>
      </c>
    </row>
    <row r="18">
      <c r="C18" s="35" t="s">
        <v>95</v>
      </c>
      <c r="D18" s="35">
        <v>5.0</v>
      </c>
      <c r="E18" s="35" t="s">
        <v>105</v>
      </c>
      <c r="F18" s="35">
        <v>10.0</v>
      </c>
      <c r="G18" s="35" t="s">
        <v>105</v>
      </c>
      <c r="H18" s="35">
        <v>17.0</v>
      </c>
      <c r="I18" s="35" t="s">
        <v>105</v>
      </c>
      <c r="J18" s="35">
        <v>20.0</v>
      </c>
      <c r="K18" s="35" t="s">
        <v>105</v>
      </c>
      <c r="L18" s="35">
        <v>14.0</v>
      </c>
      <c r="O18" s="35" t="s">
        <v>105</v>
      </c>
      <c r="P18" s="35">
        <v>11.0</v>
      </c>
      <c r="Q18" s="35" t="s">
        <v>105</v>
      </c>
      <c r="R18" s="35">
        <v>12.0</v>
      </c>
      <c r="S18" s="35" t="s">
        <v>105</v>
      </c>
      <c r="T18" s="35">
        <v>13.0</v>
      </c>
      <c r="U18" s="35" t="s">
        <v>105</v>
      </c>
      <c r="V18" s="35">
        <v>20.0</v>
      </c>
      <c r="W18" s="35" t="s">
        <v>105</v>
      </c>
      <c r="X18" s="35">
        <v>19.0</v>
      </c>
      <c r="AA18" s="35" t="s">
        <v>105</v>
      </c>
      <c r="AB18" s="35">
        <v>14.0</v>
      </c>
      <c r="AC18" s="35" t="s">
        <v>105</v>
      </c>
      <c r="AD18" s="35">
        <v>12.0</v>
      </c>
      <c r="AE18" s="35" t="s">
        <v>105</v>
      </c>
      <c r="AF18" s="35">
        <v>15.0</v>
      </c>
      <c r="AG18" s="35" t="s">
        <v>105</v>
      </c>
      <c r="AH18" s="35">
        <v>19.0</v>
      </c>
      <c r="AI18" s="35" t="s">
        <v>105</v>
      </c>
      <c r="AJ18" s="35">
        <v>16.0</v>
      </c>
      <c r="AK18" s="95"/>
      <c r="AL18" s="95"/>
      <c r="AM18" s="35" t="s">
        <v>95</v>
      </c>
      <c r="AN18" s="35">
        <v>3.0</v>
      </c>
      <c r="AO18" s="35" t="s">
        <v>105</v>
      </c>
      <c r="AP18" s="35">
        <v>10.0</v>
      </c>
      <c r="AQ18" s="35" t="s">
        <v>105</v>
      </c>
      <c r="AR18" s="35">
        <v>14.0</v>
      </c>
      <c r="AS18" s="35" t="s">
        <v>105</v>
      </c>
      <c r="AT18" s="35">
        <v>19.0</v>
      </c>
      <c r="AU18" s="35" t="s">
        <v>105</v>
      </c>
      <c r="AV18" s="35">
        <v>14.0</v>
      </c>
    </row>
    <row r="19">
      <c r="C19" s="35" t="s">
        <v>117</v>
      </c>
      <c r="D19" s="35">
        <v>4.0</v>
      </c>
      <c r="E19" s="35" t="s">
        <v>95</v>
      </c>
      <c r="F19" s="35">
        <v>3.0</v>
      </c>
      <c r="G19" s="35" t="s">
        <v>95</v>
      </c>
      <c r="H19" s="35">
        <v>4.0</v>
      </c>
      <c r="I19" s="35" t="s">
        <v>95</v>
      </c>
      <c r="J19" s="35">
        <v>8.0</v>
      </c>
      <c r="K19" s="35" t="s">
        <v>95</v>
      </c>
      <c r="L19" s="35">
        <v>4.0</v>
      </c>
      <c r="O19" s="35" t="s">
        <v>95</v>
      </c>
      <c r="P19" s="35">
        <v>3.0</v>
      </c>
      <c r="Q19" s="35" t="s">
        <v>95</v>
      </c>
      <c r="R19" s="35">
        <v>6.0</v>
      </c>
      <c r="S19" s="35" t="s">
        <v>95</v>
      </c>
      <c r="T19" s="35">
        <v>2.0</v>
      </c>
      <c r="U19" s="35" t="s">
        <v>95</v>
      </c>
      <c r="V19" s="35">
        <v>11.0</v>
      </c>
      <c r="W19" s="35" t="s">
        <v>95</v>
      </c>
      <c r="X19" s="35">
        <v>2.0</v>
      </c>
      <c r="AA19" s="35" t="s">
        <v>95</v>
      </c>
      <c r="AB19" s="35">
        <v>2.0</v>
      </c>
      <c r="AC19" s="35" t="s">
        <v>95</v>
      </c>
      <c r="AD19" s="35">
        <v>4.0</v>
      </c>
      <c r="AE19" s="35" t="s">
        <v>95</v>
      </c>
      <c r="AF19" s="35">
        <v>2.0</v>
      </c>
      <c r="AG19" s="35" t="s">
        <v>95</v>
      </c>
      <c r="AH19" s="35">
        <v>6.0</v>
      </c>
      <c r="AI19" s="35" t="s">
        <v>95</v>
      </c>
      <c r="AJ19" s="35">
        <v>5.0</v>
      </c>
      <c r="AK19" s="95"/>
      <c r="AL19" s="95"/>
      <c r="AM19" s="35" t="s">
        <v>117</v>
      </c>
      <c r="AN19" s="35">
        <v>4.0</v>
      </c>
      <c r="AO19" s="35" t="s">
        <v>95</v>
      </c>
      <c r="AP19" s="35">
        <v>8.0</v>
      </c>
      <c r="AQ19" s="35" t="s">
        <v>95</v>
      </c>
      <c r="AR19" s="35">
        <v>7.0</v>
      </c>
      <c r="AS19" s="35" t="s">
        <v>95</v>
      </c>
      <c r="AT19" s="35">
        <v>9.0</v>
      </c>
      <c r="AU19" s="35" t="s">
        <v>95</v>
      </c>
      <c r="AV19" s="35">
        <v>5.0</v>
      </c>
    </row>
    <row r="20">
      <c r="C20" s="8"/>
      <c r="D20" s="8"/>
      <c r="E20" s="35" t="s">
        <v>117</v>
      </c>
      <c r="F20" s="35">
        <v>4.0</v>
      </c>
      <c r="G20" s="35" t="s">
        <v>117</v>
      </c>
      <c r="H20" s="35">
        <v>9.0</v>
      </c>
      <c r="I20" s="35" t="s">
        <v>117</v>
      </c>
      <c r="J20" s="35">
        <v>13.0</v>
      </c>
      <c r="K20" s="35" t="s">
        <v>117</v>
      </c>
      <c r="L20" s="35">
        <v>12.0</v>
      </c>
      <c r="O20" s="35" t="s">
        <v>117</v>
      </c>
      <c r="P20" s="35">
        <v>3.0</v>
      </c>
      <c r="Q20" s="35" t="s">
        <v>117</v>
      </c>
      <c r="R20" s="35">
        <v>4.0</v>
      </c>
      <c r="S20" s="35" t="s">
        <v>117</v>
      </c>
      <c r="T20" s="35">
        <v>8.0</v>
      </c>
      <c r="U20" s="35" t="s">
        <v>117</v>
      </c>
      <c r="V20" s="35">
        <v>12.0</v>
      </c>
      <c r="W20" s="35" t="s">
        <v>117</v>
      </c>
      <c r="X20" s="35">
        <v>9.0</v>
      </c>
      <c r="AA20" s="35" t="s">
        <v>117</v>
      </c>
      <c r="AB20" s="35">
        <v>5.0</v>
      </c>
      <c r="AC20" s="35" t="s">
        <v>117</v>
      </c>
      <c r="AD20" s="35">
        <v>5.0</v>
      </c>
      <c r="AE20" s="35" t="s">
        <v>117</v>
      </c>
      <c r="AF20" s="35">
        <v>11.0</v>
      </c>
      <c r="AG20" s="35" t="s">
        <v>117</v>
      </c>
      <c r="AH20" s="35">
        <v>10.0</v>
      </c>
      <c r="AI20" s="35" t="s">
        <v>117</v>
      </c>
      <c r="AJ20" s="35">
        <v>4.0</v>
      </c>
      <c r="AK20" s="95"/>
      <c r="AL20" s="95"/>
      <c r="AM20" s="35"/>
      <c r="AN20" s="35"/>
      <c r="AO20" s="35" t="s">
        <v>117</v>
      </c>
      <c r="AP20" s="35">
        <v>7.0</v>
      </c>
      <c r="AQ20" s="35" t="s">
        <v>117</v>
      </c>
      <c r="AR20" s="35">
        <v>9.0</v>
      </c>
      <c r="AS20" s="35" t="s">
        <v>117</v>
      </c>
      <c r="AT20" s="35">
        <v>10.0</v>
      </c>
      <c r="AU20" s="35" t="s">
        <v>117</v>
      </c>
      <c r="AV20" s="35">
        <v>12.0</v>
      </c>
    </row>
    <row r="21">
      <c r="C21" s="8"/>
      <c r="D21" s="69">
        <v>80.0</v>
      </c>
      <c r="E21" s="8"/>
      <c r="F21" s="8"/>
      <c r="G21" s="8"/>
      <c r="H21" s="8"/>
      <c r="I21" s="8"/>
      <c r="J21" s="8"/>
      <c r="K21" s="8"/>
      <c r="L21" s="8"/>
      <c r="O21" s="8"/>
      <c r="P21" s="8"/>
      <c r="Q21" s="8"/>
      <c r="R21" s="8"/>
      <c r="S21" s="8"/>
      <c r="T21" s="8"/>
      <c r="U21" s="8"/>
      <c r="V21" s="8"/>
      <c r="W21" s="8"/>
      <c r="X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3"/>
      <c r="AL21" s="93"/>
      <c r="AM21" s="8"/>
      <c r="AN21" s="69">
        <v>81.0</v>
      </c>
      <c r="AO21" s="8"/>
      <c r="AP21" s="8"/>
      <c r="AQ21" s="8"/>
      <c r="AR21" s="8"/>
      <c r="AS21" s="8"/>
      <c r="AT21" s="8"/>
      <c r="AU21" s="8"/>
      <c r="AV21" s="8"/>
    </row>
    <row r="22">
      <c r="C22" s="8"/>
      <c r="D22" s="8"/>
      <c r="E22" s="8"/>
      <c r="F22" s="69">
        <v>84.0</v>
      </c>
      <c r="G22" s="8"/>
      <c r="H22" s="69">
        <v>71.0</v>
      </c>
      <c r="I22" s="8"/>
      <c r="J22" s="69">
        <v>90.0</v>
      </c>
      <c r="K22" s="8"/>
      <c r="L22" s="69">
        <v>94.0</v>
      </c>
      <c r="O22" s="8"/>
      <c r="P22" s="69">
        <v>84.0</v>
      </c>
      <c r="Q22" s="8"/>
      <c r="R22" s="69">
        <v>86.0</v>
      </c>
      <c r="S22" s="8"/>
      <c r="T22" s="69">
        <v>76.0</v>
      </c>
      <c r="U22" s="8"/>
      <c r="V22" s="69">
        <v>88.0</v>
      </c>
      <c r="W22" s="8"/>
      <c r="X22" s="69">
        <v>94.0</v>
      </c>
      <c r="AA22" s="8"/>
      <c r="AB22" s="69">
        <v>81.0</v>
      </c>
      <c r="AC22" s="69"/>
      <c r="AD22" s="69">
        <v>84.0</v>
      </c>
      <c r="AE22" s="69"/>
      <c r="AF22" s="69">
        <v>77.0</v>
      </c>
      <c r="AG22" s="69"/>
      <c r="AH22" s="69">
        <v>88.0</v>
      </c>
      <c r="AI22" s="69"/>
      <c r="AJ22" s="69">
        <v>96.0</v>
      </c>
      <c r="AK22" s="92"/>
      <c r="AL22" s="92"/>
      <c r="AM22" s="69"/>
      <c r="AN22" s="69"/>
      <c r="AO22" s="69"/>
      <c r="AP22" s="69">
        <v>96.0</v>
      </c>
      <c r="AQ22" s="69"/>
      <c r="AR22" s="69">
        <v>85.0</v>
      </c>
      <c r="AS22" s="69"/>
      <c r="AT22" s="69">
        <v>97.0</v>
      </c>
      <c r="AU22" s="69"/>
      <c r="AV22" s="69">
        <v>99.0</v>
      </c>
    </row>
    <row r="23">
      <c r="C23" s="35" t="s">
        <v>337</v>
      </c>
      <c r="D23" s="35">
        <v>1.0</v>
      </c>
      <c r="E23" s="8"/>
      <c r="F23" s="8"/>
      <c r="G23" s="8"/>
      <c r="H23" s="8"/>
      <c r="I23" s="8"/>
      <c r="J23" s="8"/>
      <c r="K23" s="8"/>
      <c r="L23" s="8"/>
      <c r="O23" s="8"/>
      <c r="P23" s="8"/>
      <c r="Q23" s="8"/>
      <c r="R23" s="8"/>
      <c r="S23" s="8"/>
      <c r="T23" s="8"/>
      <c r="U23" s="8"/>
      <c r="V23" s="8"/>
      <c r="W23" s="8"/>
      <c r="X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3"/>
      <c r="AL23" s="93"/>
      <c r="AM23" s="35" t="s">
        <v>336</v>
      </c>
      <c r="AN23" s="35">
        <v>1.0</v>
      </c>
      <c r="AO23" s="35"/>
      <c r="AP23" s="35"/>
      <c r="AQ23" s="35"/>
      <c r="AR23" s="35"/>
      <c r="AS23" s="35"/>
      <c r="AT23" s="35"/>
      <c r="AU23" s="35"/>
      <c r="AV23" s="35"/>
    </row>
    <row r="24">
      <c r="C24" s="35" t="s">
        <v>335</v>
      </c>
      <c r="D24" s="35">
        <v>3.0</v>
      </c>
      <c r="E24" s="35" t="s">
        <v>337</v>
      </c>
      <c r="F24" s="35">
        <v>1.0</v>
      </c>
      <c r="G24" s="35" t="s">
        <v>336</v>
      </c>
      <c r="H24" s="35">
        <v>1.0</v>
      </c>
      <c r="I24" s="35" t="s">
        <v>336</v>
      </c>
      <c r="J24" s="35">
        <v>2.0</v>
      </c>
      <c r="K24" s="35" t="s">
        <v>337</v>
      </c>
      <c r="L24" s="35">
        <v>2.0</v>
      </c>
      <c r="O24" s="35" t="s">
        <v>336</v>
      </c>
      <c r="P24" s="35">
        <v>1.0</v>
      </c>
      <c r="Q24" s="35" t="s">
        <v>336</v>
      </c>
      <c r="R24" s="35">
        <v>1.0</v>
      </c>
      <c r="S24" s="35" t="s">
        <v>335</v>
      </c>
      <c r="T24" s="35">
        <v>3.0</v>
      </c>
      <c r="U24" s="35" t="s">
        <v>336</v>
      </c>
      <c r="V24" s="35">
        <v>3.0</v>
      </c>
      <c r="W24" s="35" t="s">
        <v>337</v>
      </c>
      <c r="X24" s="35">
        <v>1.0</v>
      </c>
      <c r="AA24" s="35" t="s">
        <v>337</v>
      </c>
      <c r="AB24" s="35">
        <v>2.0</v>
      </c>
      <c r="AC24" s="35" t="s">
        <v>336</v>
      </c>
      <c r="AD24" s="35">
        <v>1.0</v>
      </c>
      <c r="AE24" s="35" t="s">
        <v>336</v>
      </c>
      <c r="AF24" s="35">
        <v>2.0</v>
      </c>
      <c r="AG24" s="35" t="s">
        <v>337</v>
      </c>
      <c r="AH24" s="35">
        <v>1.0</v>
      </c>
      <c r="AI24" s="35" t="s">
        <v>337</v>
      </c>
      <c r="AJ24" s="35">
        <v>1.0</v>
      </c>
      <c r="AK24" s="95"/>
      <c r="AL24" s="95"/>
      <c r="AM24" s="35" t="s">
        <v>337</v>
      </c>
      <c r="AN24" s="35">
        <v>1.0</v>
      </c>
      <c r="AO24" s="35" t="s">
        <v>336</v>
      </c>
      <c r="AP24" s="35">
        <v>1.0</v>
      </c>
      <c r="AQ24" s="35" t="s">
        <v>337</v>
      </c>
      <c r="AR24" s="35">
        <v>2.0</v>
      </c>
      <c r="AS24" s="35" t="s">
        <v>336</v>
      </c>
      <c r="AT24" s="35">
        <v>1.0</v>
      </c>
      <c r="AU24" s="35" t="s">
        <v>337</v>
      </c>
      <c r="AV24" s="35">
        <v>3.0</v>
      </c>
    </row>
    <row r="25">
      <c r="C25" s="35" t="s">
        <v>340</v>
      </c>
      <c r="D25" s="35">
        <v>4.0</v>
      </c>
      <c r="E25" s="35" t="s">
        <v>335</v>
      </c>
      <c r="F25" s="35">
        <v>1.0</v>
      </c>
      <c r="G25" s="35" t="s">
        <v>337</v>
      </c>
      <c r="H25" s="35">
        <v>2.0</v>
      </c>
      <c r="I25" s="35" t="s">
        <v>337</v>
      </c>
      <c r="J25" s="35">
        <v>1.0</v>
      </c>
      <c r="K25" s="35" t="s">
        <v>335</v>
      </c>
      <c r="L25" s="35">
        <v>5.0</v>
      </c>
      <c r="O25" s="35" t="s">
        <v>337</v>
      </c>
      <c r="P25" s="35">
        <v>3.0</v>
      </c>
      <c r="Q25" s="35" t="s">
        <v>337</v>
      </c>
      <c r="R25" s="35">
        <v>2.0</v>
      </c>
      <c r="S25" s="35" t="s">
        <v>340</v>
      </c>
      <c r="T25" s="35">
        <v>2.0</v>
      </c>
      <c r="U25" s="35" t="s">
        <v>337</v>
      </c>
      <c r="V25" s="35">
        <v>1.0</v>
      </c>
      <c r="W25" s="35" t="s">
        <v>335</v>
      </c>
      <c r="X25" s="35">
        <v>3.0</v>
      </c>
      <c r="AA25" s="35" t="s">
        <v>335</v>
      </c>
      <c r="AB25" s="35">
        <v>1.0</v>
      </c>
      <c r="AC25" s="35" t="s">
        <v>337</v>
      </c>
      <c r="AD25" s="35">
        <v>1.0</v>
      </c>
      <c r="AE25" s="35" t="s">
        <v>337</v>
      </c>
      <c r="AF25" s="35">
        <v>4.0</v>
      </c>
      <c r="AG25" s="35" t="s">
        <v>335</v>
      </c>
      <c r="AH25" s="35">
        <v>5.0</v>
      </c>
      <c r="AI25" s="35" t="s">
        <v>335</v>
      </c>
      <c r="AJ25" s="35">
        <v>3.0</v>
      </c>
      <c r="AK25" s="95"/>
      <c r="AL25" s="95"/>
      <c r="AM25" s="35" t="s">
        <v>335</v>
      </c>
      <c r="AN25" s="35">
        <v>3.0</v>
      </c>
      <c r="AO25" s="35" t="s">
        <v>337</v>
      </c>
      <c r="AP25" s="35">
        <v>1.0</v>
      </c>
      <c r="AQ25" s="35" t="s">
        <v>335</v>
      </c>
      <c r="AR25" s="35">
        <v>2.0</v>
      </c>
      <c r="AS25" s="35" t="s">
        <v>337</v>
      </c>
      <c r="AT25" s="35">
        <v>1.0</v>
      </c>
      <c r="AU25" s="35" t="s">
        <v>335</v>
      </c>
      <c r="AV25" s="35">
        <v>4.0</v>
      </c>
    </row>
    <row r="26">
      <c r="C26" s="35" t="s">
        <v>343</v>
      </c>
      <c r="D26" s="35">
        <v>4.0</v>
      </c>
      <c r="E26" s="35" t="s">
        <v>340</v>
      </c>
      <c r="F26" s="35">
        <v>2.0</v>
      </c>
      <c r="G26" s="35" t="s">
        <v>335</v>
      </c>
      <c r="H26" s="35">
        <v>4.0</v>
      </c>
      <c r="I26" s="35" t="s">
        <v>335</v>
      </c>
      <c r="J26" s="35">
        <v>4.0</v>
      </c>
      <c r="K26" s="35" t="s">
        <v>340</v>
      </c>
      <c r="L26" s="35">
        <v>1.0</v>
      </c>
      <c r="O26" s="35" t="s">
        <v>335</v>
      </c>
      <c r="P26" s="35">
        <v>2.0</v>
      </c>
      <c r="Q26" s="35" t="s">
        <v>335</v>
      </c>
      <c r="R26" s="35">
        <v>6.0</v>
      </c>
      <c r="S26" s="35" t="s">
        <v>343</v>
      </c>
      <c r="T26" s="35">
        <v>1.0</v>
      </c>
      <c r="U26" s="35" t="s">
        <v>335</v>
      </c>
      <c r="V26" s="35">
        <v>6.0</v>
      </c>
      <c r="W26" s="35" t="s">
        <v>340</v>
      </c>
      <c r="X26" s="35">
        <v>2.0</v>
      </c>
      <c r="AA26" s="35" t="s">
        <v>340</v>
      </c>
      <c r="AB26" s="35">
        <v>2.0</v>
      </c>
      <c r="AC26" s="35" t="s">
        <v>335</v>
      </c>
      <c r="AD26" s="35">
        <v>3.0</v>
      </c>
      <c r="AE26" s="35" t="s">
        <v>335</v>
      </c>
      <c r="AF26" s="35">
        <v>3.0</v>
      </c>
      <c r="AG26" s="35" t="s">
        <v>340</v>
      </c>
      <c r="AH26" s="35">
        <v>4.0</v>
      </c>
      <c r="AI26" s="35" t="s">
        <v>340</v>
      </c>
      <c r="AJ26" s="35">
        <v>1.0</v>
      </c>
      <c r="AK26" s="95"/>
      <c r="AL26" s="95"/>
      <c r="AM26" s="35" t="s">
        <v>340</v>
      </c>
      <c r="AN26" s="35">
        <v>2.0</v>
      </c>
      <c r="AO26" s="35" t="s">
        <v>335</v>
      </c>
      <c r="AP26" s="35">
        <v>5.0</v>
      </c>
      <c r="AQ26" s="35" t="s">
        <v>340</v>
      </c>
      <c r="AR26" s="35">
        <v>1.0</v>
      </c>
      <c r="AS26" s="35" t="s">
        <v>335</v>
      </c>
      <c r="AT26" s="35">
        <v>4.0</v>
      </c>
      <c r="AU26" s="35" t="s">
        <v>340</v>
      </c>
      <c r="AV26" s="35">
        <v>3.0</v>
      </c>
    </row>
    <row r="27">
      <c r="C27" s="35" t="s">
        <v>346</v>
      </c>
      <c r="D27" s="35">
        <v>4.0</v>
      </c>
      <c r="E27" s="35" t="s">
        <v>343</v>
      </c>
      <c r="F27" s="35">
        <v>3.0</v>
      </c>
      <c r="G27" s="35" t="s">
        <v>340</v>
      </c>
      <c r="H27" s="35">
        <v>2.0</v>
      </c>
      <c r="I27" s="35" t="s">
        <v>340</v>
      </c>
      <c r="J27" s="35">
        <v>2.0</v>
      </c>
      <c r="K27" s="35" t="s">
        <v>343</v>
      </c>
      <c r="L27" s="35">
        <v>3.0</v>
      </c>
      <c r="O27" s="35" t="s">
        <v>340</v>
      </c>
      <c r="P27" s="35">
        <v>4.0</v>
      </c>
      <c r="Q27" s="35" t="s">
        <v>340</v>
      </c>
      <c r="R27" s="35">
        <v>2.0</v>
      </c>
      <c r="S27" s="35" t="s">
        <v>346</v>
      </c>
      <c r="T27" s="35">
        <v>4.0</v>
      </c>
      <c r="U27" s="35" t="s">
        <v>340</v>
      </c>
      <c r="V27" s="35">
        <v>5.0</v>
      </c>
      <c r="W27" s="35" t="s">
        <v>343</v>
      </c>
      <c r="X27" s="35">
        <v>2.0</v>
      </c>
      <c r="AA27" s="35" t="s">
        <v>343</v>
      </c>
      <c r="AB27" s="35">
        <v>3.0</v>
      </c>
      <c r="AC27" s="35" t="s">
        <v>340</v>
      </c>
      <c r="AD27" s="35">
        <v>3.0</v>
      </c>
      <c r="AE27" s="35" t="s">
        <v>340</v>
      </c>
      <c r="AF27" s="35">
        <v>2.0</v>
      </c>
      <c r="AG27" s="35" t="s">
        <v>343</v>
      </c>
      <c r="AH27" s="35">
        <v>3.0</v>
      </c>
      <c r="AI27" s="35" t="s">
        <v>352</v>
      </c>
      <c r="AJ27" s="35">
        <v>1.0</v>
      </c>
      <c r="AK27" s="95"/>
      <c r="AL27" s="95"/>
      <c r="AM27" s="35" t="s">
        <v>343</v>
      </c>
      <c r="AN27" s="35">
        <v>6.0</v>
      </c>
      <c r="AO27" s="35" t="s">
        <v>340</v>
      </c>
      <c r="AP27" s="35">
        <v>4.0</v>
      </c>
      <c r="AQ27" s="35" t="s">
        <v>343</v>
      </c>
      <c r="AR27" s="35">
        <v>4.0</v>
      </c>
      <c r="AS27" s="35" t="s">
        <v>340</v>
      </c>
      <c r="AT27" s="35">
        <v>4.0</v>
      </c>
      <c r="AU27" s="35" t="s">
        <v>343</v>
      </c>
      <c r="AV27" s="35">
        <v>3.0</v>
      </c>
    </row>
    <row r="28">
      <c r="C28" s="35" t="s">
        <v>365</v>
      </c>
      <c r="D28" s="35">
        <v>1.0</v>
      </c>
      <c r="E28" s="35" t="s">
        <v>346</v>
      </c>
      <c r="F28" s="35">
        <v>5.0</v>
      </c>
      <c r="G28" s="35" t="s">
        <v>343</v>
      </c>
      <c r="H28" s="35">
        <v>1.0</v>
      </c>
      <c r="I28" s="35" t="s">
        <v>343</v>
      </c>
      <c r="J28" s="35">
        <v>2.0</v>
      </c>
      <c r="K28" s="35" t="s">
        <v>346</v>
      </c>
      <c r="L28" s="35">
        <v>1.0</v>
      </c>
      <c r="O28" s="35" t="s">
        <v>343</v>
      </c>
      <c r="P28" s="35">
        <v>1.0</v>
      </c>
      <c r="Q28" s="35" t="s">
        <v>343</v>
      </c>
      <c r="R28" s="35">
        <v>1.0</v>
      </c>
      <c r="S28" s="35" t="s">
        <v>352</v>
      </c>
      <c r="T28" s="35">
        <v>1.0</v>
      </c>
      <c r="U28" s="35" t="s">
        <v>343</v>
      </c>
      <c r="V28" s="35">
        <v>1.0</v>
      </c>
      <c r="W28" s="35" t="s">
        <v>348</v>
      </c>
      <c r="X28" s="35">
        <v>1.0</v>
      </c>
      <c r="AA28" s="35" t="s">
        <v>346</v>
      </c>
      <c r="AB28" s="35">
        <v>3.0</v>
      </c>
      <c r="AC28" s="35" t="s">
        <v>343</v>
      </c>
      <c r="AD28" s="35">
        <v>1.0</v>
      </c>
      <c r="AE28" s="35" t="s">
        <v>343</v>
      </c>
      <c r="AF28" s="35">
        <v>3.0</v>
      </c>
      <c r="AG28" s="35" t="s">
        <v>348</v>
      </c>
      <c r="AH28" s="35">
        <v>1.0</v>
      </c>
      <c r="AI28" s="35" t="s">
        <v>361</v>
      </c>
      <c r="AJ28" s="35">
        <v>1.0</v>
      </c>
      <c r="AK28" s="95"/>
      <c r="AL28" s="95"/>
      <c r="AM28" s="35" t="s">
        <v>346</v>
      </c>
      <c r="AN28" s="35">
        <v>3.0</v>
      </c>
      <c r="AO28" s="35" t="s">
        <v>343</v>
      </c>
      <c r="AP28" s="35">
        <v>1.0</v>
      </c>
      <c r="AQ28" s="35" t="s">
        <v>348</v>
      </c>
      <c r="AR28" s="35">
        <v>2.0</v>
      </c>
      <c r="AS28" s="35" t="s">
        <v>343</v>
      </c>
      <c r="AT28" s="35">
        <v>2.0</v>
      </c>
      <c r="AU28" s="35" t="s">
        <v>348</v>
      </c>
      <c r="AV28" s="35">
        <v>1.0</v>
      </c>
    </row>
    <row r="29">
      <c r="C29" s="35" t="s">
        <v>364</v>
      </c>
      <c r="D29" s="35">
        <v>2.0</v>
      </c>
      <c r="E29" s="35" t="s">
        <v>365</v>
      </c>
      <c r="F29" s="35">
        <v>3.0</v>
      </c>
      <c r="G29" s="35" t="s">
        <v>359</v>
      </c>
      <c r="H29" s="35">
        <v>1.0</v>
      </c>
      <c r="I29" s="35" t="s">
        <v>348</v>
      </c>
      <c r="J29" s="35">
        <v>1.0</v>
      </c>
      <c r="K29" s="35" t="s">
        <v>365</v>
      </c>
      <c r="L29" s="35">
        <v>1.0</v>
      </c>
      <c r="O29" s="35" t="s">
        <v>346</v>
      </c>
      <c r="P29" s="35">
        <v>5.0</v>
      </c>
      <c r="Q29" s="35" t="s">
        <v>346</v>
      </c>
      <c r="R29" s="35">
        <v>5.0</v>
      </c>
      <c r="S29" s="35" t="s">
        <v>365</v>
      </c>
      <c r="T29" s="35">
        <v>1.0</v>
      </c>
      <c r="U29" s="35" t="s">
        <v>346</v>
      </c>
      <c r="V29" s="35">
        <v>2.0</v>
      </c>
      <c r="W29" s="35" t="s">
        <v>346</v>
      </c>
      <c r="X29" s="35">
        <v>1.0</v>
      </c>
      <c r="AA29" s="35" t="s">
        <v>352</v>
      </c>
      <c r="AB29" s="35">
        <v>2.0</v>
      </c>
      <c r="AC29" s="35" t="s">
        <v>348</v>
      </c>
      <c r="AD29" s="35">
        <v>1.0</v>
      </c>
      <c r="AE29" s="35" t="s">
        <v>346</v>
      </c>
      <c r="AF29" s="35">
        <v>3.0</v>
      </c>
      <c r="AG29" s="35" t="s">
        <v>352</v>
      </c>
      <c r="AH29" s="35">
        <v>3.0</v>
      </c>
      <c r="AI29" s="35" t="s">
        <v>359</v>
      </c>
      <c r="AJ29" s="35">
        <v>1.0</v>
      </c>
      <c r="AK29" s="95"/>
      <c r="AL29" s="95"/>
      <c r="AM29" s="35" t="s">
        <v>352</v>
      </c>
      <c r="AN29" s="35">
        <v>1.0</v>
      </c>
      <c r="AO29" s="35" t="s">
        <v>346</v>
      </c>
      <c r="AP29" s="35">
        <v>5.0</v>
      </c>
      <c r="AQ29" s="35" t="s">
        <v>346</v>
      </c>
      <c r="AR29" s="35">
        <v>5.0</v>
      </c>
      <c r="AS29" s="35" t="s">
        <v>348</v>
      </c>
      <c r="AT29" s="35">
        <v>1.0</v>
      </c>
      <c r="AU29" s="35" t="s">
        <v>346</v>
      </c>
      <c r="AV29" s="35">
        <v>1.0</v>
      </c>
    </row>
    <row r="30">
      <c r="C30" s="35" t="s">
        <v>367</v>
      </c>
      <c r="D30" s="35">
        <v>6.0</v>
      </c>
      <c r="E30" s="35" t="s">
        <v>359</v>
      </c>
      <c r="F30" s="35">
        <v>1.0</v>
      </c>
      <c r="G30" s="35" t="s">
        <v>364</v>
      </c>
      <c r="H30" s="35">
        <v>1.0</v>
      </c>
      <c r="I30" s="35" t="s">
        <v>346</v>
      </c>
      <c r="J30" s="35">
        <v>3.0</v>
      </c>
      <c r="K30" s="35" t="s">
        <v>359</v>
      </c>
      <c r="L30" s="35">
        <v>1.0</v>
      </c>
      <c r="O30" s="35" t="s">
        <v>359</v>
      </c>
      <c r="P30" s="35">
        <v>1.0</v>
      </c>
      <c r="Q30" s="35" t="s">
        <v>365</v>
      </c>
      <c r="R30" s="35">
        <v>2.0</v>
      </c>
      <c r="S30" s="35" t="s">
        <v>364</v>
      </c>
      <c r="T30" s="35">
        <v>1.0</v>
      </c>
      <c r="U30" s="35" t="s">
        <v>356</v>
      </c>
      <c r="V30" s="35">
        <v>1.0</v>
      </c>
      <c r="W30" s="35" t="s">
        <v>352</v>
      </c>
      <c r="X30" s="35">
        <v>2.0</v>
      </c>
      <c r="AA30" s="35" t="s">
        <v>356</v>
      </c>
      <c r="AB30" s="35">
        <v>2.0</v>
      </c>
      <c r="AC30" s="35" t="s">
        <v>346</v>
      </c>
      <c r="AD30" s="35">
        <v>5.0</v>
      </c>
      <c r="AE30" s="35" t="s">
        <v>352</v>
      </c>
      <c r="AF30" s="35">
        <v>1.0</v>
      </c>
      <c r="AG30" s="35" t="s">
        <v>365</v>
      </c>
      <c r="AH30" s="35">
        <v>2.0</v>
      </c>
      <c r="AI30" s="35" t="s">
        <v>364</v>
      </c>
      <c r="AJ30" s="35">
        <v>1.0</v>
      </c>
      <c r="AK30" s="95"/>
      <c r="AL30" s="95"/>
      <c r="AM30" s="35" t="s">
        <v>356</v>
      </c>
      <c r="AN30" s="35">
        <v>1.0</v>
      </c>
      <c r="AO30" s="35" t="s">
        <v>352</v>
      </c>
      <c r="AP30" s="35">
        <v>1.0</v>
      </c>
      <c r="AQ30" s="35" t="s">
        <v>352</v>
      </c>
      <c r="AR30" s="35">
        <v>1.0</v>
      </c>
      <c r="AS30" s="35" t="s">
        <v>346</v>
      </c>
      <c r="AT30" s="35">
        <v>3.0</v>
      </c>
      <c r="AU30" s="109" t="s">
        <v>352</v>
      </c>
      <c r="AV30" s="35">
        <v>2.0</v>
      </c>
    </row>
    <row r="31">
      <c r="C31" s="35" t="s">
        <v>371</v>
      </c>
      <c r="D31" s="35">
        <v>3.0</v>
      </c>
      <c r="E31" s="35" t="s">
        <v>364</v>
      </c>
      <c r="F31" s="35">
        <v>3.0</v>
      </c>
      <c r="G31" s="35" t="s">
        <v>367</v>
      </c>
      <c r="H31" s="35">
        <v>2.0</v>
      </c>
      <c r="I31" s="35" t="s">
        <v>352</v>
      </c>
      <c r="J31" s="35">
        <v>3.0</v>
      </c>
      <c r="K31" s="35" t="s">
        <v>367</v>
      </c>
      <c r="L31" s="35">
        <v>2.0</v>
      </c>
      <c r="O31" s="35" t="s">
        <v>364</v>
      </c>
      <c r="P31" s="35">
        <v>2.0</v>
      </c>
      <c r="Q31" s="35" t="s">
        <v>364</v>
      </c>
      <c r="R31" s="35">
        <v>4.0</v>
      </c>
      <c r="S31" s="35" t="s">
        <v>367</v>
      </c>
      <c r="T31" s="35">
        <v>2.0</v>
      </c>
      <c r="U31" s="35" t="s">
        <v>365</v>
      </c>
      <c r="V31" s="35">
        <v>2.0</v>
      </c>
      <c r="W31" s="109" t="s">
        <v>361</v>
      </c>
      <c r="X31" s="35">
        <v>1.0</v>
      </c>
      <c r="AA31" s="35" t="s">
        <v>365</v>
      </c>
      <c r="AB31" s="35">
        <v>1.0</v>
      </c>
      <c r="AC31" s="35" t="s">
        <v>364</v>
      </c>
      <c r="AD31" s="35">
        <v>5.0</v>
      </c>
      <c r="AE31" s="35" t="s">
        <v>356</v>
      </c>
      <c r="AF31" s="35">
        <v>1.0</v>
      </c>
      <c r="AG31" s="35" t="s">
        <v>359</v>
      </c>
      <c r="AH31" s="35">
        <v>1.0</v>
      </c>
      <c r="AI31" s="109" t="s">
        <v>367</v>
      </c>
      <c r="AJ31" s="35">
        <v>1.0</v>
      </c>
      <c r="AK31" s="95"/>
      <c r="AL31" s="95"/>
      <c r="AM31" s="35" t="s">
        <v>365</v>
      </c>
      <c r="AN31" s="35">
        <v>1.0</v>
      </c>
      <c r="AO31" s="35" t="s">
        <v>356</v>
      </c>
      <c r="AP31" s="35">
        <v>1.0</v>
      </c>
      <c r="AQ31" s="35" t="s">
        <v>356</v>
      </c>
      <c r="AR31" s="35">
        <v>1.0</v>
      </c>
      <c r="AS31" s="35" t="s">
        <v>352</v>
      </c>
      <c r="AT31" s="35">
        <v>2.0</v>
      </c>
      <c r="AU31" s="109" t="s">
        <v>365</v>
      </c>
      <c r="AV31" s="35">
        <v>2.0</v>
      </c>
    </row>
    <row r="32">
      <c r="C32" s="35" t="s">
        <v>376</v>
      </c>
      <c r="D32" s="35">
        <v>4.0</v>
      </c>
      <c r="E32" s="35" t="s">
        <v>367</v>
      </c>
      <c r="F32" s="35">
        <v>1.0</v>
      </c>
      <c r="G32" s="35" t="s">
        <v>373</v>
      </c>
      <c r="H32" s="35">
        <v>1.0</v>
      </c>
      <c r="I32" s="35" t="s">
        <v>361</v>
      </c>
      <c r="J32" s="35">
        <v>1.0</v>
      </c>
      <c r="K32" s="109" t="s">
        <v>371</v>
      </c>
      <c r="L32" s="35">
        <v>3.0</v>
      </c>
      <c r="O32" s="35" t="s">
        <v>367</v>
      </c>
      <c r="P32" s="35">
        <v>5.0</v>
      </c>
      <c r="Q32" s="35" t="s">
        <v>367</v>
      </c>
      <c r="R32" s="35">
        <v>4.0</v>
      </c>
      <c r="S32" s="35" t="s">
        <v>371</v>
      </c>
      <c r="T32" s="35">
        <v>1.0</v>
      </c>
      <c r="U32" s="35" t="s">
        <v>359</v>
      </c>
      <c r="V32" s="35">
        <v>1.0</v>
      </c>
      <c r="W32" s="109" t="s">
        <v>364</v>
      </c>
      <c r="X32" s="35">
        <v>1.0</v>
      </c>
      <c r="AA32" s="35" t="s">
        <v>367</v>
      </c>
      <c r="AB32" s="35">
        <v>6.0</v>
      </c>
      <c r="AC32" s="35" t="s">
        <v>367</v>
      </c>
      <c r="AD32" s="35">
        <v>2.0</v>
      </c>
      <c r="AE32" s="35" t="s">
        <v>365</v>
      </c>
      <c r="AF32" s="35">
        <v>3.0</v>
      </c>
      <c r="AG32" s="35" t="s">
        <v>364</v>
      </c>
      <c r="AH32" s="35">
        <v>2.0</v>
      </c>
      <c r="AI32" s="109" t="s">
        <v>371</v>
      </c>
      <c r="AJ32" s="35">
        <v>3.0</v>
      </c>
      <c r="AK32" s="95"/>
      <c r="AL32" s="95"/>
      <c r="AM32" s="35" t="s">
        <v>364</v>
      </c>
      <c r="AN32" s="35">
        <v>2.0</v>
      </c>
      <c r="AO32" s="35" t="s">
        <v>365</v>
      </c>
      <c r="AP32" s="35">
        <v>3.0</v>
      </c>
      <c r="AQ32" s="35" t="s">
        <v>361</v>
      </c>
      <c r="AR32" s="35">
        <v>1.0</v>
      </c>
      <c r="AS32" s="35" t="s">
        <v>365</v>
      </c>
      <c r="AT32" s="35">
        <v>1.0</v>
      </c>
      <c r="AU32" s="109" t="s">
        <v>364</v>
      </c>
      <c r="AV32" s="35">
        <v>1.0</v>
      </c>
    </row>
    <row r="33">
      <c r="C33" s="35" t="s">
        <v>382</v>
      </c>
      <c r="D33" s="35">
        <v>6.0</v>
      </c>
      <c r="E33" s="35" t="s">
        <v>371</v>
      </c>
      <c r="F33" s="35">
        <v>4.0</v>
      </c>
      <c r="G33" s="35" t="s">
        <v>371</v>
      </c>
      <c r="H33" s="35">
        <v>3.0</v>
      </c>
      <c r="I33" s="35" t="s">
        <v>365</v>
      </c>
      <c r="J33" s="35">
        <v>1.0</v>
      </c>
      <c r="K33" s="109" t="s">
        <v>376</v>
      </c>
      <c r="L33" s="35">
        <v>3.0</v>
      </c>
      <c r="O33" s="35" t="s">
        <v>371</v>
      </c>
      <c r="P33" s="35">
        <v>4.0</v>
      </c>
      <c r="Q33" s="35" t="s">
        <v>371</v>
      </c>
      <c r="R33" s="35">
        <v>3.0</v>
      </c>
      <c r="S33" s="35" t="s">
        <v>376</v>
      </c>
      <c r="T33" s="35">
        <v>9.0</v>
      </c>
      <c r="U33" s="35" t="s">
        <v>364</v>
      </c>
      <c r="V33" s="35">
        <v>3.0</v>
      </c>
      <c r="W33" s="109" t="s">
        <v>367</v>
      </c>
      <c r="X33" s="35">
        <v>1.0</v>
      </c>
      <c r="AA33" s="35" t="s">
        <v>371</v>
      </c>
      <c r="AB33" s="35">
        <v>4.0</v>
      </c>
      <c r="AC33" s="35" t="s">
        <v>371</v>
      </c>
      <c r="AD33" s="35">
        <v>4.0</v>
      </c>
      <c r="AE33" s="35" t="s">
        <v>364</v>
      </c>
      <c r="AF33" s="35">
        <v>2.0</v>
      </c>
      <c r="AG33" s="35" t="s">
        <v>367</v>
      </c>
      <c r="AH33" s="35">
        <v>1.0</v>
      </c>
      <c r="AI33" s="109" t="s">
        <v>376</v>
      </c>
      <c r="AJ33" s="35">
        <v>3.0</v>
      </c>
      <c r="AK33" s="95"/>
      <c r="AL33" s="95"/>
      <c r="AM33" s="35" t="s">
        <v>367</v>
      </c>
      <c r="AN33" s="35">
        <v>5.0</v>
      </c>
      <c r="AO33" s="35" t="s">
        <v>359</v>
      </c>
      <c r="AP33" s="35">
        <v>1.0</v>
      </c>
      <c r="AQ33" s="35" t="s">
        <v>359</v>
      </c>
      <c r="AR33" s="35">
        <v>1.0</v>
      </c>
      <c r="AS33" s="35" t="s">
        <v>359</v>
      </c>
      <c r="AT33" s="35">
        <v>1.0</v>
      </c>
      <c r="AU33" s="109" t="s">
        <v>367</v>
      </c>
      <c r="AV33" s="35">
        <v>1.0</v>
      </c>
    </row>
    <row r="34">
      <c r="C34" s="35" t="s">
        <v>401</v>
      </c>
      <c r="D34" s="35">
        <v>1.0</v>
      </c>
      <c r="E34" s="35" t="s">
        <v>376</v>
      </c>
      <c r="F34" s="35">
        <v>4.0</v>
      </c>
      <c r="G34" s="35" t="s">
        <v>376</v>
      </c>
      <c r="H34" s="35">
        <v>2.0</v>
      </c>
      <c r="I34" s="35" t="s">
        <v>359</v>
      </c>
      <c r="J34" s="35">
        <v>3.0</v>
      </c>
      <c r="K34" s="109" t="s">
        <v>382</v>
      </c>
      <c r="L34" s="35">
        <v>5.0</v>
      </c>
      <c r="O34" s="35" t="s">
        <v>376</v>
      </c>
      <c r="P34" s="35">
        <v>4.0</v>
      </c>
      <c r="Q34" s="35" t="s">
        <v>376</v>
      </c>
      <c r="R34" s="35">
        <v>3.0</v>
      </c>
      <c r="S34" s="35" t="s">
        <v>382</v>
      </c>
      <c r="T34" s="35">
        <v>5.0</v>
      </c>
      <c r="U34" s="109" t="s">
        <v>370</v>
      </c>
      <c r="V34" s="35">
        <v>1.0</v>
      </c>
      <c r="W34" s="109" t="s">
        <v>376</v>
      </c>
      <c r="X34" s="35">
        <v>6.0</v>
      </c>
      <c r="AA34" s="35" t="s">
        <v>376</v>
      </c>
      <c r="AB34" s="35">
        <v>3.0</v>
      </c>
      <c r="AC34" s="35" t="s">
        <v>376</v>
      </c>
      <c r="AD34" s="35">
        <v>5.0</v>
      </c>
      <c r="AE34" s="35" t="s">
        <v>367</v>
      </c>
      <c r="AF34" s="35">
        <v>4.0</v>
      </c>
      <c r="AG34" s="35" t="s">
        <v>371</v>
      </c>
      <c r="AH34" s="35">
        <v>3.0</v>
      </c>
      <c r="AI34" s="109" t="s">
        <v>382</v>
      </c>
      <c r="AJ34" s="35">
        <v>5.0</v>
      </c>
      <c r="AK34" s="95"/>
      <c r="AL34" s="95"/>
      <c r="AM34" s="35" t="s">
        <v>371</v>
      </c>
      <c r="AN34" s="35">
        <v>6.0</v>
      </c>
      <c r="AO34" s="35" t="s">
        <v>364</v>
      </c>
      <c r="AP34" s="35">
        <v>5.0</v>
      </c>
      <c r="AQ34" s="35" t="s">
        <v>364</v>
      </c>
      <c r="AR34" s="35">
        <v>5.0</v>
      </c>
      <c r="AS34" s="35" t="s">
        <v>364</v>
      </c>
      <c r="AT34" s="35">
        <v>1.0</v>
      </c>
      <c r="AU34" s="109" t="s">
        <v>371</v>
      </c>
      <c r="AV34" s="35">
        <v>1.0</v>
      </c>
    </row>
    <row r="35">
      <c r="C35" s="35" t="s">
        <v>400</v>
      </c>
      <c r="D35" s="35">
        <v>1.0</v>
      </c>
      <c r="E35" s="35" t="s">
        <v>382</v>
      </c>
      <c r="F35" s="35">
        <v>5.0</v>
      </c>
      <c r="G35" s="35" t="s">
        <v>382</v>
      </c>
      <c r="H35" s="35">
        <v>6.0</v>
      </c>
      <c r="I35" s="109" t="s">
        <v>367</v>
      </c>
      <c r="J35" s="35">
        <v>2.0</v>
      </c>
      <c r="K35" s="109" t="s">
        <v>413</v>
      </c>
      <c r="L35" s="35">
        <v>2.0</v>
      </c>
      <c r="O35" s="35" t="s">
        <v>382</v>
      </c>
      <c r="P35" s="35">
        <v>6.0</v>
      </c>
      <c r="Q35" s="35" t="s">
        <v>382</v>
      </c>
      <c r="R35" s="35">
        <v>3.0</v>
      </c>
      <c r="S35" s="35" t="s">
        <v>400</v>
      </c>
      <c r="T35" s="35">
        <v>1.0</v>
      </c>
      <c r="U35" s="109" t="s">
        <v>371</v>
      </c>
      <c r="V35" s="35">
        <v>1.0</v>
      </c>
      <c r="W35" s="109" t="s">
        <v>382</v>
      </c>
      <c r="X35" s="35">
        <v>6.0</v>
      </c>
      <c r="AA35" s="35" t="s">
        <v>382</v>
      </c>
      <c r="AB35" s="35">
        <v>3.0</v>
      </c>
      <c r="AC35" s="35" t="s">
        <v>382</v>
      </c>
      <c r="AD35" s="35">
        <v>3.0</v>
      </c>
      <c r="AE35" s="35" t="s">
        <v>371</v>
      </c>
      <c r="AF35" s="35">
        <v>2.0</v>
      </c>
      <c r="AG35" s="35" t="s">
        <v>376</v>
      </c>
      <c r="AH35" s="35">
        <v>1.0</v>
      </c>
      <c r="AI35" s="109" t="s">
        <v>413</v>
      </c>
      <c r="AJ35" s="35">
        <v>1.0</v>
      </c>
      <c r="AK35" s="95"/>
      <c r="AL35" s="95"/>
      <c r="AM35" s="35" t="s">
        <v>376</v>
      </c>
      <c r="AN35" s="35">
        <v>1.0</v>
      </c>
      <c r="AO35" s="35" t="s">
        <v>367</v>
      </c>
      <c r="AP35" s="35">
        <v>1.0</v>
      </c>
      <c r="AQ35" s="35" t="s">
        <v>370</v>
      </c>
      <c r="AR35" s="35">
        <v>1.0</v>
      </c>
      <c r="AS35" s="35" t="s">
        <v>370</v>
      </c>
      <c r="AT35" s="35">
        <v>1.0</v>
      </c>
      <c r="AU35" s="109" t="s">
        <v>376</v>
      </c>
      <c r="AV35" s="35">
        <v>3.0</v>
      </c>
    </row>
    <row r="36">
      <c r="C36" s="35" t="s">
        <v>672</v>
      </c>
      <c r="D36" s="35">
        <v>1.0</v>
      </c>
      <c r="E36" s="35" t="s">
        <v>401</v>
      </c>
      <c r="F36" s="35">
        <v>3.0</v>
      </c>
      <c r="G36" s="35" t="s">
        <v>394</v>
      </c>
      <c r="H36" s="35">
        <v>1.0</v>
      </c>
      <c r="I36" s="109" t="s">
        <v>371</v>
      </c>
      <c r="J36" s="35">
        <v>3.0</v>
      </c>
      <c r="K36" s="109" t="s">
        <v>409</v>
      </c>
      <c r="L36" s="35">
        <v>1.0</v>
      </c>
      <c r="O36" s="35" t="s">
        <v>401</v>
      </c>
      <c r="P36" s="35">
        <v>2.0</v>
      </c>
      <c r="Q36" s="35" t="s">
        <v>401</v>
      </c>
      <c r="R36" s="35">
        <v>2.0</v>
      </c>
      <c r="S36" s="35" t="s">
        <v>409</v>
      </c>
      <c r="T36" s="35">
        <v>1.0</v>
      </c>
      <c r="U36" s="109" t="s">
        <v>382</v>
      </c>
      <c r="V36" s="35">
        <v>4.0</v>
      </c>
      <c r="W36" s="109" t="s">
        <v>401</v>
      </c>
      <c r="X36" s="35">
        <v>1.0</v>
      </c>
      <c r="AA36" s="35" t="s">
        <v>401</v>
      </c>
      <c r="AB36" s="35">
        <v>3.0</v>
      </c>
      <c r="AC36" s="35" t="s">
        <v>401</v>
      </c>
      <c r="AD36" s="35">
        <v>2.0</v>
      </c>
      <c r="AE36" s="35" t="s">
        <v>376</v>
      </c>
      <c r="AF36" s="35">
        <v>1.0</v>
      </c>
      <c r="AG36" s="109" t="s">
        <v>382</v>
      </c>
      <c r="AH36" s="35">
        <v>7.0</v>
      </c>
      <c r="AI36" s="109" t="s">
        <v>675</v>
      </c>
      <c r="AJ36" s="35">
        <v>1.0</v>
      </c>
      <c r="AK36" s="95"/>
      <c r="AL36" s="95"/>
      <c r="AM36" s="35" t="s">
        <v>382</v>
      </c>
      <c r="AN36" s="35">
        <v>5.0</v>
      </c>
      <c r="AO36" s="35" t="s">
        <v>371</v>
      </c>
      <c r="AP36" s="35">
        <v>4.0</v>
      </c>
      <c r="AQ36" s="35" t="s">
        <v>367</v>
      </c>
      <c r="AR36" s="35">
        <v>3.0</v>
      </c>
      <c r="AS36" s="35" t="s">
        <v>367</v>
      </c>
      <c r="AT36" s="35">
        <v>2.0</v>
      </c>
      <c r="AU36" s="109" t="s">
        <v>382</v>
      </c>
      <c r="AV36" s="35">
        <v>3.0</v>
      </c>
    </row>
    <row r="37">
      <c r="C37" s="35" t="s">
        <v>408</v>
      </c>
      <c r="D37" s="35">
        <v>2.0</v>
      </c>
      <c r="E37" s="35" t="s">
        <v>412</v>
      </c>
      <c r="F37" s="35">
        <v>1.0</v>
      </c>
      <c r="G37" s="35" t="s">
        <v>400</v>
      </c>
      <c r="H37" s="35">
        <v>1.0</v>
      </c>
      <c r="I37" s="109" t="s">
        <v>376</v>
      </c>
      <c r="J37" s="35">
        <v>2.0</v>
      </c>
      <c r="K37" s="109" t="s">
        <v>419</v>
      </c>
      <c r="L37" s="35">
        <v>1.0</v>
      </c>
      <c r="O37" s="35" t="s">
        <v>669</v>
      </c>
      <c r="P37" s="35">
        <v>1.0</v>
      </c>
      <c r="Q37" s="35" t="s">
        <v>412</v>
      </c>
      <c r="R37" s="35">
        <v>1.0</v>
      </c>
      <c r="S37" s="35" t="s">
        <v>403</v>
      </c>
      <c r="T37" s="35">
        <v>1.0</v>
      </c>
      <c r="U37" s="109" t="s">
        <v>413</v>
      </c>
      <c r="V37" s="35">
        <v>1.0</v>
      </c>
      <c r="W37" s="109" t="s">
        <v>394</v>
      </c>
      <c r="X37" s="35">
        <v>1.0</v>
      </c>
      <c r="AA37" s="35" t="s">
        <v>412</v>
      </c>
      <c r="AB37" s="35">
        <v>1.0</v>
      </c>
      <c r="AC37" s="35" t="s">
        <v>669</v>
      </c>
      <c r="AD37" s="35">
        <v>1.0</v>
      </c>
      <c r="AE37" s="35" t="s">
        <v>382</v>
      </c>
      <c r="AF37" s="35">
        <v>2.0</v>
      </c>
      <c r="AG37" s="109" t="s">
        <v>398</v>
      </c>
      <c r="AH37" s="35">
        <v>1.0</v>
      </c>
      <c r="AI37" s="109" t="s">
        <v>400</v>
      </c>
      <c r="AJ37" s="35">
        <v>1.0</v>
      </c>
      <c r="AK37" s="95"/>
      <c r="AL37" s="95"/>
      <c r="AM37" s="35" t="s">
        <v>401</v>
      </c>
      <c r="AN37" s="35">
        <v>3.0</v>
      </c>
      <c r="AO37" s="35" t="s">
        <v>376</v>
      </c>
      <c r="AP37" s="35">
        <v>4.0</v>
      </c>
      <c r="AQ37" s="35" t="s">
        <v>371</v>
      </c>
      <c r="AR37" s="35">
        <v>3.0</v>
      </c>
      <c r="AS37" s="35" t="s">
        <v>371</v>
      </c>
      <c r="AT37" s="35">
        <v>5.0</v>
      </c>
      <c r="AU37" s="109" t="s">
        <v>401</v>
      </c>
      <c r="AV37" s="35">
        <v>1.0</v>
      </c>
    </row>
    <row r="38">
      <c r="C38" s="35" t="s">
        <v>421</v>
      </c>
      <c r="D38" s="35">
        <v>3.0</v>
      </c>
      <c r="E38" s="35" t="s">
        <v>413</v>
      </c>
      <c r="F38" s="35">
        <v>1.0</v>
      </c>
      <c r="G38" s="35" t="s">
        <v>445</v>
      </c>
      <c r="H38" s="35">
        <v>1.0</v>
      </c>
      <c r="I38" s="109" t="s">
        <v>382</v>
      </c>
      <c r="J38" s="35">
        <v>4.0</v>
      </c>
      <c r="K38" s="109" t="s">
        <v>408</v>
      </c>
      <c r="L38" s="35">
        <v>2.0</v>
      </c>
      <c r="O38" s="35" t="s">
        <v>394</v>
      </c>
      <c r="P38" s="35">
        <v>1.0</v>
      </c>
      <c r="Q38" s="35" t="s">
        <v>428</v>
      </c>
      <c r="R38" s="35">
        <v>1.0</v>
      </c>
      <c r="S38" s="35" t="s">
        <v>408</v>
      </c>
      <c r="T38" s="35">
        <v>1.0</v>
      </c>
      <c r="U38" s="109" t="s">
        <v>394</v>
      </c>
      <c r="V38" s="35">
        <v>1.0</v>
      </c>
      <c r="W38" s="109" t="s">
        <v>403</v>
      </c>
      <c r="X38" s="35">
        <v>1.0</v>
      </c>
      <c r="AA38" s="35" t="s">
        <v>669</v>
      </c>
      <c r="AB38" s="35">
        <v>1.0</v>
      </c>
      <c r="AC38" s="35" t="s">
        <v>394</v>
      </c>
      <c r="AD38" s="35">
        <v>1.0</v>
      </c>
      <c r="AE38" s="35" t="s">
        <v>412</v>
      </c>
      <c r="AF38" s="35">
        <v>1.0</v>
      </c>
      <c r="AG38" s="109" t="s">
        <v>412</v>
      </c>
      <c r="AH38" s="35">
        <v>1.0</v>
      </c>
      <c r="AI38" s="109" t="s">
        <v>445</v>
      </c>
      <c r="AJ38" s="35">
        <v>1.0</v>
      </c>
      <c r="AK38" s="95"/>
      <c r="AL38" s="95"/>
      <c r="AM38" s="35" t="s">
        <v>412</v>
      </c>
      <c r="AN38" s="35">
        <v>1.0</v>
      </c>
      <c r="AO38" s="35" t="s">
        <v>382</v>
      </c>
      <c r="AP38" s="35">
        <v>8.0</v>
      </c>
      <c r="AQ38" s="35" t="s">
        <v>376</v>
      </c>
      <c r="AR38" s="35">
        <v>2.0</v>
      </c>
      <c r="AS38" s="109" t="s">
        <v>376</v>
      </c>
      <c r="AT38" s="35">
        <v>2.0</v>
      </c>
      <c r="AU38" s="109" t="s">
        <v>394</v>
      </c>
      <c r="AV38" s="35">
        <v>1.0</v>
      </c>
    </row>
    <row r="39">
      <c r="C39" s="35" t="s">
        <v>431</v>
      </c>
      <c r="D39" s="35">
        <v>1.0</v>
      </c>
      <c r="E39" s="35" t="s">
        <v>394</v>
      </c>
      <c r="F39" s="35">
        <v>1.0</v>
      </c>
      <c r="G39" s="35" t="s">
        <v>408</v>
      </c>
      <c r="H39" s="35">
        <v>1.0</v>
      </c>
      <c r="I39" s="109" t="s">
        <v>669</v>
      </c>
      <c r="J39" s="35">
        <v>1.0</v>
      </c>
      <c r="K39" s="109" t="s">
        <v>417</v>
      </c>
      <c r="L39" s="35">
        <v>1.0</v>
      </c>
      <c r="O39" s="35" t="s">
        <v>400</v>
      </c>
      <c r="P39" s="35">
        <v>1.0</v>
      </c>
      <c r="Q39" s="35" t="s">
        <v>409</v>
      </c>
      <c r="R39" s="35">
        <v>3.0</v>
      </c>
      <c r="S39" s="35" t="s">
        <v>421</v>
      </c>
      <c r="T39" s="35">
        <v>1.0</v>
      </c>
      <c r="U39" s="35" t="s">
        <v>400</v>
      </c>
      <c r="V39" s="35">
        <v>1.0</v>
      </c>
      <c r="W39" s="109" t="s">
        <v>419</v>
      </c>
      <c r="X39" s="35">
        <v>1.0</v>
      </c>
      <c r="AA39" s="35" t="s">
        <v>670</v>
      </c>
      <c r="AB39" s="35">
        <v>1.0</v>
      </c>
      <c r="AC39" s="35" t="s">
        <v>428</v>
      </c>
      <c r="AD39" s="35">
        <v>1.0</v>
      </c>
      <c r="AE39" s="35" t="s">
        <v>669</v>
      </c>
      <c r="AF39" s="35">
        <v>1.0</v>
      </c>
      <c r="AG39" s="109" t="s">
        <v>669</v>
      </c>
      <c r="AH39" s="35">
        <v>1.0</v>
      </c>
      <c r="AI39" s="109" t="s">
        <v>409</v>
      </c>
      <c r="AJ39" s="35">
        <v>1.0</v>
      </c>
      <c r="AK39" s="95"/>
      <c r="AL39" s="95"/>
      <c r="AM39" s="35" t="s">
        <v>400</v>
      </c>
      <c r="AN39" s="35">
        <v>2.0</v>
      </c>
      <c r="AO39" s="35" t="s">
        <v>401</v>
      </c>
      <c r="AP39" s="35">
        <v>1.0</v>
      </c>
      <c r="AQ39" s="35" t="s">
        <v>382</v>
      </c>
      <c r="AR39" s="35">
        <v>5.0</v>
      </c>
      <c r="AS39" s="109" t="s">
        <v>382</v>
      </c>
      <c r="AT39" s="35">
        <v>4.0</v>
      </c>
      <c r="AU39" s="109" t="s">
        <v>391</v>
      </c>
      <c r="AV39" s="35">
        <v>1.0</v>
      </c>
    </row>
    <row r="40">
      <c r="C40" s="35" t="s">
        <v>440</v>
      </c>
      <c r="D40" s="35">
        <v>4.0</v>
      </c>
      <c r="E40" s="35" t="s">
        <v>428</v>
      </c>
      <c r="F40" s="35">
        <v>1.0</v>
      </c>
      <c r="G40" s="35" t="s">
        <v>421</v>
      </c>
      <c r="H40" s="35">
        <v>1.0</v>
      </c>
      <c r="I40" s="109" t="s">
        <v>394</v>
      </c>
      <c r="J40" s="35">
        <v>1.0</v>
      </c>
      <c r="K40" s="109" t="s">
        <v>421</v>
      </c>
      <c r="L40" s="35">
        <v>1.0</v>
      </c>
      <c r="O40" s="35" t="s">
        <v>445</v>
      </c>
      <c r="P40" s="35">
        <v>1.0</v>
      </c>
      <c r="Q40" s="35" t="s">
        <v>396</v>
      </c>
      <c r="R40" s="35">
        <v>1.0</v>
      </c>
      <c r="S40" s="35" t="s">
        <v>443</v>
      </c>
      <c r="T40" s="35">
        <v>2.0</v>
      </c>
      <c r="U40" s="35" t="s">
        <v>408</v>
      </c>
      <c r="V40" s="35">
        <v>1.0</v>
      </c>
      <c r="W40" s="109" t="s">
        <v>408</v>
      </c>
      <c r="X40" s="35">
        <v>1.0</v>
      </c>
      <c r="AA40" s="35" t="s">
        <v>394</v>
      </c>
      <c r="AB40" s="35">
        <v>2.0</v>
      </c>
      <c r="AC40" s="35" t="s">
        <v>400</v>
      </c>
      <c r="AD40" s="35">
        <v>2.0</v>
      </c>
      <c r="AE40" s="35" t="s">
        <v>391</v>
      </c>
      <c r="AF40" s="35">
        <v>1.0</v>
      </c>
      <c r="AG40" s="109" t="s">
        <v>394</v>
      </c>
      <c r="AH40" s="35">
        <v>1.0</v>
      </c>
      <c r="AI40" s="35" t="s">
        <v>672</v>
      </c>
      <c r="AJ40" s="35">
        <v>1.0</v>
      </c>
      <c r="AK40" s="95"/>
      <c r="AL40" s="95"/>
      <c r="AM40" s="35" t="s">
        <v>403</v>
      </c>
      <c r="AN40" s="35">
        <v>1.0</v>
      </c>
      <c r="AO40" s="35" t="s">
        <v>400</v>
      </c>
      <c r="AP40" s="35">
        <v>1.0</v>
      </c>
      <c r="AQ40" s="35" t="s">
        <v>401</v>
      </c>
      <c r="AR40" s="35">
        <v>1.0</v>
      </c>
      <c r="AS40" s="109" t="s">
        <v>398</v>
      </c>
      <c r="AT40" s="35">
        <v>1.0</v>
      </c>
      <c r="AU40" s="35" t="s">
        <v>400</v>
      </c>
      <c r="AV40" s="35">
        <v>2.0</v>
      </c>
    </row>
    <row r="41">
      <c r="C41" s="35" t="s">
        <v>446</v>
      </c>
      <c r="D41" s="35">
        <v>1.0</v>
      </c>
      <c r="E41" s="35" t="s">
        <v>400</v>
      </c>
      <c r="F41" s="35">
        <v>2.0</v>
      </c>
      <c r="G41" s="35" t="s">
        <v>443</v>
      </c>
      <c r="H41" s="35">
        <v>1.0</v>
      </c>
      <c r="I41" s="109" t="s">
        <v>675</v>
      </c>
      <c r="J41" s="35">
        <v>1.0</v>
      </c>
      <c r="K41" s="35" t="s">
        <v>431</v>
      </c>
      <c r="L41" s="35">
        <v>2.0</v>
      </c>
      <c r="O41" s="35" t="s">
        <v>419</v>
      </c>
      <c r="P41" s="35">
        <v>1.0</v>
      </c>
      <c r="Q41" s="35" t="s">
        <v>448</v>
      </c>
      <c r="R41" s="35">
        <v>2.0</v>
      </c>
      <c r="S41" s="35" t="s">
        <v>461</v>
      </c>
      <c r="T41" s="35">
        <v>1.0</v>
      </c>
      <c r="U41" s="35" t="s">
        <v>417</v>
      </c>
      <c r="V41" s="35">
        <v>2.0</v>
      </c>
      <c r="W41" s="35" t="s">
        <v>417</v>
      </c>
      <c r="X41" s="35">
        <v>1.0</v>
      </c>
      <c r="AA41" s="35" t="s">
        <v>400</v>
      </c>
      <c r="AB41" s="35">
        <v>3.0</v>
      </c>
      <c r="AC41" s="35" t="s">
        <v>409</v>
      </c>
      <c r="AD41" s="35">
        <v>1.0</v>
      </c>
      <c r="AE41" s="35" t="s">
        <v>445</v>
      </c>
      <c r="AF41" s="35">
        <v>1.0</v>
      </c>
      <c r="AG41" s="109" t="s">
        <v>391</v>
      </c>
      <c r="AH41" s="35">
        <v>1.0</v>
      </c>
      <c r="AI41" s="35" t="s">
        <v>448</v>
      </c>
      <c r="AJ41" s="35">
        <v>1.0</v>
      </c>
      <c r="AK41" s="95"/>
      <c r="AL41" s="95"/>
      <c r="AM41" s="35" t="s">
        <v>408</v>
      </c>
      <c r="AN41" s="35">
        <v>1.0</v>
      </c>
      <c r="AO41" s="35" t="s">
        <v>409</v>
      </c>
      <c r="AP41" s="35">
        <v>2.0</v>
      </c>
      <c r="AQ41" s="35" t="s">
        <v>669</v>
      </c>
      <c r="AR41" s="35">
        <v>2.0</v>
      </c>
      <c r="AS41" s="109" t="s">
        <v>394</v>
      </c>
      <c r="AT41" s="35">
        <v>1.0</v>
      </c>
      <c r="AU41" s="35" t="s">
        <v>409</v>
      </c>
      <c r="AV41" s="35">
        <v>1.0</v>
      </c>
    </row>
    <row r="42">
      <c r="C42" s="35" t="s">
        <v>453</v>
      </c>
      <c r="D42" s="35">
        <v>1.0</v>
      </c>
      <c r="E42" s="35" t="s">
        <v>445</v>
      </c>
      <c r="F42" s="35">
        <v>1.0</v>
      </c>
      <c r="G42" s="35" t="s">
        <v>436</v>
      </c>
      <c r="H42" s="35">
        <v>1.0</v>
      </c>
      <c r="I42" s="35" t="s">
        <v>400</v>
      </c>
      <c r="J42" s="35">
        <v>1.0</v>
      </c>
      <c r="K42" s="35" t="s">
        <v>440</v>
      </c>
      <c r="L42" s="35">
        <v>1.0</v>
      </c>
      <c r="O42" s="35" t="s">
        <v>408</v>
      </c>
      <c r="P42" s="35">
        <v>2.0</v>
      </c>
      <c r="Q42" s="35" t="s">
        <v>403</v>
      </c>
      <c r="R42" s="35">
        <v>1.0</v>
      </c>
      <c r="S42" s="35" t="s">
        <v>436</v>
      </c>
      <c r="T42" s="35">
        <v>2.0</v>
      </c>
      <c r="U42" s="35" t="s">
        <v>421</v>
      </c>
      <c r="V42" s="35">
        <v>2.0</v>
      </c>
      <c r="W42" s="35" t="s">
        <v>421</v>
      </c>
      <c r="X42" s="35">
        <v>2.0</v>
      </c>
      <c r="AA42" s="35" t="s">
        <v>409</v>
      </c>
      <c r="AB42" s="35">
        <v>1.0</v>
      </c>
      <c r="AC42" s="35" t="s">
        <v>419</v>
      </c>
      <c r="AD42" s="35">
        <v>2.0</v>
      </c>
      <c r="AE42" s="35" t="s">
        <v>408</v>
      </c>
      <c r="AF42" s="35">
        <v>1.0</v>
      </c>
      <c r="AG42" s="109" t="s">
        <v>419</v>
      </c>
      <c r="AH42" s="35">
        <v>1.0</v>
      </c>
      <c r="AI42" s="35" t="s">
        <v>419</v>
      </c>
      <c r="AJ42" s="35">
        <v>2.0</v>
      </c>
      <c r="AK42" s="95"/>
      <c r="AL42" s="95"/>
      <c r="AM42" s="35" t="s">
        <v>417</v>
      </c>
      <c r="AN42" s="35">
        <v>1.0</v>
      </c>
      <c r="AO42" s="35" t="s">
        <v>419</v>
      </c>
      <c r="AP42" s="35">
        <v>1.0</v>
      </c>
      <c r="AQ42" s="35" t="s">
        <v>408</v>
      </c>
      <c r="AR42" s="35">
        <v>1.0</v>
      </c>
      <c r="AS42" s="109" t="s">
        <v>391</v>
      </c>
      <c r="AT42" s="35">
        <v>2.0</v>
      </c>
      <c r="AU42" s="35" t="s">
        <v>672</v>
      </c>
      <c r="AV42" s="35">
        <v>1.0</v>
      </c>
    </row>
    <row r="43">
      <c r="C43" s="35" t="s">
        <v>457</v>
      </c>
      <c r="D43" s="35">
        <v>1.0</v>
      </c>
      <c r="E43" s="35" t="s">
        <v>409</v>
      </c>
      <c r="F43" s="35">
        <v>1.0</v>
      </c>
      <c r="G43" s="35" t="s">
        <v>442</v>
      </c>
      <c r="H43" s="35">
        <v>1.0</v>
      </c>
      <c r="I43" s="35" t="s">
        <v>448</v>
      </c>
      <c r="J43" s="35">
        <v>1.0</v>
      </c>
      <c r="K43" s="35" t="s">
        <v>442</v>
      </c>
      <c r="L43" s="35">
        <v>2.0</v>
      </c>
      <c r="O43" s="35" t="s">
        <v>417</v>
      </c>
      <c r="P43" s="35">
        <v>2.0</v>
      </c>
      <c r="Q43" s="35" t="s">
        <v>419</v>
      </c>
      <c r="R43" s="35">
        <v>1.0</v>
      </c>
      <c r="S43" s="35" t="s">
        <v>453</v>
      </c>
      <c r="T43" s="35">
        <v>1.0</v>
      </c>
      <c r="U43" s="35" t="s">
        <v>443</v>
      </c>
      <c r="V43" s="35">
        <v>1.0</v>
      </c>
      <c r="W43" s="35" t="s">
        <v>443</v>
      </c>
      <c r="X43" s="35">
        <v>1.0</v>
      </c>
      <c r="AA43" s="35" t="s">
        <v>408</v>
      </c>
      <c r="AB43" s="35">
        <v>2.0</v>
      </c>
      <c r="AC43" s="35" t="s">
        <v>408</v>
      </c>
      <c r="AD43" s="35">
        <v>3.0</v>
      </c>
      <c r="AE43" s="35" t="s">
        <v>426</v>
      </c>
      <c r="AF43" s="35">
        <v>1.0</v>
      </c>
      <c r="AG43" s="35" t="s">
        <v>408</v>
      </c>
      <c r="AH43" s="35">
        <v>2.0</v>
      </c>
      <c r="AI43" s="35" t="s">
        <v>421</v>
      </c>
      <c r="AJ43" s="35">
        <v>2.0</v>
      </c>
      <c r="AK43" s="95"/>
      <c r="AL43" s="95"/>
      <c r="AM43" s="35" t="s">
        <v>421</v>
      </c>
      <c r="AN43" s="35">
        <v>1.0</v>
      </c>
      <c r="AO43" s="35" t="s">
        <v>408</v>
      </c>
      <c r="AP43" s="35">
        <v>1.0</v>
      </c>
      <c r="AQ43" s="35" t="s">
        <v>417</v>
      </c>
      <c r="AR43" s="35">
        <v>1.0</v>
      </c>
      <c r="AS43" s="109" t="s">
        <v>400</v>
      </c>
      <c r="AT43" s="35">
        <v>1.0</v>
      </c>
      <c r="AU43" s="35" t="s">
        <v>419</v>
      </c>
      <c r="AV43" s="35">
        <v>1.0</v>
      </c>
    </row>
    <row r="44">
      <c r="C44" s="35" t="s">
        <v>465</v>
      </c>
      <c r="D44" s="35">
        <v>3.0</v>
      </c>
      <c r="E44" s="87" t="s">
        <v>403</v>
      </c>
      <c r="F44" s="87">
        <v>1.0</v>
      </c>
      <c r="G44" s="35" t="s">
        <v>453</v>
      </c>
      <c r="H44" s="35">
        <v>1.0</v>
      </c>
      <c r="I44" s="35" t="s">
        <v>419</v>
      </c>
      <c r="J44" s="35">
        <v>2.0</v>
      </c>
      <c r="K44" s="35" t="s">
        <v>446</v>
      </c>
      <c r="L44" s="35">
        <v>2.0</v>
      </c>
      <c r="O44" s="35" t="s">
        <v>421</v>
      </c>
      <c r="P44" s="35">
        <v>1.0</v>
      </c>
      <c r="Q44" s="35" t="s">
        <v>408</v>
      </c>
      <c r="R44" s="35">
        <v>1.0</v>
      </c>
      <c r="S44" s="35" t="s">
        <v>465</v>
      </c>
      <c r="T44" s="35">
        <v>4.0</v>
      </c>
      <c r="U44" s="35" t="s">
        <v>449</v>
      </c>
      <c r="V44" s="35">
        <v>1.0</v>
      </c>
      <c r="W44" s="35" t="s">
        <v>442</v>
      </c>
      <c r="X44" s="35">
        <v>2.0</v>
      </c>
      <c r="AA44" s="35" t="s">
        <v>417</v>
      </c>
      <c r="AB44" s="35">
        <v>1.0</v>
      </c>
      <c r="AC44" s="35" t="s">
        <v>417</v>
      </c>
      <c r="AD44" s="35">
        <v>2.0</v>
      </c>
      <c r="AE44" s="35" t="s">
        <v>421</v>
      </c>
      <c r="AF44" s="35">
        <v>1.0</v>
      </c>
      <c r="AG44" s="35" t="s">
        <v>421</v>
      </c>
      <c r="AH44" s="35">
        <v>1.0</v>
      </c>
      <c r="AI44" s="35" t="s">
        <v>440</v>
      </c>
      <c r="AJ44" s="35">
        <v>1.0</v>
      </c>
      <c r="AK44" s="95"/>
      <c r="AL44" s="95"/>
      <c r="AM44" s="35" t="s">
        <v>447</v>
      </c>
      <c r="AN44" s="35">
        <v>1.0</v>
      </c>
      <c r="AO44" s="35" t="s">
        <v>417</v>
      </c>
      <c r="AP44" s="35">
        <v>1.0</v>
      </c>
      <c r="AQ44" s="35" t="s">
        <v>426</v>
      </c>
      <c r="AR44" s="35">
        <v>1.0</v>
      </c>
      <c r="AS44" s="109" t="s">
        <v>419</v>
      </c>
      <c r="AT44" s="35">
        <v>1.0</v>
      </c>
      <c r="AU44" s="35" t="s">
        <v>408</v>
      </c>
      <c r="AV44" s="35">
        <v>1.0</v>
      </c>
    </row>
    <row r="45">
      <c r="C45" s="35" t="s">
        <v>462</v>
      </c>
      <c r="D45" s="35">
        <v>1.0</v>
      </c>
      <c r="E45" s="87" t="s">
        <v>408</v>
      </c>
      <c r="F45" s="87">
        <v>1.0</v>
      </c>
      <c r="G45" s="35" t="s">
        <v>457</v>
      </c>
      <c r="H45" s="35">
        <v>3.0</v>
      </c>
      <c r="I45" s="35" t="s">
        <v>408</v>
      </c>
      <c r="J45" s="35">
        <v>1.0</v>
      </c>
      <c r="K45" s="35" t="s">
        <v>453</v>
      </c>
      <c r="L45" s="35">
        <v>3.0</v>
      </c>
      <c r="O45" s="35" t="s">
        <v>443</v>
      </c>
      <c r="P45" s="35">
        <v>1.0</v>
      </c>
      <c r="Q45" s="87" t="s">
        <v>417</v>
      </c>
      <c r="R45" s="87">
        <v>2.0</v>
      </c>
      <c r="S45" s="35" t="s">
        <v>460</v>
      </c>
      <c r="T45" s="35">
        <v>1.0</v>
      </c>
      <c r="U45" s="35" t="s">
        <v>453</v>
      </c>
      <c r="V45" s="35">
        <v>3.0</v>
      </c>
      <c r="W45" s="35" t="s">
        <v>446</v>
      </c>
      <c r="X45" s="35">
        <v>3.0</v>
      </c>
      <c r="AA45" s="35" t="s">
        <v>421</v>
      </c>
      <c r="AB45" s="35">
        <v>1.0</v>
      </c>
      <c r="AC45" s="87" t="s">
        <v>426</v>
      </c>
      <c r="AD45" s="87">
        <v>1.0</v>
      </c>
      <c r="AE45" s="35" t="s">
        <v>443</v>
      </c>
      <c r="AF45" s="35">
        <v>1.0</v>
      </c>
      <c r="AG45" s="35" t="s">
        <v>453</v>
      </c>
      <c r="AH45" s="35">
        <v>2.0</v>
      </c>
      <c r="AI45" s="35" t="s">
        <v>447</v>
      </c>
      <c r="AJ45" s="35">
        <v>1.0</v>
      </c>
      <c r="AK45" s="95"/>
      <c r="AL45" s="95"/>
      <c r="AM45" s="35" t="s">
        <v>442</v>
      </c>
      <c r="AN45" s="35">
        <v>3.0</v>
      </c>
      <c r="AO45" s="35" t="s">
        <v>421</v>
      </c>
      <c r="AP45" s="35">
        <v>2.0</v>
      </c>
      <c r="AQ45" s="35" t="s">
        <v>421</v>
      </c>
      <c r="AR45" s="35">
        <v>1.0</v>
      </c>
      <c r="AS45" s="35" t="s">
        <v>408</v>
      </c>
      <c r="AT45" s="35">
        <v>3.0</v>
      </c>
      <c r="AU45" s="35" t="s">
        <v>417</v>
      </c>
      <c r="AV45" s="35">
        <v>3.0</v>
      </c>
    </row>
    <row r="46">
      <c r="C46" s="35" t="s">
        <v>463</v>
      </c>
      <c r="D46" s="35">
        <v>1.0</v>
      </c>
      <c r="E46" s="87" t="s">
        <v>417</v>
      </c>
      <c r="F46" s="87">
        <v>2.0</v>
      </c>
      <c r="G46" s="35" t="s">
        <v>465</v>
      </c>
      <c r="H46" s="35">
        <v>1.0</v>
      </c>
      <c r="I46" s="35" t="s">
        <v>417</v>
      </c>
      <c r="J46" s="35">
        <v>3.0</v>
      </c>
      <c r="K46" s="35" t="s">
        <v>457</v>
      </c>
      <c r="L46" s="35">
        <v>1.0</v>
      </c>
      <c r="O46" s="35" t="s">
        <v>442</v>
      </c>
      <c r="P46" s="35">
        <v>3.0</v>
      </c>
      <c r="Q46" s="87" t="s">
        <v>421</v>
      </c>
      <c r="R46" s="87">
        <v>3.0</v>
      </c>
      <c r="S46" s="35" t="s">
        <v>462</v>
      </c>
      <c r="T46" s="35">
        <v>1.0</v>
      </c>
      <c r="U46" s="35" t="s">
        <v>457</v>
      </c>
      <c r="V46" s="35">
        <v>2.0</v>
      </c>
      <c r="W46" s="35" t="s">
        <v>453</v>
      </c>
      <c r="X46" s="35">
        <v>2.0</v>
      </c>
      <c r="AA46" s="35" t="s">
        <v>440</v>
      </c>
      <c r="AB46" s="35">
        <v>1.0</v>
      </c>
      <c r="AC46" s="87" t="s">
        <v>421</v>
      </c>
      <c r="AD46" s="87">
        <v>3.0</v>
      </c>
      <c r="AE46" s="35" t="s">
        <v>449</v>
      </c>
      <c r="AF46" s="35">
        <v>1.0</v>
      </c>
      <c r="AG46" s="35" t="s">
        <v>457</v>
      </c>
      <c r="AH46" s="35">
        <v>2.0</v>
      </c>
      <c r="AI46" s="35" t="s">
        <v>442</v>
      </c>
      <c r="AJ46" s="35">
        <v>1.0</v>
      </c>
      <c r="AK46" s="95"/>
      <c r="AL46" s="95"/>
      <c r="AM46" s="35" t="s">
        <v>453</v>
      </c>
      <c r="AN46" s="35">
        <v>2.0</v>
      </c>
      <c r="AO46" s="35" t="s">
        <v>431</v>
      </c>
      <c r="AP46" s="35">
        <v>2.0</v>
      </c>
      <c r="AQ46" s="35" t="s">
        <v>440</v>
      </c>
      <c r="AR46" s="35">
        <v>1.0</v>
      </c>
      <c r="AS46" s="35" t="s">
        <v>421</v>
      </c>
      <c r="AT46" s="35">
        <v>1.0</v>
      </c>
      <c r="AU46" s="35" t="s">
        <v>426</v>
      </c>
      <c r="AV46" s="35">
        <v>1.0</v>
      </c>
    </row>
    <row r="47">
      <c r="C47" s="35" t="s">
        <v>468</v>
      </c>
      <c r="D47" s="35">
        <v>2.0</v>
      </c>
      <c r="E47" s="87" t="s">
        <v>421</v>
      </c>
      <c r="F47" s="87">
        <v>2.0</v>
      </c>
      <c r="G47" s="35" t="s">
        <v>468</v>
      </c>
      <c r="H47" s="35">
        <v>2.0</v>
      </c>
      <c r="I47" s="35" t="s">
        <v>443</v>
      </c>
      <c r="J47" s="35">
        <v>1.0</v>
      </c>
      <c r="K47" s="35" t="s">
        <v>465</v>
      </c>
      <c r="L47" s="35">
        <v>1.0</v>
      </c>
      <c r="O47" s="35" t="s">
        <v>453</v>
      </c>
      <c r="P47" s="35">
        <v>2.0</v>
      </c>
      <c r="Q47" s="87" t="s">
        <v>449</v>
      </c>
      <c r="R47" s="87">
        <v>1.0</v>
      </c>
      <c r="S47" s="35" t="s">
        <v>468</v>
      </c>
      <c r="T47" s="35">
        <v>3.0</v>
      </c>
      <c r="U47" s="35" t="s">
        <v>465</v>
      </c>
      <c r="V47" s="35">
        <v>3.0</v>
      </c>
      <c r="W47" s="35" t="s">
        <v>457</v>
      </c>
      <c r="X47" s="35">
        <v>3.0</v>
      </c>
      <c r="AA47" s="35" t="s">
        <v>442</v>
      </c>
      <c r="AB47" s="35">
        <v>4.0</v>
      </c>
      <c r="AC47" s="87" t="s">
        <v>431</v>
      </c>
      <c r="AD47" s="87">
        <v>1.0</v>
      </c>
      <c r="AE47" s="35" t="s">
        <v>436</v>
      </c>
      <c r="AF47" s="35">
        <v>1.0</v>
      </c>
      <c r="AG47" s="35" t="s">
        <v>465</v>
      </c>
      <c r="AH47" s="35">
        <v>1.0</v>
      </c>
      <c r="AI47" s="35" t="s">
        <v>446</v>
      </c>
      <c r="AJ47" s="35">
        <v>1.0</v>
      </c>
      <c r="AK47" s="95"/>
      <c r="AL47" s="95"/>
      <c r="AM47" s="35" t="s">
        <v>457</v>
      </c>
      <c r="AN47" s="35">
        <v>4.0</v>
      </c>
      <c r="AO47" s="35" t="s">
        <v>443</v>
      </c>
      <c r="AP47" s="35">
        <v>1.0</v>
      </c>
      <c r="AQ47" s="35" t="s">
        <v>443</v>
      </c>
      <c r="AR47" s="35">
        <v>1.0</v>
      </c>
      <c r="AS47" s="35" t="s">
        <v>440</v>
      </c>
      <c r="AT47" s="35">
        <v>1.0</v>
      </c>
      <c r="AU47" s="35" t="s">
        <v>421</v>
      </c>
      <c r="AV47" s="35">
        <v>2.0</v>
      </c>
    </row>
    <row r="48">
      <c r="C48" s="35" t="s">
        <v>533</v>
      </c>
      <c r="D48" s="35">
        <v>1.0</v>
      </c>
      <c r="E48" s="87" t="s">
        <v>673</v>
      </c>
      <c r="F48" s="87">
        <v>1.0</v>
      </c>
      <c r="G48" s="35" t="s">
        <v>472</v>
      </c>
      <c r="H48" s="35">
        <v>1.0</v>
      </c>
      <c r="I48" s="35" t="s">
        <v>449</v>
      </c>
      <c r="J48" s="35">
        <v>2.0</v>
      </c>
      <c r="K48" s="35" t="s">
        <v>468</v>
      </c>
      <c r="L48" s="35">
        <v>4.0</v>
      </c>
      <c r="O48" s="35" t="s">
        <v>457</v>
      </c>
      <c r="P48" s="35">
        <v>2.0</v>
      </c>
      <c r="Q48" s="87" t="s">
        <v>442</v>
      </c>
      <c r="R48" s="87">
        <v>2.0</v>
      </c>
      <c r="S48" s="35" t="s">
        <v>472</v>
      </c>
      <c r="T48" s="35">
        <v>1.0</v>
      </c>
      <c r="U48" s="35" t="s">
        <v>462</v>
      </c>
      <c r="V48" s="35">
        <v>1.0</v>
      </c>
      <c r="W48" s="35" t="s">
        <v>465</v>
      </c>
      <c r="X48" s="35">
        <v>1.0</v>
      </c>
      <c r="AA48" s="35" t="s">
        <v>453</v>
      </c>
      <c r="AB48" s="35">
        <v>1.0</v>
      </c>
      <c r="AC48" s="87" t="s">
        <v>673</v>
      </c>
      <c r="AD48" s="87">
        <v>1.0</v>
      </c>
      <c r="AE48" s="35" t="s">
        <v>453</v>
      </c>
      <c r="AF48" s="35">
        <v>1.0</v>
      </c>
      <c r="AG48" s="35" t="s">
        <v>460</v>
      </c>
      <c r="AH48" s="35">
        <v>1.0</v>
      </c>
      <c r="AI48" s="35" t="s">
        <v>457</v>
      </c>
      <c r="AJ48" s="35">
        <v>5.0</v>
      </c>
      <c r="AK48" s="95"/>
      <c r="AL48" s="95"/>
      <c r="AM48" s="35" t="s">
        <v>465</v>
      </c>
      <c r="AN48" s="35">
        <v>1.0</v>
      </c>
      <c r="AO48" s="87" t="s">
        <v>447</v>
      </c>
      <c r="AP48" s="87">
        <v>1.0</v>
      </c>
      <c r="AQ48" s="35" t="s">
        <v>447</v>
      </c>
      <c r="AR48" s="35">
        <v>1.0</v>
      </c>
      <c r="AS48" s="35" t="s">
        <v>446</v>
      </c>
      <c r="AT48" s="35">
        <v>1.0</v>
      </c>
      <c r="AU48" s="35" t="s">
        <v>443</v>
      </c>
      <c r="AV48" s="35">
        <v>1.0</v>
      </c>
    </row>
    <row r="49">
      <c r="C49" s="35" t="s">
        <v>507</v>
      </c>
      <c r="D49" s="35">
        <v>1.0</v>
      </c>
      <c r="E49" s="87" t="s">
        <v>447</v>
      </c>
      <c r="F49" s="87">
        <v>1.0</v>
      </c>
      <c r="G49" s="35" t="s">
        <v>486</v>
      </c>
      <c r="H49" s="35">
        <v>1.0</v>
      </c>
      <c r="I49" s="35" t="s">
        <v>673</v>
      </c>
      <c r="J49" s="35">
        <v>1.0</v>
      </c>
      <c r="K49" s="35" t="s">
        <v>472</v>
      </c>
      <c r="L49" s="35">
        <v>2.0</v>
      </c>
      <c r="O49" s="35" t="s">
        <v>465</v>
      </c>
      <c r="P49" s="35">
        <v>1.0</v>
      </c>
      <c r="Q49" s="87" t="s">
        <v>453</v>
      </c>
      <c r="R49" s="87">
        <v>3.0</v>
      </c>
      <c r="S49" s="35" t="s">
        <v>483</v>
      </c>
      <c r="T49" s="35">
        <v>1.0</v>
      </c>
      <c r="U49" s="35" t="s">
        <v>468</v>
      </c>
      <c r="V49" s="35">
        <v>2.0</v>
      </c>
      <c r="W49" s="35" t="s">
        <v>462</v>
      </c>
      <c r="X49" s="35">
        <v>1.0</v>
      </c>
      <c r="AA49" s="35" t="s">
        <v>457</v>
      </c>
      <c r="AB49" s="35">
        <v>2.0</v>
      </c>
      <c r="AC49" s="87" t="s">
        <v>442</v>
      </c>
      <c r="AD49" s="87">
        <v>1.0</v>
      </c>
      <c r="AE49" s="35" t="s">
        <v>457</v>
      </c>
      <c r="AF49" s="35">
        <v>2.0</v>
      </c>
      <c r="AG49" s="35" t="s">
        <v>462</v>
      </c>
      <c r="AH49" s="35">
        <v>1.0</v>
      </c>
      <c r="AI49" s="35" t="s">
        <v>465</v>
      </c>
      <c r="AJ49" s="35">
        <v>1.0</v>
      </c>
      <c r="AK49" s="95"/>
      <c r="AL49" s="95"/>
      <c r="AM49" s="35" t="s">
        <v>462</v>
      </c>
      <c r="AN49" s="35">
        <v>1.0</v>
      </c>
      <c r="AO49" s="87" t="s">
        <v>442</v>
      </c>
      <c r="AP49" s="87">
        <v>1.0</v>
      </c>
      <c r="AQ49" s="35" t="s">
        <v>453</v>
      </c>
      <c r="AR49" s="35">
        <v>1.0</v>
      </c>
      <c r="AS49" s="35" t="s">
        <v>453</v>
      </c>
      <c r="AT49" s="35">
        <v>3.0</v>
      </c>
      <c r="AU49" s="35" t="s">
        <v>442</v>
      </c>
      <c r="AV49" s="35">
        <v>1.0</v>
      </c>
    </row>
    <row r="50">
      <c r="C50" s="35" t="s">
        <v>495</v>
      </c>
      <c r="D50" s="35">
        <v>2.0</v>
      </c>
      <c r="E50" s="87" t="s">
        <v>442</v>
      </c>
      <c r="F50" s="87">
        <v>1.0</v>
      </c>
      <c r="G50" s="35" t="s">
        <v>674</v>
      </c>
      <c r="H50" s="35">
        <v>1.0</v>
      </c>
      <c r="I50" s="35" t="s">
        <v>442</v>
      </c>
      <c r="J50" s="35">
        <v>1.0</v>
      </c>
      <c r="K50" s="35" t="s">
        <v>506</v>
      </c>
      <c r="L50" s="35">
        <v>1.0</v>
      </c>
      <c r="O50" s="35" t="s">
        <v>462</v>
      </c>
      <c r="P50" s="35">
        <v>1.0</v>
      </c>
      <c r="Q50" s="87" t="s">
        <v>465</v>
      </c>
      <c r="R50" s="87">
        <v>2.0</v>
      </c>
      <c r="S50" s="35" t="s">
        <v>488</v>
      </c>
      <c r="T50" s="35">
        <v>1.0</v>
      </c>
      <c r="U50" s="35" t="s">
        <v>476</v>
      </c>
      <c r="V50" s="35">
        <v>1.0</v>
      </c>
      <c r="W50" s="35" t="s">
        <v>468</v>
      </c>
      <c r="X50" s="35">
        <v>5.0</v>
      </c>
      <c r="AA50" s="35" t="s">
        <v>465</v>
      </c>
      <c r="AB50" s="35">
        <v>2.0</v>
      </c>
      <c r="AC50" s="87" t="s">
        <v>453</v>
      </c>
      <c r="AD50" s="87">
        <v>2.0</v>
      </c>
      <c r="AE50" s="35" t="s">
        <v>465</v>
      </c>
      <c r="AF50" s="35">
        <v>2.0</v>
      </c>
      <c r="AG50" s="35" t="s">
        <v>718</v>
      </c>
      <c r="AH50" s="35">
        <v>1.0</v>
      </c>
      <c r="AI50" s="35" t="s">
        <v>460</v>
      </c>
      <c r="AJ50" s="35">
        <v>2.0</v>
      </c>
      <c r="AK50" s="95"/>
      <c r="AL50" s="95"/>
      <c r="AM50" s="35" t="s">
        <v>468</v>
      </c>
      <c r="AN50" s="35">
        <v>1.0</v>
      </c>
      <c r="AO50" s="87" t="s">
        <v>446</v>
      </c>
      <c r="AP50" s="87">
        <v>2.0</v>
      </c>
      <c r="AQ50" s="35" t="s">
        <v>457</v>
      </c>
      <c r="AR50" s="35">
        <v>5.0</v>
      </c>
      <c r="AS50" s="35" t="s">
        <v>457</v>
      </c>
      <c r="AT50" s="35">
        <v>2.0</v>
      </c>
      <c r="AU50" s="35" t="s">
        <v>446</v>
      </c>
      <c r="AV50" s="35">
        <v>1.0</v>
      </c>
    </row>
    <row r="51">
      <c r="C51" s="35" t="s">
        <v>515</v>
      </c>
      <c r="D51" s="35">
        <v>2.0</v>
      </c>
      <c r="E51" s="87" t="s">
        <v>453</v>
      </c>
      <c r="F51" s="87">
        <v>1.0</v>
      </c>
      <c r="G51" s="35" t="s">
        <v>500</v>
      </c>
      <c r="H51" s="35">
        <v>1.0</v>
      </c>
      <c r="I51" s="35" t="s">
        <v>453</v>
      </c>
      <c r="J51" s="35">
        <v>1.0</v>
      </c>
      <c r="K51" s="35" t="s">
        <v>484</v>
      </c>
      <c r="L51" s="35">
        <v>1.0</v>
      </c>
      <c r="O51" s="35" t="s">
        <v>468</v>
      </c>
      <c r="P51" s="35">
        <v>1.0</v>
      </c>
      <c r="Q51" s="87" t="s">
        <v>460</v>
      </c>
      <c r="R51" s="87">
        <v>1.0</v>
      </c>
      <c r="S51" s="35" t="s">
        <v>504</v>
      </c>
      <c r="T51" s="35">
        <v>1.0</v>
      </c>
      <c r="U51" s="35" t="s">
        <v>471</v>
      </c>
      <c r="V51" s="35">
        <v>1.0</v>
      </c>
      <c r="W51" s="35" t="s">
        <v>472</v>
      </c>
      <c r="X51" s="35">
        <v>2.0</v>
      </c>
      <c r="AA51" s="35" t="s">
        <v>462</v>
      </c>
      <c r="AB51" s="35">
        <v>1.0</v>
      </c>
      <c r="AC51" s="87" t="s">
        <v>465</v>
      </c>
      <c r="AD51" s="87">
        <v>1.0</v>
      </c>
      <c r="AE51" s="35" t="s">
        <v>460</v>
      </c>
      <c r="AF51" s="35">
        <v>1.0</v>
      </c>
      <c r="AG51" s="35" t="s">
        <v>468</v>
      </c>
      <c r="AH51" s="35">
        <v>2.0</v>
      </c>
      <c r="AI51" s="35" t="s">
        <v>468</v>
      </c>
      <c r="AJ51" s="35">
        <v>5.0</v>
      </c>
      <c r="AK51" s="95"/>
      <c r="AL51" s="95"/>
      <c r="AM51" s="35" t="s">
        <v>506</v>
      </c>
      <c r="AN51" s="35">
        <v>1.0</v>
      </c>
      <c r="AO51" s="87" t="s">
        <v>453</v>
      </c>
      <c r="AP51" s="87">
        <v>3.0</v>
      </c>
      <c r="AQ51" s="35" t="s">
        <v>465</v>
      </c>
      <c r="AR51" s="35">
        <v>2.0</v>
      </c>
      <c r="AS51" s="35" t="s">
        <v>465</v>
      </c>
      <c r="AT51" s="35">
        <v>3.0</v>
      </c>
      <c r="AU51" s="35" t="s">
        <v>465</v>
      </c>
      <c r="AV51" s="35">
        <v>2.0</v>
      </c>
    </row>
    <row r="52">
      <c r="C52" s="35" t="s">
        <v>513</v>
      </c>
      <c r="D52" s="35">
        <v>1.0</v>
      </c>
      <c r="E52" s="87" t="s">
        <v>457</v>
      </c>
      <c r="F52" s="87">
        <v>2.0</v>
      </c>
      <c r="G52" s="35" t="s">
        <v>507</v>
      </c>
      <c r="H52" s="35">
        <v>1.0</v>
      </c>
      <c r="I52" s="35" t="s">
        <v>465</v>
      </c>
      <c r="J52" s="35">
        <v>2.0</v>
      </c>
      <c r="K52" s="35" t="s">
        <v>674</v>
      </c>
      <c r="L52" s="35">
        <v>1.0</v>
      </c>
      <c r="O52" s="35" t="s">
        <v>476</v>
      </c>
      <c r="P52" s="35">
        <v>1.0</v>
      </c>
      <c r="Q52" s="87" t="s">
        <v>462</v>
      </c>
      <c r="R52" s="87">
        <v>1.0</v>
      </c>
      <c r="S52" s="35" t="s">
        <v>495</v>
      </c>
      <c r="T52" s="35">
        <v>3.0</v>
      </c>
      <c r="U52" s="35" t="s">
        <v>486</v>
      </c>
      <c r="V52" s="35">
        <v>1.0</v>
      </c>
      <c r="W52" s="35" t="s">
        <v>471</v>
      </c>
      <c r="X52" s="35">
        <v>1.0</v>
      </c>
      <c r="AA52" s="35" t="s">
        <v>468</v>
      </c>
      <c r="AB52" s="35">
        <v>1.0</v>
      </c>
      <c r="AC52" s="87" t="s">
        <v>460</v>
      </c>
      <c r="AD52" s="87">
        <v>1.0</v>
      </c>
      <c r="AE52" s="35" t="s">
        <v>462</v>
      </c>
      <c r="AF52" s="35">
        <v>2.0</v>
      </c>
      <c r="AG52" s="35" t="s">
        <v>472</v>
      </c>
      <c r="AH52" s="35">
        <v>1.0</v>
      </c>
      <c r="AI52" s="35" t="s">
        <v>476</v>
      </c>
      <c r="AJ52" s="35">
        <v>1.0</v>
      </c>
      <c r="AK52" s="95"/>
      <c r="AL52" s="95"/>
      <c r="AM52" s="35" t="s">
        <v>487</v>
      </c>
      <c r="AN52" s="35">
        <v>1.0</v>
      </c>
      <c r="AO52" s="87" t="s">
        <v>457</v>
      </c>
      <c r="AP52" s="87">
        <v>1.0</v>
      </c>
      <c r="AQ52" s="35" t="s">
        <v>462</v>
      </c>
      <c r="AR52" s="35">
        <v>2.0</v>
      </c>
      <c r="AS52" s="35" t="s">
        <v>468</v>
      </c>
      <c r="AT52" s="35">
        <v>2.0</v>
      </c>
      <c r="AU52" s="35" t="s">
        <v>462</v>
      </c>
      <c r="AV52" s="35">
        <v>1.0</v>
      </c>
    </row>
    <row r="53">
      <c r="C53" s="35" t="s">
        <v>519</v>
      </c>
      <c r="D53" s="35">
        <v>3.0</v>
      </c>
      <c r="E53" s="87" t="s">
        <v>465</v>
      </c>
      <c r="F53" s="87">
        <v>2.0</v>
      </c>
      <c r="G53" s="35" t="s">
        <v>508</v>
      </c>
      <c r="H53" s="35">
        <v>1.0</v>
      </c>
      <c r="I53" s="35" t="s">
        <v>460</v>
      </c>
      <c r="J53" s="35">
        <v>1.0</v>
      </c>
      <c r="K53" s="35" t="s">
        <v>497</v>
      </c>
      <c r="L53" s="35">
        <v>1.0</v>
      </c>
      <c r="O53" s="35" t="s">
        <v>514</v>
      </c>
      <c r="P53" s="35">
        <v>1.0</v>
      </c>
      <c r="Q53" s="87" t="s">
        <v>468</v>
      </c>
      <c r="R53" s="87">
        <v>4.0</v>
      </c>
      <c r="S53" s="35" t="s">
        <v>515</v>
      </c>
      <c r="T53" s="35">
        <v>3.0</v>
      </c>
      <c r="U53" s="35" t="s">
        <v>674</v>
      </c>
      <c r="V53" s="35">
        <v>3.0</v>
      </c>
      <c r="W53" s="35" t="s">
        <v>477</v>
      </c>
      <c r="X53" s="35">
        <v>1.0</v>
      </c>
      <c r="AA53" s="35" t="s">
        <v>506</v>
      </c>
      <c r="AB53" s="35">
        <v>1.0</v>
      </c>
      <c r="AC53" s="87" t="s">
        <v>462</v>
      </c>
      <c r="AD53" s="87">
        <v>1.0</v>
      </c>
      <c r="AE53" s="35" t="s">
        <v>468</v>
      </c>
      <c r="AF53" s="35">
        <v>1.0</v>
      </c>
      <c r="AG53" s="35" t="s">
        <v>471</v>
      </c>
      <c r="AH53" s="35">
        <v>1.0</v>
      </c>
      <c r="AI53" s="35" t="s">
        <v>471</v>
      </c>
      <c r="AJ53" s="35">
        <v>1.0</v>
      </c>
      <c r="AK53" s="95"/>
      <c r="AL53" s="95"/>
      <c r="AM53" s="35" t="s">
        <v>495</v>
      </c>
      <c r="AN53" s="35">
        <v>2.0</v>
      </c>
      <c r="AO53" s="87" t="s">
        <v>465</v>
      </c>
      <c r="AP53" s="87">
        <v>1.0</v>
      </c>
      <c r="AQ53" s="35" t="s">
        <v>468</v>
      </c>
      <c r="AR53" s="35">
        <v>2.0</v>
      </c>
      <c r="AS53" s="35" t="s">
        <v>472</v>
      </c>
      <c r="AT53" s="35">
        <v>2.0</v>
      </c>
      <c r="AU53" s="35" t="s">
        <v>463</v>
      </c>
      <c r="AV53" s="35">
        <v>2.0</v>
      </c>
    </row>
    <row r="54">
      <c r="C54" s="35" t="s">
        <v>518</v>
      </c>
      <c r="D54" s="35">
        <v>3.0</v>
      </c>
      <c r="E54" s="87" t="s">
        <v>462</v>
      </c>
      <c r="F54" s="87">
        <v>1.0</v>
      </c>
      <c r="G54" s="35" t="s">
        <v>495</v>
      </c>
      <c r="H54" s="35">
        <v>1.0</v>
      </c>
      <c r="I54" s="35" t="s">
        <v>468</v>
      </c>
      <c r="J54" s="35">
        <v>2.0</v>
      </c>
      <c r="K54" s="35" t="s">
        <v>496</v>
      </c>
      <c r="L54" s="35">
        <v>1.0</v>
      </c>
      <c r="O54" s="35" t="s">
        <v>484</v>
      </c>
      <c r="P54" s="35">
        <v>1.0</v>
      </c>
      <c r="Q54" s="87" t="s">
        <v>514</v>
      </c>
      <c r="R54" s="87">
        <v>1.0</v>
      </c>
      <c r="S54" s="35" t="s">
        <v>513</v>
      </c>
      <c r="T54" s="35">
        <v>1.0</v>
      </c>
      <c r="U54" s="35" t="s">
        <v>501</v>
      </c>
      <c r="V54" s="35">
        <v>2.0</v>
      </c>
      <c r="W54" s="35" t="s">
        <v>506</v>
      </c>
      <c r="X54" s="35">
        <v>1.0</v>
      </c>
      <c r="AA54" s="35" t="s">
        <v>533</v>
      </c>
      <c r="AB54" s="35">
        <v>1.0</v>
      </c>
      <c r="AC54" s="87" t="s">
        <v>468</v>
      </c>
      <c r="AD54" s="87">
        <v>2.0</v>
      </c>
      <c r="AE54" s="35" t="s">
        <v>481</v>
      </c>
      <c r="AF54" s="35">
        <v>1.0</v>
      </c>
      <c r="AG54" s="35" t="s">
        <v>514</v>
      </c>
      <c r="AH54" s="35">
        <v>2.0</v>
      </c>
      <c r="AI54" s="35" t="s">
        <v>506</v>
      </c>
      <c r="AJ54" s="35">
        <v>2.0</v>
      </c>
      <c r="AK54" s="95"/>
      <c r="AL54" s="95"/>
      <c r="AM54" s="35" t="s">
        <v>523</v>
      </c>
      <c r="AN54" s="35">
        <v>1.0</v>
      </c>
      <c r="AO54" s="87" t="s">
        <v>462</v>
      </c>
      <c r="AP54" s="87">
        <v>3.0</v>
      </c>
      <c r="AQ54" s="35" t="s">
        <v>484</v>
      </c>
      <c r="AR54" s="35">
        <v>1.0</v>
      </c>
      <c r="AS54" s="35" t="s">
        <v>481</v>
      </c>
      <c r="AT54" s="35">
        <v>1.0</v>
      </c>
      <c r="AU54" s="35" t="s">
        <v>468</v>
      </c>
      <c r="AV54" s="35">
        <v>3.0</v>
      </c>
    </row>
    <row r="55">
      <c r="C55" s="35" t="s">
        <v>525</v>
      </c>
      <c r="D55" s="35">
        <v>0.0</v>
      </c>
      <c r="E55" s="35" t="s">
        <v>468</v>
      </c>
      <c r="F55" s="35">
        <v>1.0</v>
      </c>
      <c r="G55" s="35" t="s">
        <v>515</v>
      </c>
      <c r="H55" s="35">
        <v>1.0</v>
      </c>
      <c r="I55" s="35" t="s">
        <v>471</v>
      </c>
      <c r="J55" s="35">
        <v>4.0</v>
      </c>
      <c r="K55" s="35" t="s">
        <v>508</v>
      </c>
      <c r="L55" s="35">
        <v>1.0</v>
      </c>
      <c r="O55" s="35" t="s">
        <v>674</v>
      </c>
      <c r="P55" s="35">
        <v>2.0</v>
      </c>
      <c r="Q55" s="87" t="s">
        <v>479</v>
      </c>
      <c r="R55" s="87">
        <v>2.0</v>
      </c>
      <c r="S55" s="35" t="s">
        <v>526</v>
      </c>
      <c r="T55" s="35">
        <v>1.0</v>
      </c>
      <c r="U55" s="35" t="s">
        <v>497</v>
      </c>
      <c r="V55" s="35">
        <v>1.0</v>
      </c>
      <c r="W55" s="35" t="s">
        <v>514</v>
      </c>
      <c r="X55" s="35">
        <v>1.0</v>
      </c>
      <c r="AA55" s="35" t="s">
        <v>507</v>
      </c>
      <c r="AB55" s="35">
        <v>1.0</v>
      </c>
      <c r="AC55" s="87" t="s">
        <v>472</v>
      </c>
      <c r="AD55" s="87">
        <v>3.0</v>
      </c>
      <c r="AE55" s="35" t="s">
        <v>483</v>
      </c>
      <c r="AF55" s="35">
        <v>1.0</v>
      </c>
      <c r="AG55" s="35" t="s">
        <v>483</v>
      </c>
      <c r="AH55" s="35">
        <v>1.0</v>
      </c>
      <c r="AI55" s="35" t="s">
        <v>479</v>
      </c>
      <c r="AJ55" s="35">
        <v>2.0</v>
      </c>
      <c r="AK55" s="95"/>
      <c r="AL55" s="95"/>
      <c r="AM55" s="35" t="s">
        <v>515</v>
      </c>
      <c r="AN55" s="35">
        <v>2.0</v>
      </c>
      <c r="AO55" s="87" t="s">
        <v>468</v>
      </c>
      <c r="AP55" s="87">
        <v>3.0</v>
      </c>
      <c r="AQ55" s="35" t="s">
        <v>501</v>
      </c>
      <c r="AR55" s="35">
        <v>1.0</v>
      </c>
      <c r="AS55" s="35" t="s">
        <v>506</v>
      </c>
      <c r="AT55" s="35">
        <v>1.0</v>
      </c>
      <c r="AU55" s="35" t="s">
        <v>476</v>
      </c>
      <c r="AV55" s="35">
        <v>1.0</v>
      </c>
    </row>
    <row r="56">
      <c r="C56" s="35" t="s">
        <v>530</v>
      </c>
      <c r="D56" s="35">
        <v>1.0</v>
      </c>
      <c r="E56" s="35" t="s">
        <v>517</v>
      </c>
      <c r="F56" s="35">
        <v>1.0</v>
      </c>
      <c r="G56" s="35" t="s">
        <v>526</v>
      </c>
      <c r="H56" s="35">
        <v>1.0</v>
      </c>
      <c r="I56" s="35" t="s">
        <v>514</v>
      </c>
      <c r="J56" s="35">
        <v>3.0</v>
      </c>
      <c r="K56" s="109" t="s">
        <v>495</v>
      </c>
      <c r="L56" s="35">
        <v>3.0</v>
      </c>
      <c r="O56" s="35" t="s">
        <v>719</v>
      </c>
      <c r="P56" s="35">
        <v>1.0</v>
      </c>
      <c r="Q56" s="35" t="s">
        <v>484</v>
      </c>
      <c r="R56" s="35">
        <v>1.0</v>
      </c>
      <c r="S56" s="35" t="s">
        <v>519</v>
      </c>
      <c r="T56" s="35">
        <v>3.0</v>
      </c>
      <c r="U56" s="35" t="s">
        <v>507</v>
      </c>
      <c r="V56" s="35">
        <v>1.0</v>
      </c>
      <c r="W56" s="109" t="s">
        <v>479</v>
      </c>
      <c r="X56" s="35">
        <v>2.0</v>
      </c>
      <c r="AA56" s="35" t="s">
        <v>495</v>
      </c>
      <c r="AB56" s="35">
        <v>3.0</v>
      </c>
      <c r="AC56" s="35" t="s">
        <v>471</v>
      </c>
      <c r="AD56" s="35">
        <v>1.0</v>
      </c>
      <c r="AE56" s="35" t="s">
        <v>484</v>
      </c>
      <c r="AF56" s="35">
        <v>1.0</v>
      </c>
      <c r="AG56" s="35" t="s">
        <v>484</v>
      </c>
      <c r="AH56" s="35">
        <v>1.0</v>
      </c>
      <c r="AI56" s="109" t="s">
        <v>483</v>
      </c>
      <c r="AJ56" s="35">
        <v>2.0</v>
      </c>
      <c r="AK56" s="95"/>
      <c r="AL56" s="95"/>
      <c r="AM56" s="35" t="s">
        <v>503</v>
      </c>
      <c r="AN56" s="35">
        <v>1.0</v>
      </c>
      <c r="AO56" s="87" t="s">
        <v>477</v>
      </c>
      <c r="AP56" s="87">
        <v>1.0</v>
      </c>
      <c r="AQ56" s="35" t="s">
        <v>500</v>
      </c>
      <c r="AR56" s="35">
        <v>1.0</v>
      </c>
      <c r="AS56" s="35" t="s">
        <v>514</v>
      </c>
      <c r="AT56" s="35">
        <v>1.0</v>
      </c>
      <c r="AU56" s="109" t="s">
        <v>472</v>
      </c>
      <c r="AV56" s="35">
        <v>1.0</v>
      </c>
    </row>
    <row r="57">
      <c r="C57" s="35" t="s">
        <v>541</v>
      </c>
      <c r="D57" s="35">
        <v>1.0</v>
      </c>
      <c r="E57" s="35" t="s">
        <v>483</v>
      </c>
      <c r="F57" s="35">
        <v>2.0</v>
      </c>
      <c r="G57" s="35" t="s">
        <v>519</v>
      </c>
      <c r="H57" s="35">
        <v>2.0</v>
      </c>
      <c r="I57" s="35" t="s">
        <v>484</v>
      </c>
      <c r="J57" s="35">
        <v>2.0</v>
      </c>
      <c r="K57" s="35" t="s">
        <v>523</v>
      </c>
      <c r="L57" s="35">
        <v>1.0</v>
      </c>
      <c r="O57" s="35" t="s">
        <v>487</v>
      </c>
      <c r="P57" s="35">
        <v>1.0</v>
      </c>
      <c r="Q57" s="35" t="s">
        <v>497</v>
      </c>
      <c r="R57" s="35">
        <v>1.0</v>
      </c>
      <c r="S57" s="35" t="s">
        <v>518</v>
      </c>
      <c r="T57" s="35">
        <v>1.0</v>
      </c>
      <c r="U57" s="35" t="s">
        <v>495</v>
      </c>
      <c r="V57" s="35">
        <v>6.0</v>
      </c>
      <c r="W57" s="109" t="s">
        <v>483</v>
      </c>
      <c r="X57" s="35">
        <v>2.0</v>
      </c>
      <c r="AA57" s="35" t="s">
        <v>523</v>
      </c>
      <c r="AB57" s="35">
        <v>1.0</v>
      </c>
      <c r="AC57" s="35" t="s">
        <v>486</v>
      </c>
      <c r="AD57" s="35">
        <v>1.0</v>
      </c>
      <c r="AE57" s="35" t="s">
        <v>500</v>
      </c>
      <c r="AF57" s="35">
        <v>1.0</v>
      </c>
      <c r="AG57" s="35" t="s">
        <v>674</v>
      </c>
      <c r="AH57" s="35">
        <v>3.0</v>
      </c>
      <c r="AI57" s="35" t="s">
        <v>533</v>
      </c>
      <c r="AJ57" s="35">
        <v>1.0</v>
      </c>
      <c r="AK57" s="95"/>
      <c r="AL57" s="95"/>
      <c r="AM57" s="35" t="s">
        <v>513</v>
      </c>
      <c r="AN57" s="35">
        <v>1.0</v>
      </c>
      <c r="AO57" s="87" t="s">
        <v>486</v>
      </c>
      <c r="AP57" s="87">
        <v>1.0</v>
      </c>
      <c r="AQ57" s="35" t="s">
        <v>495</v>
      </c>
      <c r="AR57" s="35">
        <v>2.0</v>
      </c>
      <c r="AS57" s="35" t="s">
        <v>674</v>
      </c>
      <c r="AT57" s="35">
        <v>1.0</v>
      </c>
      <c r="AU57" s="35" t="s">
        <v>481</v>
      </c>
      <c r="AV57" s="35">
        <v>1.0</v>
      </c>
    </row>
    <row r="58">
      <c r="C58" s="35" t="s">
        <v>535</v>
      </c>
      <c r="D58" s="35">
        <v>2.0</v>
      </c>
      <c r="E58" s="35" t="s">
        <v>674</v>
      </c>
      <c r="F58" s="35">
        <v>2.0</v>
      </c>
      <c r="G58" s="35" t="s">
        <v>518</v>
      </c>
      <c r="H58" s="35">
        <v>2.0</v>
      </c>
      <c r="I58" s="35" t="s">
        <v>674</v>
      </c>
      <c r="J58" s="35">
        <v>2.0</v>
      </c>
      <c r="K58" s="35" t="s">
        <v>503</v>
      </c>
      <c r="L58" s="35">
        <v>4.0</v>
      </c>
      <c r="O58" s="35" t="s">
        <v>507</v>
      </c>
      <c r="P58" s="35">
        <v>1.0</v>
      </c>
      <c r="Q58" s="35" t="s">
        <v>507</v>
      </c>
      <c r="R58" s="35">
        <v>1.0</v>
      </c>
      <c r="S58" s="35" t="s">
        <v>540</v>
      </c>
      <c r="T58" s="35">
        <v>2.0</v>
      </c>
      <c r="U58" s="35" t="s">
        <v>515</v>
      </c>
      <c r="V58" s="35">
        <v>2.0</v>
      </c>
      <c r="W58" s="35" t="s">
        <v>484</v>
      </c>
      <c r="X58" s="35">
        <v>1.0</v>
      </c>
      <c r="AA58" s="35" t="s">
        <v>515</v>
      </c>
      <c r="AB58" s="35">
        <v>2.0</v>
      </c>
      <c r="AC58" s="35" t="s">
        <v>479</v>
      </c>
      <c r="AD58" s="35">
        <v>1.0</v>
      </c>
      <c r="AE58" s="35" t="s">
        <v>507</v>
      </c>
      <c r="AF58" s="35">
        <v>1.0</v>
      </c>
      <c r="AG58" s="35" t="s">
        <v>497</v>
      </c>
      <c r="AH58" s="35">
        <v>1.0</v>
      </c>
      <c r="AI58" s="35" t="s">
        <v>488</v>
      </c>
      <c r="AJ58" s="35">
        <v>1.0</v>
      </c>
      <c r="AK58" s="95"/>
      <c r="AL58" s="95"/>
      <c r="AM58" s="35" t="s">
        <v>519</v>
      </c>
      <c r="AN58" s="35">
        <v>2.0</v>
      </c>
      <c r="AO58" s="87" t="s">
        <v>514</v>
      </c>
      <c r="AP58" s="87">
        <v>1.0</v>
      </c>
      <c r="AQ58" s="35" t="s">
        <v>515</v>
      </c>
      <c r="AR58" s="35">
        <v>1.0</v>
      </c>
      <c r="AS58" s="35" t="s">
        <v>501</v>
      </c>
      <c r="AT58" s="35">
        <v>1.0</v>
      </c>
      <c r="AU58" s="35" t="s">
        <v>486</v>
      </c>
      <c r="AV58" s="35">
        <v>1.0</v>
      </c>
    </row>
    <row r="59">
      <c r="C59" s="35" t="s">
        <v>571</v>
      </c>
      <c r="D59" s="35">
        <v>1.0</v>
      </c>
      <c r="E59" s="35" t="s">
        <v>533</v>
      </c>
      <c r="F59" s="35">
        <v>1.0</v>
      </c>
      <c r="G59" s="35" t="s">
        <v>525</v>
      </c>
      <c r="H59" s="35">
        <v>1.0</v>
      </c>
      <c r="I59" s="35" t="s">
        <v>719</v>
      </c>
      <c r="J59" s="35">
        <v>1.0</v>
      </c>
      <c r="K59" s="35" t="s">
        <v>513</v>
      </c>
      <c r="L59" s="35">
        <v>3.0</v>
      </c>
      <c r="O59" s="35" t="s">
        <v>495</v>
      </c>
      <c r="P59" s="35">
        <v>2.0</v>
      </c>
      <c r="Q59" s="35" t="s">
        <v>495</v>
      </c>
      <c r="R59" s="35">
        <v>2.0</v>
      </c>
      <c r="S59" s="35" t="s">
        <v>537</v>
      </c>
      <c r="T59" s="35">
        <v>1.0</v>
      </c>
      <c r="U59" s="35" t="s">
        <v>503</v>
      </c>
      <c r="V59" s="35">
        <v>2.0</v>
      </c>
      <c r="W59" s="35" t="s">
        <v>500</v>
      </c>
      <c r="X59" s="35">
        <v>2.0</v>
      </c>
      <c r="AA59" s="35" t="s">
        <v>519</v>
      </c>
      <c r="AB59" s="35">
        <v>2.0</v>
      </c>
      <c r="AC59" s="35" t="s">
        <v>484</v>
      </c>
      <c r="AD59" s="35">
        <v>1.0</v>
      </c>
      <c r="AE59" s="35" t="s">
        <v>495</v>
      </c>
      <c r="AF59" s="35">
        <v>1.0</v>
      </c>
      <c r="AG59" s="35" t="s">
        <v>495</v>
      </c>
      <c r="AH59" s="35">
        <v>4.0</v>
      </c>
      <c r="AI59" s="35" t="s">
        <v>500</v>
      </c>
      <c r="AJ59" s="35">
        <v>1.0</v>
      </c>
      <c r="AK59" s="95"/>
      <c r="AL59" s="95"/>
      <c r="AM59" s="35" t="s">
        <v>527</v>
      </c>
      <c r="AN59" s="35">
        <v>1.0</v>
      </c>
      <c r="AO59" s="87" t="s">
        <v>484</v>
      </c>
      <c r="AP59" s="87">
        <v>1.0</v>
      </c>
      <c r="AQ59" s="35" t="s">
        <v>513</v>
      </c>
      <c r="AR59" s="35">
        <v>1.0</v>
      </c>
      <c r="AS59" s="35" t="s">
        <v>487</v>
      </c>
      <c r="AT59" s="35">
        <v>1.0</v>
      </c>
      <c r="AU59" s="35" t="s">
        <v>479</v>
      </c>
      <c r="AV59" s="35">
        <v>3.0</v>
      </c>
    </row>
    <row r="60">
      <c r="C60" s="35" t="s">
        <v>539</v>
      </c>
      <c r="D60" s="35">
        <v>1.0</v>
      </c>
      <c r="E60" s="35" t="s">
        <v>487</v>
      </c>
      <c r="F60" s="35">
        <v>1.0</v>
      </c>
      <c r="G60" s="35" t="s">
        <v>540</v>
      </c>
      <c r="H60" s="35">
        <v>1.0</v>
      </c>
      <c r="I60" s="35" t="s">
        <v>495</v>
      </c>
      <c r="J60" s="35">
        <v>3.0</v>
      </c>
      <c r="K60" s="35" t="s">
        <v>526</v>
      </c>
      <c r="L60" s="35">
        <v>1.0</v>
      </c>
      <c r="O60" s="35" t="s">
        <v>515</v>
      </c>
      <c r="P60" s="35">
        <v>3.0</v>
      </c>
      <c r="Q60" s="35" t="s">
        <v>515</v>
      </c>
      <c r="R60" s="35">
        <v>1.0</v>
      </c>
      <c r="S60" s="35" t="s">
        <v>536</v>
      </c>
      <c r="T60" s="35">
        <v>1.0</v>
      </c>
      <c r="U60" s="35" t="s">
        <v>513</v>
      </c>
      <c r="V60" s="35">
        <v>2.0</v>
      </c>
      <c r="W60" s="35" t="s">
        <v>487</v>
      </c>
      <c r="X60" s="35">
        <v>1.0</v>
      </c>
      <c r="AA60" s="35" t="s">
        <v>518</v>
      </c>
      <c r="AB60" s="35">
        <v>2.0</v>
      </c>
      <c r="AC60" s="35" t="s">
        <v>508</v>
      </c>
      <c r="AD60" s="35">
        <v>1.0</v>
      </c>
      <c r="AE60" s="35" t="s">
        <v>515</v>
      </c>
      <c r="AF60" s="35">
        <v>3.0</v>
      </c>
      <c r="AG60" s="35" t="s">
        <v>515</v>
      </c>
      <c r="AH60" s="35">
        <v>1.0</v>
      </c>
      <c r="AI60" s="35" t="s">
        <v>487</v>
      </c>
      <c r="AJ60" s="35">
        <v>2.0</v>
      </c>
      <c r="AK60" s="95"/>
      <c r="AL60" s="95"/>
      <c r="AM60" s="35" t="s">
        <v>525</v>
      </c>
      <c r="AN60" s="35">
        <v>1.0</v>
      </c>
      <c r="AO60" s="87" t="s">
        <v>501</v>
      </c>
      <c r="AP60" s="87">
        <v>1.0</v>
      </c>
      <c r="AQ60" s="35" t="s">
        <v>519</v>
      </c>
      <c r="AR60" s="35">
        <v>2.0</v>
      </c>
      <c r="AS60" s="35" t="s">
        <v>508</v>
      </c>
      <c r="AT60" s="35">
        <v>1.0</v>
      </c>
      <c r="AU60" s="35" t="s">
        <v>483</v>
      </c>
      <c r="AV60" s="35">
        <v>1.0</v>
      </c>
    </row>
    <row r="61">
      <c r="C61" s="35" t="s">
        <v>544</v>
      </c>
      <c r="D61" s="35">
        <v>1.0</v>
      </c>
      <c r="E61" s="35" t="s">
        <v>497</v>
      </c>
      <c r="F61" s="35">
        <v>2.0</v>
      </c>
      <c r="G61" s="35" t="s">
        <v>532</v>
      </c>
      <c r="H61" s="35">
        <v>2.0</v>
      </c>
      <c r="I61" s="35" t="s">
        <v>523</v>
      </c>
      <c r="J61" s="35">
        <v>1.0</v>
      </c>
      <c r="K61" s="35" t="s">
        <v>519</v>
      </c>
      <c r="L61" s="35">
        <v>2.0</v>
      </c>
      <c r="O61" s="35" t="s">
        <v>519</v>
      </c>
      <c r="P61" s="35">
        <v>2.0</v>
      </c>
      <c r="Q61" s="35" t="s">
        <v>513</v>
      </c>
      <c r="R61" s="35">
        <v>1.0</v>
      </c>
      <c r="S61" s="35" t="s">
        <v>535</v>
      </c>
      <c r="T61" s="35">
        <v>2.0</v>
      </c>
      <c r="U61" s="35" t="s">
        <v>526</v>
      </c>
      <c r="V61" s="35">
        <v>2.0</v>
      </c>
      <c r="W61" s="35" t="s">
        <v>497</v>
      </c>
      <c r="X61" s="35">
        <v>1.0</v>
      </c>
      <c r="AA61" s="35" t="s">
        <v>521</v>
      </c>
      <c r="AB61" s="35">
        <v>1.0</v>
      </c>
      <c r="AC61" s="35" t="s">
        <v>495</v>
      </c>
      <c r="AD61" s="35">
        <v>2.0</v>
      </c>
      <c r="AE61" s="35" t="s">
        <v>519</v>
      </c>
      <c r="AF61" s="35">
        <v>3.0</v>
      </c>
      <c r="AG61" s="35" t="s">
        <v>503</v>
      </c>
      <c r="AH61" s="35">
        <v>1.0</v>
      </c>
      <c r="AI61" s="35" t="s">
        <v>495</v>
      </c>
      <c r="AJ61" s="35">
        <v>3.0</v>
      </c>
      <c r="AK61" s="95"/>
      <c r="AL61" s="95"/>
      <c r="AM61" s="35" t="s">
        <v>532</v>
      </c>
      <c r="AN61" s="35">
        <v>1.0</v>
      </c>
      <c r="AO61" s="87" t="s">
        <v>495</v>
      </c>
      <c r="AP61" s="87">
        <v>3.0</v>
      </c>
      <c r="AQ61" s="35" t="s">
        <v>518</v>
      </c>
      <c r="AR61" s="35">
        <v>2.0</v>
      </c>
      <c r="AS61" s="35" t="s">
        <v>495</v>
      </c>
      <c r="AT61" s="35">
        <v>3.0</v>
      </c>
      <c r="AU61" s="35" t="s">
        <v>533</v>
      </c>
      <c r="AV61" s="35">
        <v>1.0</v>
      </c>
    </row>
    <row r="62">
      <c r="C62" s="8"/>
      <c r="D62" s="8"/>
      <c r="E62" s="87" t="s">
        <v>495</v>
      </c>
      <c r="F62" s="158">
        <v>2.0</v>
      </c>
      <c r="G62" s="35" t="s">
        <v>537</v>
      </c>
      <c r="H62" s="35">
        <v>2.0</v>
      </c>
      <c r="I62" s="35" t="s">
        <v>515</v>
      </c>
      <c r="J62" s="35">
        <v>3.0</v>
      </c>
      <c r="K62" s="35" t="s">
        <v>518</v>
      </c>
      <c r="L62" s="35">
        <v>1.0</v>
      </c>
      <c r="O62" s="35" t="s">
        <v>518</v>
      </c>
      <c r="P62" s="35">
        <v>2.0</v>
      </c>
      <c r="Q62" s="35" t="s">
        <v>519</v>
      </c>
      <c r="R62" s="35">
        <v>1.0</v>
      </c>
      <c r="S62" s="35" t="s">
        <v>553</v>
      </c>
      <c r="T62" s="35">
        <v>1.0</v>
      </c>
      <c r="U62" s="35" t="s">
        <v>521</v>
      </c>
      <c r="V62" s="35">
        <v>1.0</v>
      </c>
      <c r="W62" s="35" t="s">
        <v>504</v>
      </c>
      <c r="X62" s="35">
        <v>1.0</v>
      </c>
      <c r="AA62" s="35" t="s">
        <v>525</v>
      </c>
      <c r="AB62" s="35">
        <v>1.0</v>
      </c>
      <c r="AC62" s="35" t="s">
        <v>513</v>
      </c>
      <c r="AD62" s="35">
        <v>1.0</v>
      </c>
      <c r="AE62" s="35" t="s">
        <v>518</v>
      </c>
      <c r="AF62" s="35">
        <v>2.0</v>
      </c>
      <c r="AG62" s="35" t="s">
        <v>513</v>
      </c>
      <c r="AH62" s="35">
        <v>3.0</v>
      </c>
      <c r="AI62" s="35" t="s">
        <v>515</v>
      </c>
      <c r="AJ62" s="35">
        <v>2.0</v>
      </c>
      <c r="AK62" s="95"/>
      <c r="AL62" s="95"/>
      <c r="AM62" s="35" t="s">
        <v>537</v>
      </c>
      <c r="AN62" s="35">
        <v>1.0</v>
      </c>
      <c r="AO62" s="87" t="s">
        <v>523</v>
      </c>
      <c r="AP62" s="87">
        <v>1.0</v>
      </c>
      <c r="AQ62" s="35" t="s">
        <v>521</v>
      </c>
      <c r="AR62" s="35">
        <v>1.0</v>
      </c>
      <c r="AS62" s="35" t="s">
        <v>523</v>
      </c>
      <c r="AT62" s="35">
        <v>1.0</v>
      </c>
      <c r="AU62" s="35" t="s">
        <v>488</v>
      </c>
      <c r="AV62" s="35">
        <v>2.0</v>
      </c>
    </row>
    <row r="63">
      <c r="C63" s="8"/>
      <c r="D63" s="69">
        <v>81.0</v>
      </c>
      <c r="E63" s="87" t="s">
        <v>523</v>
      </c>
      <c r="F63" s="158">
        <v>2.0</v>
      </c>
      <c r="G63" s="35" t="s">
        <v>536</v>
      </c>
      <c r="H63" s="35">
        <v>3.0</v>
      </c>
      <c r="I63" s="35" t="s">
        <v>503</v>
      </c>
      <c r="J63" s="35">
        <v>3.0</v>
      </c>
      <c r="K63" s="35" t="s">
        <v>540</v>
      </c>
      <c r="L63" s="35">
        <v>1.0</v>
      </c>
      <c r="O63" s="35" t="s">
        <v>521</v>
      </c>
      <c r="P63" s="35">
        <v>2.0</v>
      </c>
      <c r="Q63" s="35" t="s">
        <v>540</v>
      </c>
      <c r="R63" s="35">
        <v>1.0</v>
      </c>
      <c r="S63" s="35" t="s">
        <v>571</v>
      </c>
      <c r="T63" s="35">
        <v>1.0</v>
      </c>
      <c r="U63" s="35" t="s">
        <v>527</v>
      </c>
      <c r="V63" s="35">
        <v>1.0</v>
      </c>
      <c r="W63" s="35" t="s">
        <v>495</v>
      </c>
      <c r="X63" s="35">
        <v>4.0</v>
      </c>
      <c r="AA63" s="35" t="s">
        <v>532</v>
      </c>
      <c r="AB63" s="35">
        <v>1.0</v>
      </c>
      <c r="AC63" s="35" t="s">
        <v>518</v>
      </c>
      <c r="AD63" s="35">
        <v>1.0</v>
      </c>
      <c r="AE63" s="35" t="s">
        <v>540</v>
      </c>
      <c r="AF63" s="35">
        <v>1.0</v>
      </c>
      <c r="AG63" s="35" t="s">
        <v>526</v>
      </c>
      <c r="AH63" s="35">
        <v>2.0</v>
      </c>
      <c r="AI63" s="35" t="s">
        <v>503</v>
      </c>
      <c r="AJ63" s="35">
        <v>1.0</v>
      </c>
      <c r="AK63" s="95"/>
      <c r="AL63" s="95"/>
      <c r="AM63" s="35" t="s">
        <v>541</v>
      </c>
      <c r="AN63" s="35">
        <v>1.0</v>
      </c>
      <c r="AO63" s="35" t="s">
        <v>515</v>
      </c>
      <c r="AP63" s="35">
        <v>3.0</v>
      </c>
      <c r="AQ63" s="35" t="s">
        <v>540</v>
      </c>
      <c r="AR63" s="35">
        <v>3.0</v>
      </c>
      <c r="AS63" s="35" t="s">
        <v>503</v>
      </c>
      <c r="AT63" s="35">
        <v>1.0</v>
      </c>
      <c r="AU63" s="35" t="s">
        <v>487</v>
      </c>
      <c r="AV63" s="35">
        <v>1.0</v>
      </c>
    </row>
    <row r="64">
      <c r="E64" s="87" t="s">
        <v>503</v>
      </c>
      <c r="F64" s="158">
        <v>1.0</v>
      </c>
      <c r="G64" s="35" t="s">
        <v>541</v>
      </c>
      <c r="H64" s="35">
        <v>1.0</v>
      </c>
      <c r="I64" s="35" t="s">
        <v>513</v>
      </c>
      <c r="J64" s="35">
        <v>5.0</v>
      </c>
      <c r="K64" s="35" t="s">
        <v>532</v>
      </c>
      <c r="L64" s="35">
        <v>1.0</v>
      </c>
      <c r="O64" s="35" t="s">
        <v>527</v>
      </c>
      <c r="P64" s="35">
        <v>1.0</v>
      </c>
      <c r="Q64" s="35" t="s">
        <v>532</v>
      </c>
      <c r="R64" s="35">
        <v>1.0</v>
      </c>
      <c r="S64" s="35" t="s">
        <v>556</v>
      </c>
      <c r="T64" s="35">
        <v>3.0</v>
      </c>
      <c r="U64" s="35" t="s">
        <v>525</v>
      </c>
      <c r="V64" s="35">
        <v>2.0</v>
      </c>
      <c r="W64" s="35" t="s">
        <v>513</v>
      </c>
      <c r="X64" s="35">
        <v>3.0</v>
      </c>
      <c r="AA64" s="35" t="s">
        <v>536</v>
      </c>
      <c r="AB64" s="35">
        <v>1.0</v>
      </c>
      <c r="AC64" s="35" t="s">
        <v>521</v>
      </c>
      <c r="AD64" s="35">
        <v>2.0</v>
      </c>
      <c r="AE64" s="35" t="s">
        <v>532</v>
      </c>
      <c r="AF64" s="35">
        <v>1.0</v>
      </c>
      <c r="AG64" s="35" t="s">
        <v>519</v>
      </c>
      <c r="AH64" s="35">
        <v>1.0</v>
      </c>
      <c r="AI64" s="35" t="s">
        <v>513</v>
      </c>
      <c r="AJ64" s="35">
        <v>3.0</v>
      </c>
      <c r="AK64" s="95"/>
      <c r="AL64" s="95"/>
      <c r="AM64" s="35" t="s">
        <v>571</v>
      </c>
      <c r="AN64" s="35">
        <v>2.0</v>
      </c>
      <c r="AO64" s="35" t="s">
        <v>720</v>
      </c>
      <c r="AP64" s="35">
        <v>1.0</v>
      </c>
      <c r="AQ64" s="35" t="s">
        <v>535</v>
      </c>
      <c r="AR64" s="35">
        <v>1.0</v>
      </c>
      <c r="AS64" s="35" t="s">
        <v>513</v>
      </c>
      <c r="AT64" s="35">
        <v>4.0</v>
      </c>
      <c r="AU64" s="35" t="s">
        <v>497</v>
      </c>
      <c r="AV64" s="35">
        <v>1.0</v>
      </c>
    </row>
    <row r="65">
      <c r="E65" s="35" t="s">
        <v>513</v>
      </c>
      <c r="F65" s="35">
        <v>1.0</v>
      </c>
      <c r="G65" s="35" t="s">
        <v>535</v>
      </c>
      <c r="H65" s="35">
        <v>3.0</v>
      </c>
      <c r="I65" s="35" t="s">
        <v>531</v>
      </c>
      <c r="J65" s="35">
        <v>1.0</v>
      </c>
      <c r="K65" s="35" t="s">
        <v>537</v>
      </c>
      <c r="L65" s="35">
        <v>1.0</v>
      </c>
      <c r="O65" s="35" t="s">
        <v>536</v>
      </c>
      <c r="P65" s="35">
        <v>2.0</v>
      </c>
      <c r="Q65" s="87" t="s">
        <v>536</v>
      </c>
      <c r="R65" s="158">
        <v>1.0</v>
      </c>
      <c r="S65" s="35" t="s">
        <v>548</v>
      </c>
      <c r="T65" s="35">
        <v>1.0</v>
      </c>
      <c r="U65" s="35" t="s">
        <v>540</v>
      </c>
      <c r="V65" s="35">
        <v>2.0</v>
      </c>
      <c r="W65" s="35" t="s">
        <v>519</v>
      </c>
      <c r="X65" s="35">
        <v>2.0</v>
      </c>
      <c r="AA65" s="35" t="s">
        <v>541</v>
      </c>
      <c r="AB65" s="35">
        <v>1.0</v>
      </c>
      <c r="AC65" s="87" t="s">
        <v>527</v>
      </c>
      <c r="AD65" s="158">
        <v>2.0</v>
      </c>
      <c r="AE65" s="35" t="s">
        <v>536</v>
      </c>
      <c r="AF65" s="35">
        <v>1.0</v>
      </c>
      <c r="AG65" s="35" t="s">
        <v>531</v>
      </c>
      <c r="AH65" s="35">
        <v>1.0</v>
      </c>
      <c r="AI65" s="35" t="s">
        <v>526</v>
      </c>
      <c r="AJ65" s="35">
        <v>1.0</v>
      </c>
      <c r="AK65" s="95"/>
      <c r="AL65" s="95"/>
      <c r="AM65" s="35" t="s">
        <v>676</v>
      </c>
      <c r="AN65" s="35">
        <v>1.0</v>
      </c>
      <c r="AO65" s="35" t="s">
        <v>513</v>
      </c>
      <c r="AP65" s="35">
        <v>1.0</v>
      </c>
      <c r="AQ65" s="35" t="s">
        <v>553</v>
      </c>
      <c r="AR65" s="35">
        <v>2.0</v>
      </c>
      <c r="AS65" s="35" t="s">
        <v>526</v>
      </c>
      <c r="AT65" s="35">
        <v>3.0</v>
      </c>
      <c r="AU65" s="35" t="s">
        <v>495</v>
      </c>
      <c r="AV65" s="35">
        <v>3.0</v>
      </c>
    </row>
    <row r="66">
      <c r="E66" s="35" t="s">
        <v>521</v>
      </c>
      <c r="F66" s="35">
        <v>1.0</v>
      </c>
      <c r="G66" s="35" t="s">
        <v>553</v>
      </c>
      <c r="H66" s="35">
        <v>2.0</v>
      </c>
      <c r="I66" s="35" t="s">
        <v>518</v>
      </c>
      <c r="J66" s="35">
        <v>1.0</v>
      </c>
      <c r="K66" s="35" t="s">
        <v>536</v>
      </c>
      <c r="L66" s="35">
        <v>1.0</v>
      </c>
      <c r="O66" s="35" t="s">
        <v>676</v>
      </c>
      <c r="P66" s="35">
        <v>1.0</v>
      </c>
      <c r="Q66" s="87" t="s">
        <v>530</v>
      </c>
      <c r="R66" s="158">
        <v>1.0</v>
      </c>
      <c r="S66" s="8"/>
      <c r="T66" s="8"/>
      <c r="U66" s="35" t="s">
        <v>536</v>
      </c>
      <c r="V66" s="35">
        <v>1.0</v>
      </c>
      <c r="W66" s="35" t="s">
        <v>518</v>
      </c>
      <c r="X66" s="35">
        <v>3.0</v>
      </c>
      <c r="AA66" s="35" t="s">
        <v>535</v>
      </c>
      <c r="AB66" s="35">
        <v>1.0</v>
      </c>
      <c r="AC66" s="87" t="s">
        <v>525</v>
      </c>
      <c r="AD66" s="158">
        <v>1.0</v>
      </c>
      <c r="AE66" s="35" t="s">
        <v>571</v>
      </c>
      <c r="AF66" s="35">
        <v>1.0</v>
      </c>
      <c r="AG66" s="35" t="s">
        <v>518</v>
      </c>
      <c r="AH66" s="35">
        <v>5.0</v>
      </c>
      <c r="AI66" s="35" t="s">
        <v>519</v>
      </c>
      <c r="AJ66" s="35">
        <v>2.0</v>
      </c>
      <c r="AK66" s="95"/>
      <c r="AL66" s="95"/>
      <c r="AM66" s="35" t="s">
        <v>556</v>
      </c>
      <c r="AN66" s="35">
        <v>1.0</v>
      </c>
      <c r="AO66" s="35" t="s">
        <v>525</v>
      </c>
      <c r="AP66" s="35">
        <v>1.0</v>
      </c>
      <c r="AQ66" s="35" t="s">
        <v>571</v>
      </c>
      <c r="AR66" s="35">
        <v>1.0</v>
      </c>
      <c r="AS66" s="35" t="s">
        <v>519</v>
      </c>
      <c r="AT66" s="35">
        <v>1.0</v>
      </c>
      <c r="AU66" s="35" t="s">
        <v>523</v>
      </c>
      <c r="AV66" s="35">
        <v>2.0</v>
      </c>
    </row>
    <row r="67">
      <c r="E67" s="35" t="s">
        <v>540</v>
      </c>
      <c r="F67" s="35">
        <v>1.0</v>
      </c>
      <c r="G67" s="35" t="s">
        <v>539</v>
      </c>
      <c r="H67" s="35">
        <v>1.0</v>
      </c>
      <c r="I67" s="35" t="s">
        <v>540</v>
      </c>
      <c r="J67" s="35">
        <v>1.0</v>
      </c>
      <c r="K67" s="35" t="s">
        <v>530</v>
      </c>
      <c r="L67" s="35">
        <v>2.0</v>
      </c>
      <c r="O67" s="8"/>
      <c r="P67" s="8"/>
      <c r="Q67" s="87" t="s">
        <v>541</v>
      </c>
      <c r="R67" s="158">
        <v>1.0</v>
      </c>
      <c r="S67" s="8"/>
      <c r="T67" s="69">
        <v>78.0</v>
      </c>
      <c r="U67" s="35" t="s">
        <v>541</v>
      </c>
      <c r="V67" s="35">
        <v>1.0</v>
      </c>
      <c r="W67" s="35" t="s">
        <v>540</v>
      </c>
      <c r="X67" s="35">
        <v>1.0</v>
      </c>
      <c r="AA67" s="8" t="s">
        <v>553</v>
      </c>
      <c r="AB67" s="8">
        <v>1.0</v>
      </c>
      <c r="AC67" s="87" t="s">
        <v>540</v>
      </c>
      <c r="AD67" s="158">
        <v>1.0</v>
      </c>
      <c r="AE67" s="35" t="s">
        <v>544</v>
      </c>
      <c r="AF67" s="35">
        <v>1.0</v>
      </c>
      <c r="AG67" s="35" t="s">
        <v>532</v>
      </c>
      <c r="AH67" s="35">
        <v>1.0</v>
      </c>
      <c r="AI67" s="35" t="s">
        <v>531</v>
      </c>
      <c r="AJ67" s="35">
        <v>1.0</v>
      </c>
      <c r="AK67" s="95"/>
      <c r="AL67" s="95"/>
      <c r="AM67" s="8" t="s">
        <v>552</v>
      </c>
      <c r="AN67" s="8">
        <v>1.0</v>
      </c>
      <c r="AO67" s="35" t="s">
        <v>540</v>
      </c>
      <c r="AP67" s="35">
        <v>3.0</v>
      </c>
      <c r="AQ67" s="35" t="s">
        <v>556</v>
      </c>
      <c r="AR67" s="35">
        <v>2.0</v>
      </c>
      <c r="AS67" s="35" t="s">
        <v>531</v>
      </c>
      <c r="AT67" s="35">
        <v>1.0</v>
      </c>
      <c r="AU67" s="35" t="s">
        <v>515</v>
      </c>
      <c r="AV67" s="35">
        <v>2.0</v>
      </c>
    </row>
    <row r="68">
      <c r="E68" s="35" t="s">
        <v>536</v>
      </c>
      <c r="F68" s="35">
        <v>2.0</v>
      </c>
      <c r="G68" s="35" t="s">
        <v>556</v>
      </c>
      <c r="H68" s="35">
        <v>2.0</v>
      </c>
      <c r="I68" s="35" t="s">
        <v>535</v>
      </c>
      <c r="J68" s="35">
        <v>2.0</v>
      </c>
      <c r="K68" s="35" t="s">
        <v>541</v>
      </c>
      <c r="L68" s="35">
        <v>1.0</v>
      </c>
      <c r="O68" s="8"/>
      <c r="P68" s="69">
        <v>84.0</v>
      </c>
      <c r="Q68" s="35" t="s">
        <v>548</v>
      </c>
      <c r="R68" s="35">
        <v>2.0</v>
      </c>
      <c r="U68" s="35" t="s">
        <v>545</v>
      </c>
      <c r="V68" s="35">
        <v>1.0</v>
      </c>
      <c r="W68" s="35" t="s">
        <v>532</v>
      </c>
      <c r="X68" s="35">
        <v>1.0</v>
      </c>
      <c r="AA68" s="35" t="s">
        <v>571</v>
      </c>
      <c r="AB68" s="35">
        <v>1.0</v>
      </c>
      <c r="AC68" s="35" t="s">
        <v>532</v>
      </c>
      <c r="AD68" s="35">
        <v>1.0</v>
      </c>
      <c r="AE68" s="35" t="s">
        <v>556</v>
      </c>
      <c r="AF68" s="35">
        <v>3.0</v>
      </c>
      <c r="AG68" s="35" t="s">
        <v>537</v>
      </c>
      <c r="AH68" s="35">
        <v>1.0</v>
      </c>
      <c r="AI68" s="35" t="s">
        <v>525</v>
      </c>
      <c r="AJ68" s="35">
        <v>2.0</v>
      </c>
      <c r="AK68" s="95"/>
      <c r="AL68" s="95"/>
      <c r="AM68" s="35"/>
      <c r="AN68" s="35"/>
      <c r="AO68" s="35" t="s">
        <v>536</v>
      </c>
      <c r="AP68" s="35">
        <v>2.0</v>
      </c>
      <c r="AQ68" s="35" t="s">
        <v>548</v>
      </c>
      <c r="AR68" s="35">
        <v>2.0</v>
      </c>
      <c r="AS68" s="35" t="s">
        <v>518</v>
      </c>
      <c r="AT68" s="35">
        <v>4.0</v>
      </c>
      <c r="AU68" s="35" t="s">
        <v>503</v>
      </c>
      <c r="AV68" s="35">
        <v>1.0</v>
      </c>
    </row>
    <row r="69">
      <c r="E69" s="35" t="s">
        <v>535</v>
      </c>
      <c r="F69" s="35">
        <v>2.0</v>
      </c>
      <c r="G69" s="35" t="s">
        <v>548</v>
      </c>
      <c r="H69" s="35">
        <v>1.0</v>
      </c>
      <c r="I69" s="35" t="s">
        <v>544</v>
      </c>
      <c r="J69" s="35">
        <v>2.0</v>
      </c>
      <c r="K69" s="35" t="s">
        <v>553</v>
      </c>
      <c r="L69" s="35">
        <v>2.0</v>
      </c>
      <c r="Q69" s="35" t="s">
        <v>552</v>
      </c>
      <c r="R69" s="35">
        <v>1.0</v>
      </c>
      <c r="U69" s="35" t="s">
        <v>539</v>
      </c>
      <c r="V69" s="35">
        <v>2.0</v>
      </c>
      <c r="W69" s="35" t="s">
        <v>537</v>
      </c>
      <c r="X69" s="35">
        <v>2.0</v>
      </c>
      <c r="AA69" s="35" t="s">
        <v>552</v>
      </c>
      <c r="AB69" s="35">
        <v>1.0</v>
      </c>
      <c r="AC69" s="35" t="s">
        <v>541</v>
      </c>
      <c r="AD69" s="35">
        <v>1.0</v>
      </c>
      <c r="AE69" s="35" t="s">
        <v>548</v>
      </c>
      <c r="AF69" s="35">
        <v>1.0</v>
      </c>
      <c r="AG69" s="35" t="s">
        <v>536</v>
      </c>
      <c r="AH69" s="35">
        <v>1.0</v>
      </c>
      <c r="AI69" s="35" t="s">
        <v>540</v>
      </c>
      <c r="AJ69" s="35">
        <v>1.0</v>
      </c>
      <c r="AK69" s="95"/>
      <c r="AL69" s="95"/>
      <c r="AM69" s="35"/>
      <c r="AN69" s="72">
        <v>82.0</v>
      </c>
      <c r="AO69" s="35" t="s">
        <v>553</v>
      </c>
      <c r="AP69" s="35">
        <v>1.0</v>
      </c>
      <c r="AQ69" s="35" t="s">
        <v>552</v>
      </c>
      <c r="AR69" s="35">
        <v>1.0</v>
      </c>
      <c r="AS69" s="35" t="s">
        <v>540</v>
      </c>
      <c r="AT69" s="35">
        <v>1.0</v>
      </c>
      <c r="AU69" s="35" t="s">
        <v>513</v>
      </c>
      <c r="AV69" s="35">
        <v>1.0</v>
      </c>
    </row>
    <row r="70">
      <c r="E70" s="35" t="s">
        <v>571</v>
      </c>
      <c r="F70" s="35">
        <v>1.0</v>
      </c>
      <c r="G70" s="35" t="s">
        <v>552</v>
      </c>
      <c r="H70" s="35">
        <v>1.0</v>
      </c>
      <c r="I70" s="35" t="s">
        <v>569</v>
      </c>
      <c r="J70" s="35">
        <v>1.0</v>
      </c>
      <c r="K70" s="35" t="s">
        <v>556</v>
      </c>
      <c r="L70" s="35">
        <v>1.0</v>
      </c>
      <c r="Q70" s="8"/>
      <c r="R70" s="8"/>
      <c r="U70" s="35" t="s">
        <v>548</v>
      </c>
      <c r="V70" s="35">
        <v>1.0</v>
      </c>
      <c r="W70" s="35" t="s">
        <v>541</v>
      </c>
      <c r="X70" s="35">
        <v>1.0</v>
      </c>
      <c r="AA70" s="8"/>
      <c r="AB70" s="8"/>
      <c r="AC70" s="35" t="s">
        <v>553</v>
      </c>
      <c r="AD70" s="35">
        <v>1.0</v>
      </c>
      <c r="AE70" s="35" t="s">
        <v>552</v>
      </c>
      <c r="AF70" s="35">
        <v>1.0</v>
      </c>
      <c r="AG70" s="35" t="s">
        <v>545</v>
      </c>
      <c r="AH70" s="35">
        <v>1.0</v>
      </c>
      <c r="AI70" s="35" t="s">
        <v>532</v>
      </c>
      <c r="AJ70" s="35">
        <v>2.0</v>
      </c>
      <c r="AK70" s="95"/>
      <c r="AL70" s="95"/>
      <c r="AM70" s="95"/>
      <c r="AN70" s="95"/>
      <c r="AO70" s="35" t="s">
        <v>539</v>
      </c>
      <c r="AP70" s="35">
        <v>1.0</v>
      </c>
      <c r="AQ70" s="35" t="s">
        <v>562</v>
      </c>
      <c r="AR70" s="35">
        <v>1.0</v>
      </c>
      <c r="AS70" s="35" t="s">
        <v>532</v>
      </c>
      <c r="AT70" s="35">
        <v>1.0</v>
      </c>
      <c r="AU70" s="35" t="s">
        <v>526</v>
      </c>
      <c r="AV70" s="35">
        <v>1.0</v>
      </c>
    </row>
    <row r="71">
      <c r="E71" s="35" t="s">
        <v>548</v>
      </c>
      <c r="F71" s="35">
        <v>2.0</v>
      </c>
      <c r="G71" s="8"/>
      <c r="H71" s="8"/>
      <c r="I71" s="8"/>
      <c r="J71" s="8"/>
      <c r="K71" s="35" t="s">
        <v>548</v>
      </c>
      <c r="L71" s="35">
        <v>3.0</v>
      </c>
      <c r="Q71" s="8"/>
      <c r="R71" s="69">
        <v>87.0</v>
      </c>
      <c r="U71" s="35" t="s">
        <v>569</v>
      </c>
      <c r="V71" s="35">
        <v>1.0</v>
      </c>
      <c r="W71" s="35" t="s">
        <v>553</v>
      </c>
      <c r="X71" s="35">
        <v>1.0</v>
      </c>
      <c r="AA71" s="8"/>
      <c r="AB71" s="69">
        <v>82.0</v>
      </c>
      <c r="AC71" s="35" t="s">
        <v>539</v>
      </c>
      <c r="AD71" s="35">
        <v>1.0</v>
      </c>
      <c r="AE71" s="35" t="s">
        <v>562</v>
      </c>
      <c r="AF71" s="35">
        <v>2.0</v>
      </c>
      <c r="AG71" s="35" t="s">
        <v>539</v>
      </c>
      <c r="AH71" s="35">
        <v>1.0</v>
      </c>
      <c r="AI71" s="35" t="s">
        <v>537</v>
      </c>
      <c r="AJ71" s="35">
        <v>2.0</v>
      </c>
      <c r="AK71" s="95"/>
      <c r="AL71" s="95"/>
      <c r="AM71" s="95"/>
      <c r="AN71" s="95"/>
      <c r="AO71" s="35" t="s">
        <v>556</v>
      </c>
      <c r="AP71" s="35">
        <v>1.0</v>
      </c>
      <c r="AQ71" s="35"/>
      <c r="AR71" s="35"/>
      <c r="AS71" s="35" t="s">
        <v>545</v>
      </c>
      <c r="AT71" s="35">
        <v>1.0</v>
      </c>
      <c r="AU71" s="35" t="s">
        <v>519</v>
      </c>
      <c r="AV71" s="35">
        <v>2.0</v>
      </c>
    </row>
    <row r="72">
      <c r="E72" s="35" t="s">
        <v>552</v>
      </c>
      <c r="F72" s="35">
        <v>1.0</v>
      </c>
      <c r="G72" s="8"/>
      <c r="H72" s="69">
        <v>74.0</v>
      </c>
      <c r="I72" s="8"/>
      <c r="J72" s="69">
        <v>91.0</v>
      </c>
      <c r="K72" s="35" t="s">
        <v>552</v>
      </c>
      <c r="L72" s="35">
        <v>2.0</v>
      </c>
      <c r="U72" s="8"/>
      <c r="V72" s="8"/>
      <c r="W72" s="35" t="s">
        <v>544</v>
      </c>
      <c r="X72" s="35">
        <v>1.0</v>
      </c>
      <c r="AC72" s="8"/>
      <c r="AD72" s="8"/>
      <c r="AE72" s="8"/>
      <c r="AF72" s="8"/>
      <c r="AG72" s="35" t="s">
        <v>552</v>
      </c>
      <c r="AH72" s="35">
        <v>1.0</v>
      </c>
      <c r="AI72" s="35" t="s">
        <v>536</v>
      </c>
      <c r="AJ72" s="35">
        <v>2.0</v>
      </c>
      <c r="AK72" s="95"/>
      <c r="AL72" s="95"/>
      <c r="AM72" s="95"/>
      <c r="AN72" s="95"/>
      <c r="AO72" s="35" t="s">
        <v>552</v>
      </c>
      <c r="AP72" s="35">
        <v>2.0</v>
      </c>
      <c r="AQ72" s="35"/>
      <c r="AR72" s="72">
        <v>86.0</v>
      </c>
      <c r="AS72" s="35" t="s">
        <v>535</v>
      </c>
      <c r="AT72" s="35">
        <v>1.0</v>
      </c>
      <c r="AU72" s="35" t="s">
        <v>518</v>
      </c>
      <c r="AV72" s="35">
        <v>2.0</v>
      </c>
    </row>
    <row r="73">
      <c r="E73" s="8"/>
      <c r="F73" s="8"/>
      <c r="K73" s="35" t="s">
        <v>562</v>
      </c>
      <c r="L73" s="35">
        <v>1.0</v>
      </c>
      <c r="U73" s="8"/>
      <c r="V73" s="69">
        <v>89.0</v>
      </c>
      <c r="W73" s="35" t="s">
        <v>548</v>
      </c>
      <c r="X73" s="35">
        <v>2.0</v>
      </c>
      <c r="AC73" s="8"/>
      <c r="AD73" s="69">
        <v>85.0</v>
      </c>
      <c r="AE73" s="69"/>
      <c r="AF73" s="69">
        <v>78.0</v>
      </c>
      <c r="AG73" s="35" t="s">
        <v>565</v>
      </c>
      <c r="AH73" s="35">
        <v>1.0</v>
      </c>
      <c r="AI73" s="35" t="s">
        <v>545</v>
      </c>
      <c r="AJ73" s="35">
        <v>1.0</v>
      </c>
      <c r="AK73" s="95"/>
      <c r="AL73" s="95"/>
      <c r="AM73" s="95"/>
      <c r="AN73" s="95"/>
      <c r="AO73" s="35"/>
      <c r="AP73" s="35"/>
      <c r="AQ73" s="95"/>
      <c r="AR73" s="95"/>
      <c r="AS73" s="35" t="s">
        <v>553</v>
      </c>
      <c r="AT73" s="35">
        <v>1.0</v>
      </c>
      <c r="AU73" s="35" t="s">
        <v>527</v>
      </c>
      <c r="AV73" s="35">
        <v>3.0</v>
      </c>
    </row>
    <row r="74">
      <c r="E74" s="8"/>
      <c r="F74" s="69">
        <v>85.0</v>
      </c>
      <c r="K74" s="35" t="s">
        <v>565</v>
      </c>
      <c r="L74" s="35">
        <v>1.0</v>
      </c>
      <c r="W74" s="35" t="s">
        <v>552</v>
      </c>
      <c r="X74" s="35">
        <v>1.0</v>
      </c>
      <c r="AG74" s="35" t="s">
        <v>569</v>
      </c>
      <c r="AH74" s="35">
        <v>1.0</v>
      </c>
      <c r="AI74" s="35" t="s">
        <v>535</v>
      </c>
      <c r="AJ74" s="35">
        <v>3.0</v>
      </c>
      <c r="AK74" s="95"/>
      <c r="AL74" s="95"/>
      <c r="AM74" s="95"/>
      <c r="AN74" s="95"/>
      <c r="AO74" s="35"/>
      <c r="AP74" s="72">
        <v>97.0</v>
      </c>
      <c r="AQ74" s="165"/>
      <c r="AR74" s="165"/>
      <c r="AS74" s="35" t="s">
        <v>571</v>
      </c>
      <c r="AT74" s="35">
        <v>4.0</v>
      </c>
      <c r="AU74" s="35" t="s">
        <v>540</v>
      </c>
      <c r="AV74" s="35">
        <v>3.0</v>
      </c>
    </row>
    <row r="75">
      <c r="K75" s="35" t="s">
        <v>569</v>
      </c>
      <c r="L75" s="35">
        <v>2.0</v>
      </c>
      <c r="W75" s="35" t="s">
        <v>562</v>
      </c>
      <c r="X75" s="35">
        <v>1.0</v>
      </c>
      <c r="AG75" s="8"/>
      <c r="AH75" s="8"/>
      <c r="AI75" s="35" t="s">
        <v>553</v>
      </c>
      <c r="AJ75" s="35">
        <v>1.0</v>
      </c>
      <c r="AK75" s="95"/>
      <c r="AL75" s="95"/>
      <c r="AM75" s="95"/>
      <c r="AN75" s="95"/>
      <c r="AO75" s="95"/>
      <c r="AP75" s="95"/>
      <c r="AQ75" s="95"/>
      <c r="AR75" s="95"/>
      <c r="AS75" s="35" t="s">
        <v>556</v>
      </c>
      <c r="AT75" s="35">
        <v>1.0</v>
      </c>
      <c r="AU75" s="35" t="s">
        <v>537</v>
      </c>
      <c r="AV75" s="35">
        <v>1.0</v>
      </c>
    </row>
    <row r="76">
      <c r="K76" s="35" t="s">
        <v>555</v>
      </c>
      <c r="L76" s="35">
        <v>1.0</v>
      </c>
      <c r="W76" s="35" t="s">
        <v>569</v>
      </c>
      <c r="X76" s="35">
        <v>1.0</v>
      </c>
      <c r="AG76" s="8"/>
      <c r="AH76" s="69">
        <v>89.0</v>
      </c>
      <c r="AI76" s="35" t="s">
        <v>571</v>
      </c>
      <c r="AJ76" s="35">
        <v>1.0</v>
      </c>
      <c r="AK76" s="95"/>
      <c r="AL76" s="95"/>
      <c r="AM76" s="95"/>
      <c r="AN76" s="95"/>
      <c r="AO76" s="95"/>
      <c r="AP76" s="95"/>
      <c r="AQ76" s="95"/>
      <c r="AR76" s="95"/>
      <c r="AS76" s="35" t="s">
        <v>548</v>
      </c>
      <c r="AT76" s="35">
        <v>2.0</v>
      </c>
      <c r="AU76" s="35" t="s">
        <v>535</v>
      </c>
      <c r="AV76" s="35">
        <v>2.0</v>
      </c>
    </row>
    <row r="77">
      <c r="K77" s="8"/>
      <c r="L77" s="8"/>
      <c r="W77" s="35" t="s">
        <v>555</v>
      </c>
      <c r="X77" s="35">
        <v>1.0</v>
      </c>
      <c r="AI77" s="35" t="s">
        <v>544</v>
      </c>
      <c r="AJ77" s="35">
        <v>1.0</v>
      </c>
      <c r="AK77" s="95"/>
      <c r="AL77" s="95"/>
      <c r="AM77" s="95"/>
      <c r="AN77" s="95"/>
      <c r="AO77" s="95"/>
      <c r="AP77" s="95"/>
      <c r="AQ77" s="95"/>
      <c r="AR77" s="95"/>
      <c r="AS77" s="35" t="s">
        <v>552</v>
      </c>
      <c r="AT77" s="35">
        <v>1.0</v>
      </c>
      <c r="AU77" s="35" t="s">
        <v>553</v>
      </c>
      <c r="AV77" s="35">
        <v>3.0</v>
      </c>
    </row>
    <row r="78">
      <c r="K78" s="8"/>
      <c r="L78" s="69">
        <v>94.0</v>
      </c>
      <c r="W78" s="8"/>
      <c r="X78" s="8"/>
      <c r="AI78" s="35" t="s">
        <v>676</v>
      </c>
      <c r="AJ78" s="35">
        <v>1.0</v>
      </c>
      <c r="AK78" s="95"/>
      <c r="AL78" s="95"/>
      <c r="AM78" s="95"/>
      <c r="AN78" s="95"/>
      <c r="AO78" s="95"/>
      <c r="AP78" s="95"/>
      <c r="AQ78" s="95"/>
      <c r="AR78" s="95"/>
      <c r="AS78" s="35" t="s">
        <v>569</v>
      </c>
      <c r="AT78" s="35">
        <v>1.0</v>
      </c>
      <c r="AU78" s="35" t="s">
        <v>539</v>
      </c>
      <c r="AV78" s="35">
        <v>1.0</v>
      </c>
    </row>
    <row r="79">
      <c r="W79" s="8"/>
      <c r="X79" s="69">
        <v>94.0</v>
      </c>
      <c r="AI79" s="35" t="s">
        <v>548</v>
      </c>
      <c r="AJ79" s="35">
        <v>1.0</v>
      </c>
      <c r="AK79" s="95"/>
      <c r="AL79" s="95"/>
      <c r="AM79" s="95"/>
      <c r="AN79" s="95"/>
      <c r="AO79" s="95"/>
      <c r="AP79" s="95"/>
      <c r="AQ79" s="95"/>
      <c r="AR79" s="95"/>
      <c r="AS79" s="35" t="s">
        <v>555</v>
      </c>
      <c r="AT79" s="35">
        <v>1.0</v>
      </c>
      <c r="AU79" s="35" t="s">
        <v>556</v>
      </c>
      <c r="AV79" s="35">
        <v>2.0</v>
      </c>
    </row>
    <row r="80">
      <c r="AI80" s="35" t="s">
        <v>552</v>
      </c>
      <c r="AJ80" s="35">
        <v>1.0</v>
      </c>
      <c r="AK80" s="95"/>
      <c r="AL80" s="95"/>
      <c r="AM80" s="95"/>
      <c r="AN80" s="95"/>
      <c r="AO80" s="95"/>
      <c r="AP80" s="95"/>
      <c r="AQ80" s="95"/>
      <c r="AR80" s="95"/>
      <c r="AS80" s="35"/>
      <c r="AT80" s="35"/>
      <c r="AU80" s="35" t="s">
        <v>548</v>
      </c>
      <c r="AV80" s="35">
        <v>1.0</v>
      </c>
    </row>
    <row r="81">
      <c r="AI81" s="35" t="s">
        <v>562</v>
      </c>
      <c r="AJ81" s="35">
        <v>1.0</v>
      </c>
      <c r="AK81" s="95"/>
      <c r="AL81" s="95"/>
      <c r="AM81" s="95"/>
      <c r="AN81" s="95"/>
      <c r="AO81" s="95"/>
      <c r="AP81" s="95"/>
      <c r="AQ81" s="95"/>
      <c r="AR81" s="95"/>
      <c r="AS81" s="35"/>
      <c r="AT81" s="72">
        <v>99.0</v>
      </c>
      <c r="AU81" s="35" t="s">
        <v>569</v>
      </c>
      <c r="AV81" s="35">
        <v>1.0</v>
      </c>
    </row>
    <row r="82">
      <c r="AI82" s="35" t="s">
        <v>569</v>
      </c>
      <c r="AJ82" s="35">
        <v>1.0</v>
      </c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35" t="s">
        <v>555</v>
      </c>
      <c r="AV82" s="35">
        <v>1.0</v>
      </c>
    </row>
    <row r="83">
      <c r="AI83" s="8"/>
      <c r="AJ83" s="8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8"/>
      <c r="AV83" s="8"/>
    </row>
    <row r="84">
      <c r="AI84" s="8"/>
      <c r="AJ84" s="69">
        <v>96.0</v>
      </c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69"/>
      <c r="AV84" s="69">
        <v>99.0</v>
      </c>
    </row>
  </sheetData>
  <printOptions gridLines="1"/>
  <pageMargins bottom="0.75" footer="0.0" header="0.0" left="0.33379310344827584" right="0.2" top="0.75"/>
  <pageSetup fitToHeight="0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34.25"/>
    <col customWidth="1" min="5" max="5" width="34.25"/>
    <col customWidth="1" min="7" max="7" width="34.25"/>
    <col customWidth="1" min="9" max="9" width="34.25"/>
    <col customWidth="1" min="11" max="11" width="34.25"/>
    <col customWidth="1" min="13" max="13" width="30.13"/>
    <col customWidth="1" min="15" max="15" width="30.13"/>
    <col customWidth="1" min="17" max="17" width="30.13"/>
    <col customWidth="1" min="19" max="19" width="30.13"/>
    <col customWidth="1" min="21" max="21" width="30.13"/>
    <col customWidth="1" min="23" max="23" width="30.13"/>
    <col customWidth="1" min="25" max="25" width="30.13"/>
    <col customWidth="1" min="27" max="27" width="30.13"/>
    <col customWidth="1" min="29" max="29" width="30.13"/>
    <col customWidth="1" min="31" max="31" width="30.13"/>
    <col customWidth="1" min="33" max="33" width="36.13"/>
    <col customWidth="1" min="34" max="34" width="15.25"/>
    <col customWidth="1" min="35" max="35" width="36.63"/>
    <col customWidth="1" min="37" max="37" width="36.63"/>
    <col customWidth="1" min="39" max="39" width="36.63"/>
    <col customWidth="1" min="41" max="41" width="36.63"/>
    <col customWidth="1" min="43" max="43" width="36.63"/>
    <col customWidth="1" min="45" max="45" width="36.63"/>
  </cols>
  <sheetData>
    <row r="1">
      <c r="A1" s="2" t="s">
        <v>677</v>
      </c>
      <c r="B1" s="13"/>
      <c r="C1" s="2" t="s">
        <v>678</v>
      </c>
      <c r="D1" s="13"/>
      <c r="E1" s="11" t="s">
        <v>679</v>
      </c>
      <c r="F1" s="13"/>
      <c r="G1" s="11" t="s">
        <v>680</v>
      </c>
      <c r="H1" s="13"/>
      <c r="I1" s="11" t="s">
        <v>682</v>
      </c>
      <c r="J1" s="13"/>
      <c r="K1" s="11" t="s">
        <v>684</v>
      </c>
      <c r="L1" s="13"/>
      <c r="M1" s="11" t="s">
        <v>686</v>
      </c>
      <c r="N1" s="13"/>
      <c r="O1" s="11" t="s">
        <v>688</v>
      </c>
      <c r="P1" s="16"/>
      <c r="Q1" s="11" t="s">
        <v>691</v>
      </c>
      <c r="R1" s="13"/>
      <c r="S1" s="11" t="s">
        <v>693</v>
      </c>
      <c r="T1" s="13"/>
      <c r="U1" s="11" t="s">
        <v>696</v>
      </c>
      <c r="V1" s="180"/>
      <c r="W1" s="2" t="s">
        <v>699</v>
      </c>
      <c r="X1" s="181"/>
      <c r="Y1" s="11" t="s">
        <v>702</v>
      </c>
      <c r="Z1" s="87"/>
      <c r="AA1" s="11" t="s">
        <v>704</v>
      </c>
      <c r="AB1" s="87"/>
      <c r="AC1" s="11" t="s">
        <v>706</v>
      </c>
      <c r="AD1" s="87"/>
      <c r="AE1" s="11" t="s">
        <v>709</v>
      </c>
      <c r="AF1" s="87"/>
      <c r="AG1" s="11" t="s">
        <v>712</v>
      </c>
      <c r="AH1" s="87"/>
      <c r="AI1" s="11" t="s">
        <v>713</v>
      </c>
      <c r="AJ1" s="87"/>
      <c r="AK1" s="11" t="s">
        <v>714</v>
      </c>
      <c r="AL1" s="87"/>
      <c r="AM1" s="11" t="s">
        <v>715</v>
      </c>
      <c r="AN1" s="87"/>
      <c r="AO1" s="11" t="s">
        <v>716</v>
      </c>
      <c r="AP1" s="87"/>
      <c r="AQ1" s="11" t="s">
        <v>717</v>
      </c>
      <c r="AR1" s="87"/>
    </row>
    <row r="2">
      <c r="A2" s="35" t="s">
        <v>54</v>
      </c>
      <c r="B2" s="35">
        <v>39.0</v>
      </c>
      <c r="C2" s="35" t="s">
        <v>12</v>
      </c>
      <c r="D2" s="35">
        <v>7.0</v>
      </c>
      <c r="E2" s="35" t="s">
        <v>12</v>
      </c>
      <c r="F2" s="35">
        <v>8.0</v>
      </c>
      <c r="G2" s="35" t="s">
        <v>12</v>
      </c>
      <c r="H2" s="35">
        <v>8.0</v>
      </c>
      <c r="I2" s="35" t="s">
        <v>12</v>
      </c>
      <c r="J2" s="35">
        <v>4.0</v>
      </c>
      <c r="K2" s="35" t="s">
        <v>12</v>
      </c>
      <c r="L2" s="35">
        <v>7.0</v>
      </c>
      <c r="M2" s="35" t="s">
        <v>12</v>
      </c>
      <c r="N2" s="35">
        <v>3.0</v>
      </c>
      <c r="O2" s="35" t="s">
        <v>54</v>
      </c>
      <c r="P2" s="35">
        <v>43.0</v>
      </c>
      <c r="Q2" s="35" t="s">
        <v>12</v>
      </c>
      <c r="R2" s="35">
        <v>6.0</v>
      </c>
      <c r="S2" s="35" t="s">
        <v>12</v>
      </c>
      <c r="T2" s="35">
        <v>3.0</v>
      </c>
      <c r="U2" s="35" t="s">
        <v>12</v>
      </c>
      <c r="V2" s="182">
        <v>4.0</v>
      </c>
      <c r="W2" s="35" t="s">
        <v>12</v>
      </c>
      <c r="X2" s="35">
        <v>6.0</v>
      </c>
      <c r="Y2" s="35" t="s">
        <v>12</v>
      </c>
      <c r="Z2" s="35">
        <v>6.0</v>
      </c>
      <c r="AA2" s="35" t="s">
        <v>54</v>
      </c>
      <c r="AB2" s="72">
        <v>41.0</v>
      </c>
      <c r="AC2" s="35" t="s">
        <v>12</v>
      </c>
      <c r="AD2" s="35">
        <v>5.0</v>
      </c>
      <c r="AE2" s="35" t="s">
        <v>12</v>
      </c>
      <c r="AF2" s="35">
        <v>7.0</v>
      </c>
      <c r="AG2" s="35" t="s">
        <v>12</v>
      </c>
      <c r="AH2" s="35">
        <v>5.0</v>
      </c>
      <c r="AI2" s="35" t="s">
        <v>12</v>
      </c>
      <c r="AJ2" s="35">
        <v>6.0</v>
      </c>
      <c r="AK2" s="35" t="s">
        <v>12</v>
      </c>
      <c r="AL2" s="35">
        <v>10.0</v>
      </c>
      <c r="AM2" s="35" t="s">
        <v>54</v>
      </c>
      <c r="AN2" s="35">
        <v>41.0</v>
      </c>
      <c r="AO2" s="35" t="s">
        <v>12</v>
      </c>
      <c r="AP2" s="35">
        <v>5.0</v>
      </c>
      <c r="AQ2" s="35" t="s">
        <v>12</v>
      </c>
      <c r="AR2" s="35">
        <v>7.0</v>
      </c>
      <c r="AS2" s="95"/>
      <c r="AT2" s="95"/>
    </row>
    <row r="3">
      <c r="A3" s="35" t="s">
        <v>71</v>
      </c>
      <c r="B3" s="35">
        <v>25.0</v>
      </c>
      <c r="C3" s="35" t="s">
        <v>16</v>
      </c>
      <c r="D3" s="35">
        <v>24.0</v>
      </c>
      <c r="E3" s="35" t="s">
        <v>16</v>
      </c>
      <c r="F3" s="35">
        <v>25.0</v>
      </c>
      <c r="G3" s="35" t="s">
        <v>16</v>
      </c>
      <c r="H3" s="35">
        <v>27.0</v>
      </c>
      <c r="I3" s="35" t="s">
        <v>16</v>
      </c>
      <c r="J3" s="35">
        <v>8.0</v>
      </c>
      <c r="K3" s="35" t="s">
        <v>16</v>
      </c>
      <c r="L3" s="35">
        <v>18.0</v>
      </c>
      <c r="M3" s="35" t="s">
        <v>16</v>
      </c>
      <c r="N3" s="35">
        <v>16.0</v>
      </c>
      <c r="O3" s="35" t="s">
        <v>71</v>
      </c>
      <c r="P3" s="35">
        <v>25.0</v>
      </c>
      <c r="Q3" s="35" t="s">
        <v>16</v>
      </c>
      <c r="R3" s="35">
        <v>21.0</v>
      </c>
      <c r="S3" s="35" t="s">
        <v>16</v>
      </c>
      <c r="T3" s="35">
        <v>23.0</v>
      </c>
      <c r="U3" s="35" t="s">
        <v>16</v>
      </c>
      <c r="V3" s="182">
        <v>9.0</v>
      </c>
      <c r="W3" s="35" t="s">
        <v>16</v>
      </c>
      <c r="X3" s="35">
        <v>20.0</v>
      </c>
      <c r="Y3" s="35" t="s">
        <v>16</v>
      </c>
      <c r="Z3" s="35">
        <v>17.0</v>
      </c>
      <c r="AA3" s="35" t="s">
        <v>71</v>
      </c>
      <c r="AB3" s="35">
        <v>24.0</v>
      </c>
      <c r="AC3" s="35" t="s">
        <v>16</v>
      </c>
      <c r="AD3" s="35">
        <v>23.0</v>
      </c>
      <c r="AE3" s="35" t="s">
        <v>16</v>
      </c>
      <c r="AF3" s="35">
        <v>19.0</v>
      </c>
      <c r="AG3" s="35" t="s">
        <v>16</v>
      </c>
      <c r="AH3" s="35">
        <v>12.0</v>
      </c>
      <c r="AI3" s="35" t="s">
        <v>16</v>
      </c>
      <c r="AJ3" s="35">
        <v>25.0</v>
      </c>
      <c r="AK3" s="35" t="s">
        <v>16</v>
      </c>
      <c r="AL3" s="35">
        <v>18.0</v>
      </c>
      <c r="AM3" s="35" t="s">
        <v>71</v>
      </c>
      <c r="AN3" s="35">
        <v>24.0</v>
      </c>
      <c r="AO3" s="35" t="s">
        <v>16</v>
      </c>
      <c r="AP3" s="35">
        <v>15.0</v>
      </c>
      <c r="AQ3" s="35" t="s">
        <v>16</v>
      </c>
      <c r="AR3" s="35">
        <v>17.0</v>
      </c>
      <c r="AS3" s="95"/>
      <c r="AT3" s="95"/>
    </row>
    <row r="4">
      <c r="A4" s="8"/>
      <c r="B4" s="8"/>
      <c r="C4" s="35" t="s">
        <v>23</v>
      </c>
      <c r="D4" s="35">
        <v>2.0</v>
      </c>
      <c r="E4" s="35" t="s">
        <v>23</v>
      </c>
      <c r="F4" s="35">
        <v>2.0</v>
      </c>
      <c r="G4" s="35" t="s">
        <v>23</v>
      </c>
      <c r="H4" s="35">
        <v>4.0</v>
      </c>
      <c r="I4" s="35" t="s">
        <v>23</v>
      </c>
      <c r="J4" s="35">
        <v>2.0</v>
      </c>
      <c r="K4" s="35" t="s">
        <v>23</v>
      </c>
      <c r="L4" s="35">
        <v>6.0</v>
      </c>
      <c r="M4" s="35" t="s">
        <v>23</v>
      </c>
      <c r="N4" s="35">
        <v>9.0</v>
      </c>
      <c r="O4" s="8"/>
      <c r="P4" s="8"/>
      <c r="Q4" s="35" t="s">
        <v>23</v>
      </c>
      <c r="R4" s="35">
        <v>3.0</v>
      </c>
      <c r="S4" s="35" t="s">
        <v>23</v>
      </c>
      <c r="T4" s="35">
        <v>7.0</v>
      </c>
      <c r="U4" s="35" t="s">
        <v>23</v>
      </c>
      <c r="V4" s="182">
        <v>5.0</v>
      </c>
      <c r="W4" s="35" t="s">
        <v>23</v>
      </c>
      <c r="X4" s="35">
        <v>8.0</v>
      </c>
      <c r="Y4" s="35" t="s">
        <v>23</v>
      </c>
      <c r="Z4" s="35">
        <v>7.0</v>
      </c>
      <c r="AA4" s="35"/>
      <c r="AB4" s="35"/>
      <c r="AC4" s="35" t="s">
        <v>23</v>
      </c>
      <c r="AD4" s="35">
        <v>4.0</v>
      </c>
      <c r="AE4" s="35" t="s">
        <v>23</v>
      </c>
      <c r="AF4" s="35">
        <v>1.0</v>
      </c>
      <c r="AG4" s="35" t="s">
        <v>23</v>
      </c>
      <c r="AH4" s="35">
        <v>1.0</v>
      </c>
      <c r="AI4" s="35" t="s">
        <v>23</v>
      </c>
      <c r="AJ4" s="35">
        <v>5.0</v>
      </c>
      <c r="AK4" s="35" t="s">
        <v>23</v>
      </c>
      <c r="AL4" s="35">
        <v>9.0</v>
      </c>
      <c r="AM4" s="35"/>
      <c r="AN4" s="35"/>
      <c r="AO4" s="35" t="s">
        <v>23</v>
      </c>
      <c r="AP4" s="35">
        <v>8.0</v>
      </c>
      <c r="AQ4" s="35" t="s">
        <v>23</v>
      </c>
      <c r="AR4" s="35">
        <v>1.0</v>
      </c>
      <c r="AS4" s="95"/>
      <c r="AT4" s="95"/>
    </row>
    <row r="5">
      <c r="A5" s="8"/>
      <c r="B5" s="69">
        <v>64.0</v>
      </c>
      <c r="C5" s="35" t="s">
        <v>47</v>
      </c>
      <c r="D5" s="35">
        <v>7.0</v>
      </c>
      <c r="E5" s="35" t="s">
        <v>47</v>
      </c>
      <c r="F5" s="35">
        <v>7.0</v>
      </c>
      <c r="G5" s="35" t="s">
        <v>47</v>
      </c>
      <c r="H5" s="35">
        <v>7.0</v>
      </c>
      <c r="I5" s="35" t="s">
        <v>47</v>
      </c>
      <c r="J5" s="35">
        <v>8.0</v>
      </c>
      <c r="K5" s="35" t="s">
        <v>47</v>
      </c>
      <c r="L5" s="35">
        <v>7.0</v>
      </c>
      <c r="M5" s="35" t="s">
        <v>47</v>
      </c>
      <c r="N5" s="35">
        <v>10.0</v>
      </c>
      <c r="O5" s="8"/>
      <c r="P5" s="69">
        <v>68.0</v>
      </c>
      <c r="Q5" s="35" t="s">
        <v>47</v>
      </c>
      <c r="R5" s="35">
        <v>7.0</v>
      </c>
      <c r="S5" s="35" t="s">
        <v>47</v>
      </c>
      <c r="T5" s="35">
        <v>11.0</v>
      </c>
      <c r="U5" s="35" t="s">
        <v>47</v>
      </c>
      <c r="V5" s="182">
        <v>8.0</v>
      </c>
      <c r="W5" s="35" t="s">
        <v>47</v>
      </c>
      <c r="X5" s="35">
        <v>6.0</v>
      </c>
      <c r="Y5" s="35" t="s">
        <v>47</v>
      </c>
      <c r="Z5" s="35">
        <v>11.0</v>
      </c>
      <c r="AA5" s="35"/>
      <c r="AB5" s="72">
        <v>65.0</v>
      </c>
      <c r="AC5" s="35" t="s">
        <v>47</v>
      </c>
      <c r="AD5" s="35">
        <v>10.0</v>
      </c>
      <c r="AE5" s="35" t="s">
        <v>47</v>
      </c>
      <c r="AF5" s="35">
        <v>5.0</v>
      </c>
      <c r="AG5" s="35" t="s">
        <v>47</v>
      </c>
      <c r="AH5" s="35">
        <v>5.0</v>
      </c>
      <c r="AI5" s="35" t="s">
        <v>47</v>
      </c>
      <c r="AJ5" s="35">
        <v>4.0</v>
      </c>
      <c r="AK5" s="35" t="s">
        <v>47</v>
      </c>
      <c r="AL5" s="35">
        <v>12.0</v>
      </c>
      <c r="AM5" s="35"/>
      <c r="AN5" s="72">
        <v>65.0</v>
      </c>
      <c r="AO5" s="35" t="s">
        <v>47</v>
      </c>
      <c r="AP5" s="35">
        <v>9.0</v>
      </c>
      <c r="AQ5" s="35" t="s">
        <v>47</v>
      </c>
      <c r="AR5" s="35">
        <v>6.0</v>
      </c>
      <c r="AS5" s="95"/>
      <c r="AT5" s="95"/>
    </row>
    <row r="6">
      <c r="A6" s="8"/>
      <c r="B6" s="8"/>
      <c r="C6" s="35" t="s">
        <v>55</v>
      </c>
      <c r="D6" s="35">
        <v>9.0</v>
      </c>
      <c r="E6" s="35" t="s">
        <v>55</v>
      </c>
      <c r="F6" s="35">
        <v>9.0</v>
      </c>
      <c r="G6" s="35" t="s">
        <v>55</v>
      </c>
      <c r="H6" s="35">
        <v>14.0</v>
      </c>
      <c r="I6" s="35" t="s">
        <v>55</v>
      </c>
      <c r="J6" s="35">
        <v>13.0</v>
      </c>
      <c r="K6" s="35" t="s">
        <v>55</v>
      </c>
      <c r="L6" s="35">
        <v>15.0</v>
      </c>
      <c r="M6" s="35" t="s">
        <v>55</v>
      </c>
      <c r="N6" s="35">
        <v>15.0</v>
      </c>
      <c r="O6" s="8"/>
      <c r="P6" s="8"/>
      <c r="Q6" s="35" t="s">
        <v>55</v>
      </c>
      <c r="R6" s="35">
        <v>11.0</v>
      </c>
      <c r="S6" s="35" t="s">
        <v>55</v>
      </c>
      <c r="T6" s="35">
        <v>14.0</v>
      </c>
      <c r="U6" s="35" t="s">
        <v>55</v>
      </c>
      <c r="V6" s="182">
        <v>11.0</v>
      </c>
      <c r="W6" s="35" t="s">
        <v>55</v>
      </c>
      <c r="X6" s="35">
        <v>15.0</v>
      </c>
      <c r="Y6" s="35" t="s">
        <v>55</v>
      </c>
      <c r="Z6" s="35">
        <v>15.0</v>
      </c>
      <c r="AA6" s="35"/>
      <c r="AB6" s="35"/>
      <c r="AC6" s="35" t="s">
        <v>55</v>
      </c>
      <c r="AD6" s="35">
        <v>7.0</v>
      </c>
      <c r="AE6" s="35" t="s">
        <v>55</v>
      </c>
      <c r="AF6" s="35">
        <v>12.0</v>
      </c>
      <c r="AG6" s="35" t="s">
        <v>55</v>
      </c>
      <c r="AH6" s="35">
        <v>11.0</v>
      </c>
      <c r="AI6" s="35" t="s">
        <v>55</v>
      </c>
      <c r="AJ6" s="35">
        <v>9.0</v>
      </c>
      <c r="AK6" s="35" t="s">
        <v>55</v>
      </c>
      <c r="AL6" s="35">
        <v>9.0</v>
      </c>
      <c r="AM6" s="35"/>
      <c r="AN6" s="35"/>
      <c r="AO6" s="35" t="s">
        <v>55</v>
      </c>
      <c r="AP6" s="35">
        <v>16.0</v>
      </c>
      <c r="AQ6" s="35" t="s">
        <v>55</v>
      </c>
      <c r="AR6" s="35">
        <v>15.0</v>
      </c>
      <c r="AS6" s="95"/>
      <c r="AT6" s="95"/>
    </row>
    <row r="7">
      <c r="A7" s="35" t="s">
        <v>66</v>
      </c>
      <c r="B7" s="35">
        <v>16.0</v>
      </c>
      <c r="C7" s="35" t="s">
        <v>57</v>
      </c>
      <c r="D7" s="35">
        <v>13.0</v>
      </c>
      <c r="E7" s="35" t="s">
        <v>57</v>
      </c>
      <c r="F7" s="35">
        <v>13.0</v>
      </c>
      <c r="G7" s="35" t="s">
        <v>57</v>
      </c>
      <c r="H7" s="35">
        <v>7.0</v>
      </c>
      <c r="I7" s="35" t="s">
        <v>57</v>
      </c>
      <c r="J7" s="35">
        <v>18.0</v>
      </c>
      <c r="K7" s="35" t="s">
        <v>57</v>
      </c>
      <c r="L7" s="35">
        <v>14.0</v>
      </c>
      <c r="M7" s="35" t="s">
        <v>57</v>
      </c>
      <c r="N7" s="35">
        <v>15.0</v>
      </c>
      <c r="O7" s="35" t="s">
        <v>66</v>
      </c>
      <c r="P7" s="35">
        <v>17.0</v>
      </c>
      <c r="Q7" s="35" t="s">
        <v>57</v>
      </c>
      <c r="R7" s="35">
        <v>12.0</v>
      </c>
      <c r="S7" s="35" t="s">
        <v>57</v>
      </c>
      <c r="T7" s="35">
        <v>5.0</v>
      </c>
      <c r="U7" s="35" t="s">
        <v>57</v>
      </c>
      <c r="V7" s="182">
        <v>16.0</v>
      </c>
      <c r="W7" s="35" t="s">
        <v>57</v>
      </c>
      <c r="X7" s="35">
        <v>12.0</v>
      </c>
      <c r="Y7" s="35" t="s">
        <v>57</v>
      </c>
      <c r="Z7" s="35">
        <v>10.0</v>
      </c>
      <c r="AA7" s="35" t="s">
        <v>66</v>
      </c>
      <c r="AB7" s="35">
        <v>16.0</v>
      </c>
      <c r="AC7" s="35" t="s">
        <v>57</v>
      </c>
      <c r="AD7" s="35">
        <v>14.0</v>
      </c>
      <c r="AE7" s="35" t="s">
        <v>57</v>
      </c>
      <c r="AF7" s="35">
        <v>12.0</v>
      </c>
      <c r="AG7" s="35" t="s">
        <v>57</v>
      </c>
      <c r="AH7" s="35">
        <v>13.0</v>
      </c>
      <c r="AI7" s="35" t="s">
        <v>57</v>
      </c>
      <c r="AJ7" s="35">
        <v>12.0</v>
      </c>
      <c r="AK7" s="35" t="s">
        <v>57</v>
      </c>
      <c r="AL7" s="35">
        <v>9.0</v>
      </c>
      <c r="AM7" s="35" t="s">
        <v>66</v>
      </c>
      <c r="AN7" s="35">
        <v>16.0</v>
      </c>
      <c r="AO7" s="35" t="s">
        <v>57</v>
      </c>
      <c r="AP7" s="35">
        <v>14.0</v>
      </c>
      <c r="AQ7" s="35" t="s">
        <v>57</v>
      </c>
      <c r="AR7" s="35">
        <v>8.0</v>
      </c>
      <c r="AS7" s="95"/>
      <c r="AT7" s="95"/>
    </row>
    <row r="8">
      <c r="A8" s="35" t="s">
        <v>76</v>
      </c>
      <c r="B8" s="35">
        <v>12.0</v>
      </c>
      <c r="C8" s="35" t="s">
        <v>62</v>
      </c>
      <c r="D8" s="35">
        <v>1.0</v>
      </c>
      <c r="E8" s="35" t="s">
        <v>62</v>
      </c>
      <c r="F8" s="35">
        <v>1.0</v>
      </c>
      <c r="G8" s="35" t="s">
        <v>62</v>
      </c>
      <c r="H8" s="35">
        <v>4.0</v>
      </c>
      <c r="I8" s="35" t="s">
        <v>62</v>
      </c>
      <c r="J8" s="35">
        <v>6.0</v>
      </c>
      <c r="K8" s="35" t="s">
        <v>62</v>
      </c>
      <c r="L8" s="35">
        <v>4.0</v>
      </c>
      <c r="M8" s="35" t="s">
        <v>62</v>
      </c>
      <c r="N8" s="35">
        <v>6.0</v>
      </c>
      <c r="O8" s="35" t="s">
        <v>76</v>
      </c>
      <c r="P8" s="35">
        <v>13.0</v>
      </c>
      <c r="Q8" s="35" t="s">
        <v>62</v>
      </c>
      <c r="R8" s="35">
        <v>3.0</v>
      </c>
      <c r="S8" s="35" t="s">
        <v>62</v>
      </c>
      <c r="T8" s="35">
        <v>8.0</v>
      </c>
      <c r="U8" s="35" t="s">
        <v>62</v>
      </c>
      <c r="V8" s="182">
        <v>6.0</v>
      </c>
      <c r="W8" s="35" t="s">
        <v>62</v>
      </c>
      <c r="X8" s="35">
        <v>7.0</v>
      </c>
      <c r="Y8" s="35" t="s">
        <v>62</v>
      </c>
      <c r="Z8" s="35">
        <v>4.0</v>
      </c>
      <c r="AA8" s="35" t="s">
        <v>76</v>
      </c>
      <c r="AB8" s="35">
        <v>13.0</v>
      </c>
      <c r="AC8" s="35" t="s">
        <v>62</v>
      </c>
      <c r="AD8" s="35">
        <v>4.0</v>
      </c>
      <c r="AE8" s="35" t="s">
        <v>62</v>
      </c>
      <c r="AF8" s="35">
        <v>8.0</v>
      </c>
      <c r="AG8" s="35" t="s">
        <v>62</v>
      </c>
      <c r="AH8" s="35">
        <v>7.0</v>
      </c>
      <c r="AI8" s="35" t="s">
        <v>62</v>
      </c>
      <c r="AJ8" s="35">
        <v>9.0</v>
      </c>
      <c r="AK8" s="35" t="s">
        <v>62</v>
      </c>
      <c r="AL8" s="35">
        <v>7.0</v>
      </c>
      <c r="AM8" s="35" t="s">
        <v>76</v>
      </c>
      <c r="AN8" s="35">
        <v>11.0</v>
      </c>
      <c r="AO8" s="35" t="s">
        <v>62</v>
      </c>
      <c r="AP8" s="35">
        <v>3.0</v>
      </c>
      <c r="AQ8" s="35" t="s">
        <v>62</v>
      </c>
      <c r="AR8" s="35">
        <v>6.0</v>
      </c>
      <c r="AS8" s="95"/>
      <c r="AT8" s="95"/>
    </row>
    <row r="9">
      <c r="A9" s="35" t="s">
        <v>100</v>
      </c>
      <c r="B9" s="35">
        <v>36.0</v>
      </c>
      <c r="C9" s="35" t="s">
        <v>5</v>
      </c>
      <c r="D9" s="35">
        <v>9.0</v>
      </c>
      <c r="E9" s="35" t="s">
        <v>5</v>
      </c>
      <c r="F9" s="35">
        <v>9.0</v>
      </c>
      <c r="G9" s="35" t="s">
        <v>5</v>
      </c>
      <c r="H9" s="35">
        <v>7.0</v>
      </c>
      <c r="I9" s="35" t="s">
        <v>5</v>
      </c>
      <c r="J9" s="35">
        <v>9.0</v>
      </c>
      <c r="K9" s="35" t="s">
        <v>5</v>
      </c>
      <c r="L9" s="35">
        <v>9.0</v>
      </c>
      <c r="M9" s="35" t="s">
        <v>5</v>
      </c>
      <c r="N9" s="35">
        <v>7.0</v>
      </c>
      <c r="O9" s="35" t="s">
        <v>100</v>
      </c>
      <c r="P9" s="35">
        <v>38.0</v>
      </c>
      <c r="Q9" s="35" t="s">
        <v>5</v>
      </c>
      <c r="R9" s="35">
        <v>10.0</v>
      </c>
      <c r="S9" s="35" t="s">
        <v>5</v>
      </c>
      <c r="T9" s="35">
        <v>8.0</v>
      </c>
      <c r="U9" s="35" t="s">
        <v>5</v>
      </c>
      <c r="V9" s="182">
        <v>9.0</v>
      </c>
      <c r="W9" s="35" t="s">
        <v>5</v>
      </c>
      <c r="X9" s="35">
        <v>6.0</v>
      </c>
      <c r="Y9" s="35" t="s">
        <v>5</v>
      </c>
      <c r="Z9" s="35">
        <v>8.0</v>
      </c>
      <c r="AA9" s="35" t="s">
        <v>100</v>
      </c>
      <c r="AB9" s="72">
        <v>36.0</v>
      </c>
      <c r="AC9" s="35" t="s">
        <v>5</v>
      </c>
      <c r="AD9" s="35">
        <v>11.0</v>
      </c>
      <c r="AE9" s="35" t="s">
        <v>5</v>
      </c>
      <c r="AF9" s="35">
        <v>7.0</v>
      </c>
      <c r="AG9" s="109" t="s">
        <v>5</v>
      </c>
      <c r="AH9" s="35">
        <v>10.0</v>
      </c>
      <c r="AI9" s="35" t="s">
        <v>5</v>
      </c>
      <c r="AJ9" s="35">
        <v>10.0</v>
      </c>
      <c r="AK9" s="35" t="s">
        <v>5</v>
      </c>
      <c r="AL9" s="35">
        <v>12.0</v>
      </c>
      <c r="AM9" s="35" t="s">
        <v>100</v>
      </c>
      <c r="AN9" s="35">
        <v>38.0</v>
      </c>
      <c r="AO9" s="35" t="s">
        <v>5</v>
      </c>
      <c r="AP9" s="35">
        <v>8.0</v>
      </c>
      <c r="AQ9" s="35" t="s">
        <v>5</v>
      </c>
      <c r="AR9" s="35">
        <v>8.0</v>
      </c>
      <c r="AS9" s="95"/>
      <c r="AT9" s="95"/>
    </row>
    <row r="10">
      <c r="A10" s="8"/>
      <c r="B10" s="8"/>
      <c r="C10" s="35" t="s">
        <v>32</v>
      </c>
      <c r="D10" s="35">
        <v>8.0</v>
      </c>
      <c r="E10" s="35" t="s">
        <v>32</v>
      </c>
      <c r="F10" s="35">
        <v>9.0</v>
      </c>
      <c r="G10" s="35" t="s">
        <v>32</v>
      </c>
      <c r="H10" s="35">
        <v>10.0</v>
      </c>
      <c r="I10" s="35" t="s">
        <v>32</v>
      </c>
      <c r="J10" s="35">
        <v>8.0</v>
      </c>
      <c r="K10" s="35" t="s">
        <v>32</v>
      </c>
      <c r="L10" s="35">
        <v>12.0</v>
      </c>
      <c r="M10" s="35" t="s">
        <v>32</v>
      </c>
      <c r="N10" s="35">
        <v>10.0</v>
      </c>
      <c r="O10" s="8"/>
      <c r="P10" s="8"/>
      <c r="Q10" s="87" t="s">
        <v>32</v>
      </c>
      <c r="R10" s="35">
        <v>9.0</v>
      </c>
      <c r="S10" s="35" t="s">
        <v>32</v>
      </c>
      <c r="T10" s="35">
        <v>7.0</v>
      </c>
      <c r="U10" s="35" t="s">
        <v>32</v>
      </c>
      <c r="V10" s="182">
        <v>6.0</v>
      </c>
      <c r="W10" s="35" t="s">
        <v>32</v>
      </c>
      <c r="X10" s="35">
        <v>10.0</v>
      </c>
      <c r="Y10" s="35" t="s">
        <v>32</v>
      </c>
      <c r="Z10" s="35">
        <v>12.0</v>
      </c>
      <c r="AA10" s="35"/>
      <c r="AB10" s="35"/>
      <c r="AC10" s="35" t="s">
        <v>32</v>
      </c>
      <c r="AD10" s="35">
        <v>4.0</v>
      </c>
      <c r="AE10" s="35" t="s">
        <v>32</v>
      </c>
      <c r="AF10" s="35">
        <v>12.0</v>
      </c>
      <c r="AG10" s="109" t="s">
        <v>32</v>
      </c>
      <c r="AH10" s="35">
        <v>7.0</v>
      </c>
      <c r="AI10" s="35" t="s">
        <v>32</v>
      </c>
      <c r="AJ10" s="35">
        <v>4.0</v>
      </c>
      <c r="AK10" s="35" t="s">
        <v>32</v>
      </c>
      <c r="AL10" s="35">
        <v>9.0</v>
      </c>
      <c r="AM10" s="35"/>
      <c r="AN10" s="35"/>
      <c r="AO10" s="35" t="s">
        <v>32</v>
      </c>
      <c r="AP10" s="35">
        <v>7.0</v>
      </c>
      <c r="AQ10" s="35" t="s">
        <v>32</v>
      </c>
      <c r="AR10" s="35">
        <v>15.0</v>
      </c>
      <c r="AS10" s="95"/>
      <c r="AT10" s="95"/>
    </row>
    <row r="11">
      <c r="A11" s="8"/>
      <c r="B11" s="69">
        <v>64.0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69">
        <v>68.0</v>
      </c>
      <c r="Q11" s="8"/>
      <c r="R11" s="8"/>
      <c r="S11" s="8"/>
      <c r="T11" s="8"/>
      <c r="U11" s="8"/>
      <c r="V11" s="184"/>
      <c r="W11" s="8"/>
      <c r="X11" s="8"/>
      <c r="Y11" s="8"/>
      <c r="Z11" s="8"/>
      <c r="AA11" s="8"/>
      <c r="AB11" s="69">
        <v>65.0</v>
      </c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>
        <v>65.0</v>
      </c>
      <c r="AO11" s="69"/>
      <c r="AP11" s="69"/>
      <c r="AQ11" s="69"/>
      <c r="AR11" s="69"/>
      <c r="AS11" s="92"/>
      <c r="AT11" s="92"/>
    </row>
    <row r="12">
      <c r="C12" s="8"/>
      <c r="D12" s="69">
        <v>80.0</v>
      </c>
      <c r="E12" s="8"/>
      <c r="F12" s="69">
        <v>83.0</v>
      </c>
      <c r="G12" s="8"/>
      <c r="H12" s="69">
        <v>88.0</v>
      </c>
      <c r="I12" s="8"/>
      <c r="J12" s="69">
        <v>76.0</v>
      </c>
      <c r="K12" s="8"/>
      <c r="L12" s="69">
        <v>92.0</v>
      </c>
      <c r="M12" s="8"/>
      <c r="N12" s="69">
        <v>91.0</v>
      </c>
      <c r="Q12" s="8"/>
      <c r="R12" s="69">
        <v>82.0</v>
      </c>
      <c r="S12" s="8"/>
      <c r="T12" s="69">
        <v>86.0</v>
      </c>
      <c r="U12" s="8"/>
      <c r="V12" s="185">
        <v>74.0</v>
      </c>
      <c r="W12" s="8"/>
      <c r="X12" s="69">
        <v>90.0</v>
      </c>
      <c r="Y12" s="8"/>
      <c r="Z12" s="69">
        <v>90.0</v>
      </c>
      <c r="AA12" s="92"/>
      <c r="AB12" s="92"/>
      <c r="AC12" s="69"/>
      <c r="AD12" s="69">
        <v>82.0</v>
      </c>
      <c r="AE12" s="69"/>
      <c r="AF12" s="69">
        <v>83.0</v>
      </c>
      <c r="AG12" s="69"/>
      <c r="AH12" s="69">
        <v>71.0</v>
      </c>
      <c r="AI12" s="69"/>
      <c r="AJ12" s="69">
        <v>84.0</v>
      </c>
      <c r="AK12" s="69"/>
      <c r="AL12" s="69">
        <v>95.0</v>
      </c>
      <c r="AM12" s="92"/>
      <c r="AN12" s="92"/>
      <c r="AO12" s="69"/>
      <c r="AP12" s="69">
        <v>85.0</v>
      </c>
      <c r="AQ12" s="69"/>
      <c r="AR12" s="69">
        <v>83.0</v>
      </c>
      <c r="AS12" s="92"/>
      <c r="AT12" s="92"/>
    </row>
    <row r="13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Q13" s="8"/>
      <c r="R13" s="8"/>
      <c r="S13" s="8"/>
      <c r="T13" s="8"/>
      <c r="U13" s="8"/>
      <c r="V13" s="184"/>
      <c r="W13" s="8"/>
      <c r="X13" s="8"/>
      <c r="Y13" s="8"/>
      <c r="Z13" s="8"/>
      <c r="AA13" s="93"/>
      <c r="AB13" s="93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93"/>
      <c r="AN13" s="93"/>
      <c r="AO13" s="8"/>
      <c r="AP13" s="8"/>
      <c r="AQ13" s="8"/>
      <c r="AR13" s="8"/>
      <c r="AS13" s="93"/>
      <c r="AT13" s="93"/>
    </row>
    <row r="14">
      <c r="C14" s="35" t="s">
        <v>78</v>
      </c>
      <c r="D14" s="35">
        <v>18.0</v>
      </c>
      <c r="E14" s="35" t="s">
        <v>78</v>
      </c>
      <c r="F14" s="35">
        <v>18.0</v>
      </c>
      <c r="G14" s="35" t="s">
        <v>78</v>
      </c>
      <c r="H14" s="35">
        <v>19.0</v>
      </c>
      <c r="I14" s="35" t="s">
        <v>78</v>
      </c>
      <c r="J14" s="35">
        <v>9.0</v>
      </c>
      <c r="K14" s="35" t="s">
        <v>78</v>
      </c>
      <c r="L14" s="35">
        <v>10.0</v>
      </c>
      <c r="M14" s="35" t="s">
        <v>78</v>
      </c>
      <c r="N14" s="35">
        <v>11.0</v>
      </c>
      <c r="Q14" s="35" t="s">
        <v>78</v>
      </c>
      <c r="R14" s="35">
        <v>22.0</v>
      </c>
      <c r="S14" s="35" t="s">
        <v>78</v>
      </c>
      <c r="T14" s="35">
        <v>19.0</v>
      </c>
      <c r="U14" s="35" t="s">
        <v>78</v>
      </c>
      <c r="V14" s="182">
        <v>10.0</v>
      </c>
      <c r="W14" s="35" t="s">
        <v>78</v>
      </c>
      <c r="X14" s="35">
        <v>12.0</v>
      </c>
      <c r="Y14" s="35" t="s">
        <v>78</v>
      </c>
      <c r="Z14" s="35">
        <v>8.0</v>
      </c>
      <c r="AA14" s="95"/>
      <c r="AB14" s="95"/>
      <c r="AC14" s="35" t="s">
        <v>78</v>
      </c>
      <c r="AD14" s="35">
        <v>17.0</v>
      </c>
      <c r="AE14" s="35" t="s">
        <v>78</v>
      </c>
      <c r="AF14" s="35">
        <v>19.0</v>
      </c>
      <c r="AG14" s="35" t="s">
        <v>78</v>
      </c>
      <c r="AH14" s="35">
        <v>12.0</v>
      </c>
      <c r="AI14" s="35" t="s">
        <v>78</v>
      </c>
      <c r="AJ14" s="35">
        <v>11.0</v>
      </c>
      <c r="AK14" s="35" t="s">
        <v>78</v>
      </c>
      <c r="AL14" s="35">
        <v>10.0</v>
      </c>
      <c r="AM14" s="95"/>
      <c r="AN14" s="95"/>
      <c r="AO14" s="35" t="s">
        <v>78</v>
      </c>
      <c r="AP14" s="35">
        <v>17.0</v>
      </c>
      <c r="AQ14" s="35" t="s">
        <v>78</v>
      </c>
      <c r="AR14" s="35">
        <v>18.0</v>
      </c>
      <c r="AS14" s="95"/>
      <c r="AT14" s="95"/>
    </row>
    <row r="15">
      <c r="C15" s="35" t="s">
        <v>87</v>
      </c>
      <c r="D15" s="35">
        <v>23.0</v>
      </c>
      <c r="E15" s="35" t="s">
        <v>87</v>
      </c>
      <c r="F15" s="35">
        <v>23.0</v>
      </c>
      <c r="G15" s="35" t="s">
        <v>87</v>
      </c>
      <c r="H15" s="35">
        <v>25.0</v>
      </c>
      <c r="I15" s="35" t="s">
        <v>87</v>
      </c>
      <c r="J15" s="35">
        <v>19.0</v>
      </c>
      <c r="K15" s="35" t="s">
        <v>87</v>
      </c>
      <c r="L15" s="35">
        <v>21.0</v>
      </c>
      <c r="M15" s="35" t="s">
        <v>87</v>
      </c>
      <c r="N15" s="35">
        <v>20.0</v>
      </c>
      <c r="Q15" s="35" t="s">
        <v>87</v>
      </c>
      <c r="R15" s="35">
        <v>23.0</v>
      </c>
      <c r="S15" s="35" t="s">
        <v>87</v>
      </c>
      <c r="T15" s="35">
        <v>24.0</v>
      </c>
      <c r="U15" s="35" t="s">
        <v>87</v>
      </c>
      <c r="V15" s="182">
        <v>20.0</v>
      </c>
      <c r="W15" s="35" t="s">
        <v>87</v>
      </c>
      <c r="X15" s="35">
        <v>18.0</v>
      </c>
      <c r="Y15" s="35" t="s">
        <v>87</v>
      </c>
      <c r="Z15" s="35">
        <v>27.0</v>
      </c>
      <c r="AA15" s="95"/>
      <c r="AB15" s="95"/>
      <c r="AC15" s="35" t="s">
        <v>87</v>
      </c>
      <c r="AD15" s="35">
        <v>22.0</v>
      </c>
      <c r="AE15" s="35" t="s">
        <v>87</v>
      </c>
      <c r="AF15" s="35">
        <v>24.0</v>
      </c>
      <c r="AG15" s="35" t="s">
        <v>87</v>
      </c>
      <c r="AH15" s="35">
        <v>17.0</v>
      </c>
      <c r="AI15" s="35" t="s">
        <v>87</v>
      </c>
      <c r="AJ15" s="35">
        <v>15.0</v>
      </c>
      <c r="AK15" s="35" t="s">
        <v>87</v>
      </c>
      <c r="AL15" s="35">
        <v>31.0</v>
      </c>
      <c r="AM15" s="95"/>
      <c r="AN15" s="95"/>
      <c r="AO15" s="35" t="s">
        <v>87</v>
      </c>
      <c r="AP15" s="35">
        <v>29.0</v>
      </c>
      <c r="AQ15" s="35" t="s">
        <v>87</v>
      </c>
      <c r="AR15" s="35">
        <v>30.0</v>
      </c>
      <c r="AS15" s="95"/>
      <c r="AT15" s="95"/>
    </row>
    <row r="16">
      <c r="C16" s="35" t="s">
        <v>65</v>
      </c>
      <c r="D16" s="35">
        <v>10.0</v>
      </c>
      <c r="E16" s="35" t="s">
        <v>65</v>
      </c>
      <c r="F16" s="35">
        <v>11.0</v>
      </c>
      <c r="G16" s="35" t="s">
        <v>65</v>
      </c>
      <c r="H16" s="35">
        <v>13.0</v>
      </c>
      <c r="I16" s="35" t="s">
        <v>65</v>
      </c>
      <c r="J16" s="35">
        <v>12.0</v>
      </c>
      <c r="K16" s="35" t="s">
        <v>65</v>
      </c>
      <c r="L16" s="35">
        <v>14.0</v>
      </c>
      <c r="M16" s="35" t="s">
        <v>65</v>
      </c>
      <c r="N16" s="35">
        <v>23.0</v>
      </c>
      <c r="Q16" s="35" t="s">
        <v>65</v>
      </c>
      <c r="R16" s="35">
        <v>10.0</v>
      </c>
      <c r="S16" s="35" t="s">
        <v>65</v>
      </c>
      <c r="T16" s="35">
        <v>11.0</v>
      </c>
      <c r="U16" s="35" t="s">
        <v>65</v>
      </c>
      <c r="V16" s="182">
        <v>11.0</v>
      </c>
      <c r="W16" s="35" t="s">
        <v>65</v>
      </c>
      <c r="X16" s="35">
        <v>13.0</v>
      </c>
      <c r="Y16" s="35" t="s">
        <v>65</v>
      </c>
      <c r="Z16" s="35">
        <v>20.0</v>
      </c>
      <c r="AA16" s="95"/>
      <c r="AB16" s="95"/>
      <c r="AC16" s="35" t="s">
        <v>65</v>
      </c>
      <c r="AD16" s="35">
        <v>19.0</v>
      </c>
      <c r="AE16" s="35" t="s">
        <v>65</v>
      </c>
      <c r="AF16" s="35">
        <v>7.0</v>
      </c>
      <c r="AG16" s="35" t="s">
        <v>65</v>
      </c>
      <c r="AH16" s="35">
        <v>13.0</v>
      </c>
      <c r="AI16" s="35" t="s">
        <v>65</v>
      </c>
      <c r="AJ16" s="35">
        <v>13.0</v>
      </c>
      <c r="AK16" s="35" t="s">
        <v>65</v>
      </c>
      <c r="AL16" s="35">
        <v>15.0</v>
      </c>
      <c r="AM16" s="95"/>
      <c r="AN16" s="95"/>
      <c r="AO16" s="35" t="s">
        <v>65</v>
      </c>
      <c r="AP16" s="35">
        <v>14.0</v>
      </c>
      <c r="AQ16" s="35" t="s">
        <v>65</v>
      </c>
      <c r="AR16" s="35">
        <v>6.0</v>
      </c>
      <c r="AS16" s="95"/>
      <c r="AT16" s="95"/>
    </row>
    <row r="17">
      <c r="C17" s="35" t="s">
        <v>85</v>
      </c>
      <c r="D17" s="35">
        <v>6.0</v>
      </c>
      <c r="E17" s="35" t="s">
        <v>85</v>
      </c>
      <c r="F17" s="35">
        <v>6.0</v>
      </c>
      <c r="G17" s="35" t="s">
        <v>85</v>
      </c>
      <c r="H17" s="35">
        <v>8.0</v>
      </c>
      <c r="I17" s="35" t="s">
        <v>85</v>
      </c>
      <c r="J17" s="35">
        <v>6.0</v>
      </c>
      <c r="K17" s="35" t="s">
        <v>85</v>
      </c>
      <c r="L17" s="35">
        <v>12.0</v>
      </c>
      <c r="M17" s="35" t="s">
        <v>85</v>
      </c>
      <c r="N17" s="35">
        <v>9.0</v>
      </c>
      <c r="Q17" s="35" t="s">
        <v>85</v>
      </c>
      <c r="R17" s="35">
        <v>6.0</v>
      </c>
      <c r="S17" s="35" t="s">
        <v>85</v>
      </c>
      <c r="T17" s="35">
        <v>4.0</v>
      </c>
      <c r="U17" s="35" t="s">
        <v>85</v>
      </c>
      <c r="V17" s="182">
        <v>7.0</v>
      </c>
      <c r="W17" s="35" t="s">
        <v>85</v>
      </c>
      <c r="X17" s="35">
        <v>6.0</v>
      </c>
      <c r="Y17" s="35" t="s">
        <v>85</v>
      </c>
      <c r="Z17" s="35">
        <v>6.0</v>
      </c>
      <c r="AA17" s="95"/>
      <c r="AB17" s="95"/>
      <c r="AC17" s="35" t="s">
        <v>85</v>
      </c>
      <c r="AD17" s="35">
        <v>3.0</v>
      </c>
      <c r="AE17" s="35" t="s">
        <v>85</v>
      </c>
      <c r="AF17" s="35">
        <v>9.0</v>
      </c>
      <c r="AG17" s="35" t="s">
        <v>85</v>
      </c>
      <c r="AH17" s="35">
        <v>5.0</v>
      </c>
      <c r="AI17" s="35" t="s">
        <v>85</v>
      </c>
      <c r="AJ17" s="35">
        <v>4.0</v>
      </c>
      <c r="AK17" s="35" t="s">
        <v>85</v>
      </c>
      <c r="AL17" s="35">
        <v>9.0</v>
      </c>
      <c r="AM17" s="95"/>
      <c r="AN17" s="95"/>
      <c r="AO17" s="35" t="s">
        <v>85</v>
      </c>
      <c r="AP17" s="35">
        <v>6.0</v>
      </c>
      <c r="AQ17" s="35" t="s">
        <v>85</v>
      </c>
      <c r="AR17" s="35">
        <v>7.0</v>
      </c>
      <c r="AS17" s="95"/>
      <c r="AT17" s="95"/>
    </row>
    <row r="18">
      <c r="C18" s="35" t="s">
        <v>105</v>
      </c>
      <c r="D18" s="35">
        <v>13.0</v>
      </c>
      <c r="E18" s="35" t="s">
        <v>105</v>
      </c>
      <c r="F18" s="35">
        <v>15.0</v>
      </c>
      <c r="G18" s="35" t="s">
        <v>105</v>
      </c>
      <c r="H18" s="35">
        <v>10.0</v>
      </c>
      <c r="I18" s="35" t="s">
        <v>105</v>
      </c>
      <c r="J18" s="35">
        <v>15.0</v>
      </c>
      <c r="K18" s="35" t="s">
        <v>105</v>
      </c>
      <c r="L18" s="35">
        <v>18.0</v>
      </c>
      <c r="M18" s="35" t="s">
        <v>105</v>
      </c>
      <c r="N18" s="35">
        <v>10.0</v>
      </c>
      <c r="Q18" s="35" t="s">
        <v>105</v>
      </c>
      <c r="R18" s="35">
        <v>15.0</v>
      </c>
      <c r="S18" s="35" t="s">
        <v>105</v>
      </c>
      <c r="T18" s="35">
        <v>14.0</v>
      </c>
      <c r="U18" s="35" t="s">
        <v>105</v>
      </c>
      <c r="V18" s="182">
        <v>8.0</v>
      </c>
      <c r="W18" s="35" t="s">
        <v>105</v>
      </c>
      <c r="X18" s="35">
        <v>20.0</v>
      </c>
      <c r="Y18" s="35" t="s">
        <v>105</v>
      </c>
      <c r="Z18" s="35">
        <v>12.0</v>
      </c>
      <c r="AA18" s="95"/>
      <c r="AB18" s="95"/>
      <c r="AC18" s="35" t="s">
        <v>105</v>
      </c>
      <c r="AD18" s="35">
        <v>12.0</v>
      </c>
      <c r="AE18" s="35" t="s">
        <v>105</v>
      </c>
      <c r="AF18" s="35">
        <v>8.0</v>
      </c>
      <c r="AG18" s="35" t="s">
        <v>105</v>
      </c>
      <c r="AH18" s="35">
        <v>11.0</v>
      </c>
      <c r="AI18" s="35" t="s">
        <v>105</v>
      </c>
      <c r="AJ18" s="35">
        <v>24.0</v>
      </c>
      <c r="AK18" s="35" t="s">
        <v>105</v>
      </c>
      <c r="AL18" s="35">
        <v>17.0</v>
      </c>
      <c r="AM18" s="95"/>
      <c r="AN18" s="95"/>
      <c r="AO18" s="35" t="s">
        <v>105</v>
      </c>
      <c r="AP18" s="35">
        <v>12.0</v>
      </c>
      <c r="AQ18" s="35" t="s">
        <v>105</v>
      </c>
      <c r="AR18" s="35">
        <v>14.0</v>
      </c>
      <c r="AS18" s="95"/>
      <c r="AT18" s="95"/>
    </row>
    <row r="19">
      <c r="C19" s="35" t="s">
        <v>95</v>
      </c>
      <c r="D19" s="35">
        <v>3.0</v>
      </c>
      <c r="E19" s="35" t="s">
        <v>95</v>
      </c>
      <c r="F19" s="35">
        <v>3.0</v>
      </c>
      <c r="G19" s="35" t="s">
        <v>95</v>
      </c>
      <c r="H19" s="35">
        <v>1.0</v>
      </c>
      <c r="I19" s="35" t="s">
        <v>95</v>
      </c>
      <c r="J19" s="35">
        <v>2.0</v>
      </c>
      <c r="K19" s="35" t="s">
        <v>95</v>
      </c>
      <c r="L19" s="35">
        <v>6.0</v>
      </c>
      <c r="M19" s="35" t="s">
        <v>95</v>
      </c>
      <c r="N19" s="35">
        <v>9.0</v>
      </c>
      <c r="Q19" s="35" t="s">
        <v>95</v>
      </c>
      <c r="R19" s="35">
        <v>3.0</v>
      </c>
      <c r="S19" s="35" t="s">
        <v>95</v>
      </c>
      <c r="T19" s="35">
        <v>4.0</v>
      </c>
      <c r="U19" s="35" t="s">
        <v>95</v>
      </c>
      <c r="V19" s="182">
        <v>6.0</v>
      </c>
      <c r="W19" s="35" t="s">
        <v>95</v>
      </c>
      <c r="X19" s="35">
        <v>8.0</v>
      </c>
      <c r="Y19" s="35" t="s">
        <v>95</v>
      </c>
      <c r="Z19" s="35">
        <v>7.0</v>
      </c>
      <c r="AA19" s="95"/>
      <c r="AB19" s="95"/>
      <c r="AC19" s="35" t="s">
        <v>95</v>
      </c>
      <c r="AD19" s="35">
        <v>7.0</v>
      </c>
      <c r="AE19" s="35" t="s">
        <v>95</v>
      </c>
      <c r="AF19" s="35">
        <v>7.0</v>
      </c>
      <c r="AG19" s="35" t="s">
        <v>95</v>
      </c>
      <c r="AH19" s="35">
        <v>2.0</v>
      </c>
      <c r="AI19" s="35" t="s">
        <v>95</v>
      </c>
      <c r="AJ19" s="35">
        <v>5.0</v>
      </c>
      <c r="AK19" s="35" t="s">
        <v>95</v>
      </c>
      <c r="AL19" s="35">
        <v>7.0</v>
      </c>
      <c r="AM19" s="95"/>
      <c r="AN19" s="95"/>
      <c r="AO19" s="35" t="s">
        <v>95</v>
      </c>
      <c r="AP19" s="35">
        <v>4.0</v>
      </c>
      <c r="AQ19" s="35" t="s">
        <v>95</v>
      </c>
      <c r="AR19" s="35">
        <v>4.0</v>
      </c>
      <c r="AS19" s="95"/>
      <c r="AT19" s="95"/>
    </row>
    <row r="20">
      <c r="C20" s="35" t="s">
        <v>117</v>
      </c>
      <c r="D20" s="35">
        <v>6.0</v>
      </c>
      <c r="E20" s="35" t="s">
        <v>117</v>
      </c>
      <c r="F20" s="35">
        <v>6.0</v>
      </c>
      <c r="G20" s="35" t="s">
        <v>117</v>
      </c>
      <c r="H20" s="35">
        <v>9.0</v>
      </c>
      <c r="I20" s="35" t="s">
        <v>117</v>
      </c>
      <c r="J20" s="35">
        <v>10.0</v>
      </c>
      <c r="K20" s="35" t="s">
        <v>117</v>
      </c>
      <c r="L20" s="35">
        <v>8.0</v>
      </c>
      <c r="M20" s="35" t="s">
        <v>117</v>
      </c>
      <c r="N20" s="35">
        <v>8.0</v>
      </c>
      <c r="Q20" s="35" t="s">
        <v>117</v>
      </c>
      <c r="R20" s="35">
        <v>3.0</v>
      </c>
      <c r="S20" s="35" t="s">
        <v>117</v>
      </c>
      <c r="T20" s="35">
        <v>7.0</v>
      </c>
      <c r="U20" s="35" t="s">
        <v>117</v>
      </c>
      <c r="V20" s="182">
        <v>8.0</v>
      </c>
      <c r="W20" s="35" t="s">
        <v>117</v>
      </c>
      <c r="X20" s="35">
        <v>10.0</v>
      </c>
      <c r="Y20" s="35" t="s">
        <v>117</v>
      </c>
      <c r="Z20" s="35">
        <v>8.0</v>
      </c>
      <c r="AA20" s="95"/>
      <c r="AB20" s="95"/>
      <c r="AC20" s="35" t="s">
        <v>117</v>
      </c>
      <c r="AD20" s="35">
        <v>2.0</v>
      </c>
      <c r="AE20" s="35" t="s">
        <v>117</v>
      </c>
      <c r="AF20" s="35">
        <v>7.0</v>
      </c>
      <c r="AG20" s="35" t="s">
        <v>117</v>
      </c>
      <c r="AH20" s="35">
        <v>8.0</v>
      </c>
      <c r="AI20" s="35" t="s">
        <v>117</v>
      </c>
      <c r="AJ20" s="35">
        <v>8.0</v>
      </c>
      <c r="AK20" s="35" t="s">
        <v>117</v>
      </c>
      <c r="AL20" s="35">
        <v>7.0</v>
      </c>
      <c r="AM20" s="95"/>
      <c r="AN20" s="95"/>
      <c r="AO20" s="35" t="s">
        <v>117</v>
      </c>
      <c r="AP20" s="35">
        <v>3.0</v>
      </c>
      <c r="AQ20" s="35" t="s">
        <v>117</v>
      </c>
      <c r="AR20" s="35">
        <v>6.0</v>
      </c>
      <c r="AS20" s="95"/>
      <c r="AT20" s="95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Q21" s="8"/>
      <c r="R21" s="8"/>
      <c r="S21" s="8"/>
      <c r="T21" s="8"/>
      <c r="U21" s="8"/>
      <c r="V21" s="184"/>
      <c r="W21" s="8"/>
      <c r="X21" s="8"/>
      <c r="Y21" s="8"/>
      <c r="Z21" s="8"/>
      <c r="AA21" s="93"/>
      <c r="AB21" s="93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3"/>
      <c r="AN21" s="93"/>
      <c r="AO21" s="8"/>
      <c r="AP21" s="8"/>
      <c r="AQ21" s="8"/>
      <c r="AR21" s="8"/>
      <c r="AS21" s="93"/>
      <c r="AT21" s="93"/>
    </row>
    <row r="22">
      <c r="C22" s="8"/>
      <c r="D22" s="69">
        <v>79.0</v>
      </c>
      <c r="E22" s="8"/>
      <c r="F22" s="69">
        <v>82.0</v>
      </c>
      <c r="G22" s="8"/>
      <c r="H22" s="69">
        <v>85.0</v>
      </c>
      <c r="I22" s="8"/>
      <c r="J22" s="69">
        <v>73.0</v>
      </c>
      <c r="K22" s="8"/>
      <c r="L22" s="69">
        <v>89.0</v>
      </c>
      <c r="M22" s="8"/>
      <c r="N22" s="69">
        <v>90.0</v>
      </c>
      <c r="Q22" s="8"/>
      <c r="R22" s="69">
        <v>82.0</v>
      </c>
      <c r="S22" s="8"/>
      <c r="T22" s="69">
        <v>83.0</v>
      </c>
      <c r="U22" s="8"/>
      <c r="V22" s="185">
        <v>70.0</v>
      </c>
      <c r="W22" s="8"/>
      <c r="X22" s="69">
        <v>87.0</v>
      </c>
      <c r="Y22" s="8"/>
      <c r="Z22" s="69">
        <v>88.0</v>
      </c>
      <c r="AA22" s="92"/>
      <c r="AB22" s="92"/>
      <c r="AC22" s="69"/>
      <c r="AD22" s="69">
        <v>82.0</v>
      </c>
      <c r="AE22" s="69"/>
      <c r="AF22" s="69">
        <v>81.0</v>
      </c>
      <c r="AG22" s="69"/>
      <c r="AH22" s="69">
        <v>68.0</v>
      </c>
      <c r="AI22" s="69"/>
      <c r="AJ22" s="69">
        <v>80.0</v>
      </c>
      <c r="AK22" s="69"/>
      <c r="AL22" s="69">
        <v>96.0</v>
      </c>
      <c r="AM22" s="92"/>
      <c r="AN22" s="92"/>
      <c r="AO22" s="69"/>
      <c r="AP22" s="69">
        <v>85.0</v>
      </c>
      <c r="AQ22" s="69"/>
      <c r="AR22" s="69">
        <v>85.0</v>
      </c>
      <c r="AS22" s="92"/>
      <c r="AT22" s="92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Q23" s="8"/>
      <c r="R23" s="8"/>
      <c r="S23" s="8"/>
      <c r="T23" s="8"/>
      <c r="U23" s="8"/>
      <c r="V23" s="184"/>
      <c r="W23" s="8"/>
      <c r="X23" s="8"/>
      <c r="Y23" s="8"/>
      <c r="Z23" s="8"/>
      <c r="AA23" s="93"/>
      <c r="AB23" s="93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3"/>
      <c r="AN23" s="93"/>
      <c r="AO23" s="8"/>
      <c r="AP23" s="8"/>
      <c r="AQ23" s="8"/>
      <c r="AR23" s="8"/>
      <c r="AS23" s="93"/>
      <c r="AT23" s="93"/>
    </row>
    <row r="24">
      <c r="C24" s="35" t="s">
        <v>335</v>
      </c>
      <c r="D24" s="35">
        <v>5.0</v>
      </c>
      <c r="E24" s="35" t="s">
        <v>335</v>
      </c>
      <c r="F24" s="35">
        <v>5.0</v>
      </c>
      <c r="G24" s="35" t="s">
        <v>336</v>
      </c>
      <c r="H24" s="35">
        <v>1.0</v>
      </c>
      <c r="I24" s="35" t="s">
        <v>336</v>
      </c>
      <c r="J24" s="35">
        <v>1.0</v>
      </c>
      <c r="K24" s="35" t="s">
        <v>337</v>
      </c>
      <c r="L24" s="35">
        <v>1.0</v>
      </c>
      <c r="M24" s="35" t="s">
        <v>337</v>
      </c>
      <c r="N24" s="35">
        <v>2.0</v>
      </c>
      <c r="Q24" s="35" t="s">
        <v>335</v>
      </c>
      <c r="R24" s="35">
        <v>4.0</v>
      </c>
      <c r="S24" s="35" t="s">
        <v>336</v>
      </c>
      <c r="T24" s="35">
        <v>1.0</v>
      </c>
      <c r="U24" s="35" t="s">
        <v>337</v>
      </c>
      <c r="V24" s="182">
        <v>2.0</v>
      </c>
      <c r="W24" s="35" t="s">
        <v>337</v>
      </c>
      <c r="X24" s="35">
        <v>1.0</v>
      </c>
      <c r="Y24" s="35" t="s">
        <v>336</v>
      </c>
      <c r="Z24" s="35">
        <v>1.0</v>
      </c>
      <c r="AA24" s="95"/>
      <c r="AB24" s="95"/>
      <c r="AC24" s="35" t="s">
        <v>336</v>
      </c>
      <c r="AD24" s="35">
        <v>2.0</v>
      </c>
      <c r="AE24" s="35" t="s">
        <v>336</v>
      </c>
      <c r="AF24" s="35">
        <v>1.0</v>
      </c>
      <c r="AG24" s="35" t="s">
        <v>335</v>
      </c>
      <c r="AH24" s="35">
        <v>2.0</v>
      </c>
      <c r="AI24" s="35" t="s">
        <v>336</v>
      </c>
      <c r="AJ24" s="35">
        <v>1.0</v>
      </c>
      <c r="AK24" s="35" t="s">
        <v>336</v>
      </c>
      <c r="AL24" s="35">
        <v>1.0</v>
      </c>
      <c r="AM24" s="95"/>
      <c r="AN24" s="95"/>
      <c r="AO24" s="35" t="s">
        <v>336</v>
      </c>
      <c r="AP24" s="35">
        <v>3.0</v>
      </c>
      <c r="AQ24" s="35" t="s">
        <v>336</v>
      </c>
      <c r="AR24" s="35">
        <v>1.0</v>
      </c>
      <c r="AS24" s="95"/>
      <c r="AT24" s="95"/>
    </row>
    <row r="25">
      <c r="C25" s="35" t="s">
        <v>340</v>
      </c>
      <c r="D25" s="35">
        <v>4.0</v>
      </c>
      <c r="E25" s="35" t="s">
        <v>340</v>
      </c>
      <c r="F25" s="35">
        <v>4.0</v>
      </c>
      <c r="G25" s="35" t="s">
        <v>335</v>
      </c>
      <c r="H25" s="35">
        <v>3.0</v>
      </c>
      <c r="I25" s="35" t="s">
        <v>337</v>
      </c>
      <c r="J25" s="35">
        <v>1.0</v>
      </c>
      <c r="K25" s="35" t="s">
        <v>335</v>
      </c>
      <c r="L25" s="35">
        <v>6.0</v>
      </c>
      <c r="M25" s="35" t="s">
        <v>335</v>
      </c>
      <c r="N25" s="35">
        <v>7.0</v>
      </c>
      <c r="Q25" s="35" t="s">
        <v>340</v>
      </c>
      <c r="R25" s="35">
        <v>5.0</v>
      </c>
      <c r="S25" s="35" t="s">
        <v>335</v>
      </c>
      <c r="T25" s="35">
        <v>7.0</v>
      </c>
      <c r="U25" s="35" t="s">
        <v>335</v>
      </c>
      <c r="V25" s="182">
        <v>3.0</v>
      </c>
      <c r="W25" s="35" t="s">
        <v>335</v>
      </c>
      <c r="X25" s="35">
        <v>3.0</v>
      </c>
      <c r="Y25" s="35" t="s">
        <v>337</v>
      </c>
      <c r="Z25" s="35">
        <v>2.0</v>
      </c>
      <c r="AA25" s="95"/>
      <c r="AB25" s="95"/>
      <c r="AC25" s="35" t="s">
        <v>337</v>
      </c>
      <c r="AD25" s="35">
        <v>1.0</v>
      </c>
      <c r="AE25" s="35" t="s">
        <v>335</v>
      </c>
      <c r="AF25" s="35">
        <v>1.0</v>
      </c>
      <c r="AG25" s="35" t="s">
        <v>340</v>
      </c>
      <c r="AH25" s="35">
        <v>2.0</v>
      </c>
      <c r="AI25" s="35" t="s">
        <v>335</v>
      </c>
      <c r="AJ25" s="35">
        <v>3.0</v>
      </c>
      <c r="AK25" s="35" t="s">
        <v>335</v>
      </c>
      <c r="AL25" s="35">
        <v>8.0</v>
      </c>
      <c r="AM25" s="95"/>
      <c r="AN25" s="95"/>
      <c r="AO25" s="35" t="s">
        <v>335</v>
      </c>
      <c r="AP25" s="35">
        <v>3.0</v>
      </c>
      <c r="AQ25" s="35" t="s">
        <v>335</v>
      </c>
      <c r="AR25" s="35">
        <v>3.0</v>
      </c>
      <c r="AS25" s="95"/>
      <c r="AT25" s="95"/>
    </row>
    <row r="26">
      <c r="C26" s="35" t="s">
        <v>343</v>
      </c>
      <c r="D26" s="35">
        <v>3.0</v>
      </c>
      <c r="E26" s="35" t="s">
        <v>343</v>
      </c>
      <c r="F26" s="35">
        <v>3.0</v>
      </c>
      <c r="G26" s="35" t="s">
        <v>340</v>
      </c>
      <c r="H26" s="35">
        <v>2.0</v>
      </c>
      <c r="I26" s="35" t="s">
        <v>335</v>
      </c>
      <c r="J26" s="35">
        <v>2.0</v>
      </c>
      <c r="K26" s="35" t="s">
        <v>340</v>
      </c>
      <c r="L26" s="35">
        <v>3.0</v>
      </c>
      <c r="M26" s="35" t="s">
        <v>340</v>
      </c>
      <c r="N26" s="35">
        <v>1.0</v>
      </c>
      <c r="Q26" s="35" t="s">
        <v>343</v>
      </c>
      <c r="R26" s="35">
        <v>4.0</v>
      </c>
      <c r="S26" s="35" t="s">
        <v>340</v>
      </c>
      <c r="T26" s="35">
        <v>2.0</v>
      </c>
      <c r="U26" s="35" t="s">
        <v>340</v>
      </c>
      <c r="V26" s="182">
        <v>1.0</v>
      </c>
      <c r="W26" s="35" t="s">
        <v>340</v>
      </c>
      <c r="X26" s="35">
        <v>6.0</v>
      </c>
      <c r="Y26" s="35" t="s">
        <v>335</v>
      </c>
      <c r="Z26" s="35">
        <v>4.0</v>
      </c>
      <c r="AA26" s="95"/>
      <c r="AB26" s="95"/>
      <c r="AC26" s="35" t="s">
        <v>335</v>
      </c>
      <c r="AD26" s="35">
        <v>4.0</v>
      </c>
      <c r="AE26" s="35" t="s">
        <v>340</v>
      </c>
      <c r="AF26" s="35">
        <v>2.0</v>
      </c>
      <c r="AG26" s="35" t="s">
        <v>343</v>
      </c>
      <c r="AH26" s="35">
        <v>3.0</v>
      </c>
      <c r="AI26" s="35" t="s">
        <v>340</v>
      </c>
      <c r="AJ26" s="35">
        <v>3.0</v>
      </c>
      <c r="AK26" s="35" t="s">
        <v>340</v>
      </c>
      <c r="AL26" s="35">
        <v>2.0</v>
      </c>
      <c r="AM26" s="95"/>
      <c r="AN26" s="95"/>
      <c r="AO26" s="35" t="s">
        <v>340</v>
      </c>
      <c r="AP26" s="35">
        <v>4.0</v>
      </c>
      <c r="AQ26" s="35" t="s">
        <v>340</v>
      </c>
      <c r="AR26" s="35">
        <v>3.0</v>
      </c>
      <c r="AS26" s="95"/>
      <c r="AT26" s="95"/>
    </row>
    <row r="27">
      <c r="C27" s="35" t="s">
        <v>346</v>
      </c>
      <c r="D27" s="35">
        <v>2.0</v>
      </c>
      <c r="E27" s="35" t="s">
        <v>346</v>
      </c>
      <c r="F27" s="35">
        <v>2.0</v>
      </c>
      <c r="G27" s="35" t="s">
        <v>343</v>
      </c>
      <c r="H27" s="35">
        <v>2.0</v>
      </c>
      <c r="I27" s="35" t="s">
        <v>340</v>
      </c>
      <c r="J27" s="35">
        <v>3.0</v>
      </c>
      <c r="K27" s="35" t="s">
        <v>343</v>
      </c>
      <c r="L27" s="35">
        <v>4.0</v>
      </c>
      <c r="M27" s="35" t="s">
        <v>343</v>
      </c>
      <c r="N27" s="35">
        <v>1.0</v>
      </c>
      <c r="Q27" s="35" t="s">
        <v>346</v>
      </c>
      <c r="R27" s="35">
        <v>2.0</v>
      </c>
      <c r="S27" s="35" t="s">
        <v>343</v>
      </c>
      <c r="T27" s="35">
        <v>1.0</v>
      </c>
      <c r="U27" s="35" t="s">
        <v>343</v>
      </c>
      <c r="V27" s="182">
        <v>1.0</v>
      </c>
      <c r="W27" s="35" t="s">
        <v>343</v>
      </c>
      <c r="X27" s="35">
        <v>6.0</v>
      </c>
      <c r="Y27" s="35" t="s">
        <v>340</v>
      </c>
      <c r="Z27" s="35">
        <v>2.0</v>
      </c>
      <c r="AA27" s="95"/>
      <c r="AB27" s="95"/>
      <c r="AC27" s="35" t="s">
        <v>340</v>
      </c>
      <c r="AD27" s="35">
        <v>4.0</v>
      </c>
      <c r="AE27" s="35" t="s">
        <v>343</v>
      </c>
      <c r="AF27" s="35">
        <v>3.0</v>
      </c>
      <c r="AG27" s="35" t="s">
        <v>346</v>
      </c>
      <c r="AH27" s="35">
        <v>4.0</v>
      </c>
      <c r="AI27" s="35" t="s">
        <v>343</v>
      </c>
      <c r="AJ27" s="35">
        <v>1.0</v>
      </c>
      <c r="AK27" s="35" t="s">
        <v>343</v>
      </c>
      <c r="AL27" s="35">
        <v>1.0</v>
      </c>
      <c r="AM27" s="95"/>
      <c r="AN27" s="95"/>
      <c r="AO27" s="35" t="s">
        <v>343</v>
      </c>
      <c r="AP27" s="35">
        <v>3.0</v>
      </c>
      <c r="AQ27" s="35" t="s">
        <v>343</v>
      </c>
      <c r="AR27" s="35">
        <v>2.0</v>
      </c>
      <c r="AS27" s="95"/>
      <c r="AT27" s="95"/>
    </row>
    <row r="28">
      <c r="C28" s="35" t="s">
        <v>352</v>
      </c>
      <c r="D28" s="35">
        <v>1.0</v>
      </c>
      <c r="E28" s="35" t="s">
        <v>352</v>
      </c>
      <c r="F28" s="35">
        <v>1.0</v>
      </c>
      <c r="G28" s="35" t="s">
        <v>346</v>
      </c>
      <c r="H28" s="35">
        <v>3.0</v>
      </c>
      <c r="I28" s="35" t="s">
        <v>348</v>
      </c>
      <c r="J28" s="35">
        <v>2.0</v>
      </c>
      <c r="K28" s="35" t="s">
        <v>348</v>
      </c>
      <c r="L28" s="35">
        <v>2.0</v>
      </c>
      <c r="M28" s="35" t="s">
        <v>346</v>
      </c>
      <c r="N28" s="35">
        <v>3.0</v>
      </c>
      <c r="Q28" s="35" t="s">
        <v>352</v>
      </c>
      <c r="R28" s="35">
        <v>1.0</v>
      </c>
      <c r="S28" s="35" t="s">
        <v>348</v>
      </c>
      <c r="T28" s="35">
        <v>1.0</v>
      </c>
      <c r="U28" s="35" t="s">
        <v>348</v>
      </c>
      <c r="V28" s="182">
        <v>1.0</v>
      </c>
      <c r="W28" s="35" t="s">
        <v>348</v>
      </c>
      <c r="X28" s="35">
        <v>1.0</v>
      </c>
      <c r="Y28" s="35" t="s">
        <v>343</v>
      </c>
      <c r="Z28" s="35">
        <v>2.0</v>
      </c>
      <c r="AA28" s="95"/>
      <c r="AB28" s="95"/>
      <c r="AC28" s="35" t="s">
        <v>343</v>
      </c>
      <c r="AD28" s="35">
        <v>1.0</v>
      </c>
      <c r="AE28" s="35" t="s">
        <v>348</v>
      </c>
      <c r="AF28" s="35">
        <v>1.0</v>
      </c>
      <c r="AG28" s="35" t="s">
        <v>352</v>
      </c>
      <c r="AH28" s="35">
        <v>2.0</v>
      </c>
      <c r="AI28" s="35" t="s">
        <v>346</v>
      </c>
      <c r="AJ28" s="35">
        <v>5.0</v>
      </c>
      <c r="AK28" s="35" t="s">
        <v>348</v>
      </c>
      <c r="AL28" s="35">
        <v>1.0</v>
      </c>
      <c r="AM28" s="95"/>
      <c r="AN28" s="95"/>
      <c r="AO28" s="35" t="s">
        <v>348</v>
      </c>
      <c r="AP28" s="35">
        <v>1.0</v>
      </c>
      <c r="AQ28" s="35" t="s">
        <v>348</v>
      </c>
      <c r="AR28" s="35">
        <v>2.0</v>
      </c>
      <c r="AS28" s="95"/>
      <c r="AT28" s="95"/>
    </row>
    <row r="29">
      <c r="C29" s="35" t="s">
        <v>356</v>
      </c>
      <c r="D29" s="35">
        <v>1.0</v>
      </c>
      <c r="E29" s="35" t="s">
        <v>356</v>
      </c>
      <c r="F29" s="35">
        <v>1.0</v>
      </c>
      <c r="G29" s="35" t="s">
        <v>365</v>
      </c>
      <c r="H29" s="35">
        <v>3.0</v>
      </c>
      <c r="I29" s="35" t="s">
        <v>346</v>
      </c>
      <c r="J29" s="35">
        <v>2.0</v>
      </c>
      <c r="K29" s="35" t="s">
        <v>346</v>
      </c>
      <c r="L29" s="35">
        <v>4.0</v>
      </c>
      <c r="M29" s="35" t="s">
        <v>352</v>
      </c>
      <c r="N29" s="35">
        <v>2.0</v>
      </c>
      <c r="Q29" s="35" t="s">
        <v>356</v>
      </c>
      <c r="R29" s="35">
        <v>2.0</v>
      </c>
      <c r="S29" s="35" t="s">
        <v>346</v>
      </c>
      <c r="T29" s="35">
        <v>7.0</v>
      </c>
      <c r="U29" s="35" t="s">
        <v>346</v>
      </c>
      <c r="V29" s="182">
        <v>1.0</v>
      </c>
      <c r="W29" s="35" t="s">
        <v>346</v>
      </c>
      <c r="X29" s="35">
        <v>4.0</v>
      </c>
      <c r="Y29" s="35" t="s">
        <v>346</v>
      </c>
      <c r="Z29" s="35">
        <v>2.0</v>
      </c>
      <c r="AA29" s="95"/>
      <c r="AB29" s="95"/>
      <c r="AC29" s="35" t="s">
        <v>346</v>
      </c>
      <c r="AD29" s="35">
        <v>2.0</v>
      </c>
      <c r="AE29" s="35" t="s">
        <v>346</v>
      </c>
      <c r="AF29" s="35">
        <v>3.0</v>
      </c>
      <c r="AG29" s="35" t="s">
        <v>356</v>
      </c>
      <c r="AH29" s="35">
        <v>2.0</v>
      </c>
      <c r="AI29" s="35" t="s">
        <v>352</v>
      </c>
      <c r="AJ29" s="35">
        <v>3.0</v>
      </c>
      <c r="AK29" s="35" t="s">
        <v>346</v>
      </c>
      <c r="AL29" s="35">
        <v>5.0</v>
      </c>
      <c r="AM29" s="95"/>
      <c r="AN29" s="95"/>
      <c r="AO29" s="35" t="s">
        <v>346</v>
      </c>
      <c r="AP29" s="35">
        <v>4.0</v>
      </c>
      <c r="AQ29" s="35" t="s">
        <v>346</v>
      </c>
      <c r="AR29" s="35">
        <v>4.0</v>
      </c>
      <c r="AS29" s="95"/>
      <c r="AT29" s="95"/>
    </row>
    <row r="30">
      <c r="C30" s="35" t="s">
        <v>365</v>
      </c>
      <c r="D30" s="35">
        <v>3.0</v>
      </c>
      <c r="E30" s="35" t="s">
        <v>365</v>
      </c>
      <c r="F30" s="35">
        <v>3.0</v>
      </c>
      <c r="G30" s="35" t="s">
        <v>359</v>
      </c>
      <c r="H30" s="35">
        <v>1.0</v>
      </c>
      <c r="I30" s="35" t="s">
        <v>352</v>
      </c>
      <c r="J30" s="35">
        <v>1.0</v>
      </c>
      <c r="K30" s="35" t="s">
        <v>352</v>
      </c>
      <c r="L30" s="35">
        <v>3.0</v>
      </c>
      <c r="M30" s="109" t="s">
        <v>365</v>
      </c>
      <c r="N30" s="35">
        <v>1.0</v>
      </c>
      <c r="Q30" s="35" t="s">
        <v>359</v>
      </c>
      <c r="R30" s="35">
        <v>1.0</v>
      </c>
      <c r="S30" s="35" t="s">
        <v>356</v>
      </c>
      <c r="T30" s="35">
        <v>1.0</v>
      </c>
      <c r="U30" s="35" t="s">
        <v>365</v>
      </c>
      <c r="V30" s="182">
        <v>1.0</v>
      </c>
      <c r="W30" s="35" t="s">
        <v>352</v>
      </c>
      <c r="X30" s="35">
        <v>2.0</v>
      </c>
      <c r="Y30" s="35" t="s">
        <v>352</v>
      </c>
      <c r="Z30" s="35">
        <v>1.0</v>
      </c>
      <c r="AA30" s="95"/>
      <c r="AB30" s="95"/>
      <c r="AC30" s="35" t="s">
        <v>365</v>
      </c>
      <c r="AD30" s="35">
        <v>2.0</v>
      </c>
      <c r="AE30" s="35" t="s">
        <v>352</v>
      </c>
      <c r="AF30" s="35">
        <v>2.0</v>
      </c>
      <c r="AG30" s="35" t="s">
        <v>364</v>
      </c>
      <c r="AH30" s="35">
        <v>2.0</v>
      </c>
      <c r="AI30" s="35" t="s">
        <v>361</v>
      </c>
      <c r="AJ30" s="35">
        <v>1.0</v>
      </c>
      <c r="AK30" s="35" t="s">
        <v>352</v>
      </c>
      <c r="AL30" s="35">
        <v>3.0</v>
      </c>
      <c r="AM30" s="95"/>
      <c r="AN30" s="95"/>
      <c r="AO30" s="35" t="s">
        <v>352</v>
      </c>
      <c r="AP30" s="35">
        <v>2.0</v>
      </c>
      <c r="AQ30" s="35" t="s">
        <v>352</v>
      </c>
      <c r="AR30" s="35">
        <v>2.0</v>
      </c>
      <c r="AS30" s="95"/>
      <c r="AT30" s="95"/>
    </row>
    <row r="31">
      <c r="C31" s="35" t="s">
        <v>367</v>
      </c>
      <c r="D31" s="35">
        <v>7.0</v>
      </c>
      <c r="E31" s="35" t="s">
        <v>367</v>
      </c>
      <c r="F31" s="35">
        <v>7.0</v>
      </c>
      <c r="G31" s="35" t="s">
        <v>364</v>
      </c>
      <c r="H31" s="35">
        <v>5.0</v>
      </c>
      <c r="I31" s="35" t="s">
        <v>356</v>
      </c>
      <c r="J31" s="35">
        <v>1.0</v>
      </c>
      <c r="K31" s="35" t="s">
        <v>361</v>
      </c>
      <c r="L31" s="35">
        <v>1.0</v>
      </c>
      <c r="M31" s="109" t="s">
        <v>367</v>
      </c>
      <c r="N31" s="35">
        <v>3.0</v>
      </c>
      <c r="Q31" s="35" t="s">
        <v>364</v>
      </c>
      <c r="R31" s="35">
        <v>3.0</v>
      </c>
      <c r="S31" s="35" t="s">
        <v>365</v>
      </c>
      <c r="T31" s="35">
        <v>1.0</v>
      </c>
      <c r="U31" s="35" t="s">
        <v>359</v>
      </c>
      <c r="V31" s="182">
        <v>1.0</v>
      </c>
      <c r="W31" s="35" t="s">
        <v>361</v>
      </c>
      <c r="X31" s="35">
        <v>1.0</v>
      </c>
      <c r="Y31" s="109" t="s">
        <v>361</v>
      </c>
      <c r="Z31" s="35">
        <v>1.0</v>
      </c>
      <c r="AA31" s="95"/>
      <c r="AB31" s="95"/>
      <c r="AC31" s="35" t="s">
        <v>359</v>
      </c>
      <c r="AD31" s="35">
        <v>2.0</v>
      </c>
      <c r="AE31" s="35" t="s">
        <v>356</v>
      </c>
      <c r="AF31" s="35">
        <v>1.0</v>
      </c>
      <c r="AG31" s="35" t="s">
        <v>367</v>
      </c>
      <c r="AH31" s="35">
        <v>3.0</v>
      </c>
      <c r="AI31" s="35" t="s">
        <v>359</v>
      </c>
      <c r="AJ31" s="35">
        <v>1.0</v>
      </c>
      <c r="AK31" s="35" t="s">
        <v>356</v>
      </c>
      <c r="AL31" s="35">
        <v>1.0</v>
      </c>
      <c r="AM31" s="95"/>
      <c r="AN31" s="95"/>
      <c r="AO31" s="35" t="s">
        <v>365</v>
      </c>
      <c r="AP31" s="35">
        <v>2.0</v>
      </c>
      <c r="AQ31" s="35" t="s">
        <v>361</v>
      </c>
      <c r="AR31" s="35">
        <v>1.0</v>
      </c>
      <c r="AS31" s="95"/>
      <c r="AT31" s="95"/>
    </row>
    <row r="32">
      <c r="C32" s="35" t="s">
        <v>371</v>
      </c>
      <c r="D32" s="35">
        <v>5.0</v>
      </c>
      <c r="E32" s="35" t="s">
        <v>371</v>
      </c>
      <c r="F32" s="35">
        <v>5.0</v>
      </c>
      <c r="G32" s="35" t="s">
        <v>367</v>
      </c>
      <c r="H32" s="35">
        <v>3.0</v>
      </c>
      <c r="I32" s="35" t="s">
        <v>365</v>
      </c>
      <c r="J32" s="35">
        <v>2.0</v>
      </c>
      <c r="K32" s="35" t="s">
        <v>364</v>
      </c>
      <c r="L32" s="35">
        <v>1.0</v>
      </c>
      <c r="M32" s="109" t="s">
        <v>371</v>
      </c>
      <c r="N32" s="35">
        <v>2.0</v>
      </c>
      <c r="Q32" s="35" t="s">
        <v>367</v>
      </c>
      <c r="R32" s="35">
        <v>5.0</v>
      </c>
      <c r="S32" s="35" t="s">
        <v>359</v>
      </c>
      <c r="T32" s="35">
        <v>1.0</v>
      </c>
      <c r="U32" s="35" t="s">
        <v>367</v>
      </c>
      <c r="V32" s="182">
        <v>2.0</v>
      </c>
      <c r="W32" s="35" t="s">
        <v>359</v>
      </c>
      <c r="X32" s="35">
        <v>3.0</v>
      </c>
      <c r="Y32" s="109" t="s">
        <v>365</v>
      </c>
      <c r="Z32" s="35">
        <v>1.0</v>
      </c>
      <c r="AA32" s="95"/>
      <c r="AB32" s="95"/>
      <c r="AC32" s="35" t="s">
        <v>370</v>
      </c>
      <c r="AD32" s="35">
        <v>1.0</v>
      </c>
      <c r="AE32" s="35" t="s">
        <v>359</v>
      </c>
      <c r="AF32" s="35">
        <v>1.0</v>
      </c>
      <c r="AG32" s="35" t="s">
        <v>371</v>
      </c>
      <c r="AH32" s="35">
        <v>4.0</v>
      </c>
      <c r="AI32" s="35" t="s">
        <v>364</v>
      </c>
      <c r="AJ32" s="35">
        <v>3.0</v>
      </c>
      <c r="AK32" s="109" t="s">
        <v>365</v>
      </c>
      <c r="AL32" s="35">
        <v>2.0</v>
      </c>
      <c r="AM32" s="95"/>
      <c r="AN32" s="95"/>
      <c r="AO32" s="35" t="s">
        <v>364</v>
      </c>
      <c r="AP32" s="35">
        <v>1.0</v>
      </c>
      <c r="AQ32" s="35" t="s">
        <v>365</v>
      </c>
      <c r="AR32" s="35">
        <v>4.0</v>
      </c>
      <c r="AS32" s="95"/>
      <c r="AT32" s="95"/>
    </row>
    <row r="33">
      <c r="C33" s="35" t="s">
        <v>376</v>
      </c>
      <c r="D33" s="35">
        <v>1.0</v>
      </c>
      <c r="E33" s="35" t="s">
        <v>376</v>
      </c>
      <c r="F33" s="35">
        <v>1.0</v>
      </c>
      <c r="G33" s="35" t="s">
        <v>373</v>
      </c>
      <c r="H33" s="35">
        <v>1.0</v>
      </c>
      <c r="I33" s="35" t="s">
        <v>370</v>
      </c>
      <c r="J33" s="35">
        <v>1.0</v>
      </c>
      <c r="K33" s="35" t="s">
        <v>373</v>
      </c>
      <c r="L33" s="35">
        <v>1.0</v>
      </c>
      <c r="M33" s="109" t="s">
        <v>376</v>
      </c>
      <c r="N33" s="35">
        <v>1.0</v>
      </c>
      <c r="Q33" s="35" t="s">
        <v>371</v>
      </c>
      <c r="R33" s="35">
        <v>4.0</v>
      </c>
      <c r="S33" s="35" t="s">
        <v>364</v>
      </c>
      <c r="T33" s="35">
        <v>4.0</v>
      </c>
      <c r="U33" s="35" t="s">
        <v>373</v>
      </c>
      <c r="V33" s="182">
        <v>1.0</v>
      </c>
      <c r="W33" s="35" t="s">
        <v>364</v>
      </c>
      <c r="X33" s="35">
        <v>2.0</v>
      </c>
      <c r="Y33" s="109" t="s">
        <v>359</v>
      </c>
      <c r="Z33" s="35">
        <v>2.0</v>
      </c>
      <c r="AA33" s="95"/>
      <c r="AB33" s="95"/>
      <c r="AC33" s="35" t="s">
        <v>367</v>
      </c>
      <c r="AD33" s="35">
        <v>3.0</v>
      </c>
      <c r="AE33" s="35" t="s">
        <v>364</v>
      </c>
      <c r="AF33" s="35">
        <v>2.0</v>
      </c>
      <c r="AG33" s="35" t="s">
        <v>382</v>
      </c>
      <c r="AH33" s="35">
        <v>6.0</v>
      </c>
      <c r="AI33" s="35" t="s">
        <v>371</v>
      </c>
      <c r="AJ33" s="35">
        <v>4.0</v>
      </c>
      <c r="AK33" s="109" t="s">
        <v>367</v>
      </c>
      <c r="AL33" s="35">
        <v>2.0</v>
      </c>
      <c r="AM33" s="95"/>
      <c r="AN33" s="95"/>
      <c r="AO33" s="35" t="s">
        <v>367</v>
      </c>
      <c r="AP33" s="35">
        <v>6.0</v>
      </c>
      <c r="AQ33" s="35" t="s">
        <v>359</v>
      </c>
      <c r="AR33" s="35">
        <v>1.0</v>
      </c>
      <c r="AS33" s="95"/>
      <c r="AT33" s="95"/>
    </row>
    <row r="34">
      <c r="C34" s="35" t="s">
        <v>382</v>
      </c>
      <c r="D34" s="35">
        <v>6.0</v>
      </c>
      <c r="E34" s="35" t="s">
        <v>382</v>
      </c>
      <c r="F34" s="35">
        <v>6.0</v>
      </c>
      <c r="G34" s="35" t="s">
        <v>371</v>
      </c>
      <c r="H34" s="35">
        <v>4.0</v>
      </c>
      <c r="I34" s="35" t="s">
        <v>367</v>
      </c>
      <c r="J34" s="35">
        <v>5.0</v>
      </c>
      <c r="K34" s="109" t="s">
        <v>371</v>
      </c>
      <c r="L34" s="35">
        <v>3.0</v>
      </c>
      <c r="M34" s="109" t="s">
        <v>382</v>
      </c>
      <c r="N34" s="35">
        <v>2.0</v>
      </c>
      <c r="Q34" s="35" t="s">
        <v>376</v>
      </c>
      <c r="R34" s="35">
        <v>1.0</v>
      </c>
      <c r="S34" s="35" t="s">
        <v>367</v>
      </c>
      <c r="T34" s="35">
        <v>7.0</v>
      </c>
      <c r="U34" s="35" t="s">
        <v>371</v>
      </c>
      <c r="V34" s="182">
        <v>3.0</v>
      </c>
      <c r="W34" s="35" t="s">
        <v>370</v>
      </c>
      <c r="X34" s="35">
        <v>1.0</v>
      </c>
      <c r="Y34" s="109" t="s">
        <v>364</v>
      </c>
      <c r="Z34" s="35">
        <v>1.0</v>
      </c>
      <c r="AA34" s="95"/>
      <c r="AB34" s="95"/>
      <c r="AC34" s="35" t="s">
        <v>371</v>
      </c>
      <c r="AD34" s="35">
        <v>4.0</v>
      </c>
      <c r="AE34" s="35" t="s">
        <v>367</v>
      </c>
      <c r="AF34" s="35">
        <v>6.0</v>
      </c>
      <c r="AG34" s="35" t="s">
        <v>401</v>
      </c>
      <c r="AH34" s="35">
        <v>3.0</v>
      </c>
      <c r="AI34" s="109" t="s">
        <v>376</v>
      </c>
      <c r="AJ34" s="35">
        <v>1.0</v>
      </c>
      <c r="AK34" s="109" t="s">
        <v>371</v>
      </c>
      <c r="AL34" s="35">
        <v>4.0</v>
      </c>
      <c r="AM34" s="95"/>
      <c r="AN34" s="95"/>
      <c r="AO34" s="35" t="s">
        <v>371</v>
      </c>
      <c r="AP34" s="35">
        <v>4.0</v>
      </c>
      <c r="AQ34" s="35" t="s">
        <v>364</v>
      </c>
      <c r="AR34" s="35">
        <v>3.0</v>
      </c>
      <c r="AS34" s="95"/>
      <c r="AT34" s="95"/>
    </row>
    <row r="35">
      <c r="C35" s="35" t="s">
        <v>401</v>
      </c>
      <c r="D35" s="35">
        <v>4.0</v>
      </c>
      <c r="E35" s="35" t="s">
        <v>401</v>
      </c>
      <c r="F35" s="35">
        <v>4.0</v>
      </c>
      <c r="G35" s="35" t="s">
        <v>388</v>
      </c>
      <c r="H35" s="35">
        <v>1.0</v>
      </c>
      <c r="I35" s="35" t="s">
        <v>373</v>
      </c>
      <c r="J35" s="35">
        <v>1.0</v>
      </c>
      <c r="K35" s="109" t="s">
        <v>376</v>
      </c>
      <c r="L35" s="35">
        <v>1.0</v>
      </c>
      <c r="M35" s="109" t="s">
        <v>448</v>
      </c>
      <c r="N35" s="35">
        <v>1.0</v>
      </c>
      <c r="Q35" s="35" t="s">
        <v>382</v>
      </c>
      <c r="R35" s="35">
        <v>4.0</v>
      </c>
      <c r="S35" s="35" t="s">
        <v>371</v>
      </c>
      <c r="T35" s="35">
        <v>5.0</v>
      </c>
      <c r="U35" s="35" t="s">
        <v>376</v>
      </c>
      <c r="V35" s="182">
        <v>1.0</v>
      </c>
      <c r="W35" s="35" t="s">
        <v>371</v>
      </c>
      <c r="X35" s="35">
        <v>2.0</v>
      </c>
      <c r="Y35" s="109" t="s">
        <v>370</v>
      </c>
      <c r="Z35" s="35">
        <v>1.0</v>
      </c>
      <c r="AA35" s="95"/>
      <c r="AB35" s="95"/>
      <c r="AC35" s="35" t="s">
        <v>376</v>
      </c>
      <c r="AD35" s="35">
        <v>2.0</v>
      </c>
      <c r="AE35" s="35" t="s">
        <v>371</v>
      </c>
      <c r="AF35" s="35">
        <v>3.0</v>
      </c>
      <c r="AG35" s="35" t="s">
        <v>669</v>
      </c>
      <c r="AH35" s="35">
        <v>1.0</v>
      </c>
      <c r="AI35" s="109" t="s">
        <v>382</v>
      </c>
      <c r="AJ35" s="35">
        <v>4.0</v>
      </c>
      <c r="AK35" s="109" t="s">
        <v>376</v>
      </c>
      <c r="AL35" s="35">
        <v>7.0</v>
      </c>
      <c r="AM35" s="95"/>
      <c r="AN35" s="95"/>
      <c r="AO35" s="35" t="s">
        <v>376</v>
      </c>
      <c r="AP35" s="35">
        <v>5.0</v>
      </c>
      <c r="AQ35" s="35" t="s">
        <v>367</v>
      </c>
      <c r="AR35" s="35">
        <v>3.0</v>
      </c>
      <c r="AS35" s="95"/>
      <c r="AT35" s="95"/>
    </row>
    <row r="36">
      <c r="C36" s="35" t="s">
        <v>394</v>
      </c>
      <c r="D36" s="35">
        <v>1.0</v>
      </c>
      <c r="E36" s="35" t="s">
        <v>394</v>
      </c>
      <c r="F36" s="35">
        <v>1.0</v>
      </c>
      <c r="G36" s="35" t="s">
        <v>376</v>
      </c>
      <c r="H36" s="35">
        <v>7.0</v>
      </c>
      <c r="I36" s="35" t="s">
        <v>371</v>
      </c>
      <c r="J36" s="35">
        <v>2.0</v>
      </c>
      <c r="K36" s="109" t="s">
        <v>382</v>
      </c>
      <c r="L36" s="35">
        <v>4.0</v>
      </c>
      <c r="M36" s="109" t="s">
        <v>438</v>
      </c>
      <c r="N36" s="35">
        <v>1.0</v>
      </c>
      <c r="Q36" s="35" t="s">
        <v>401</v>
      </c>
      <c r="R36" s="35">
        <v>3.0</v>
      </c>
      <c r="S36" s="35" t="s">
        <v>388</v>
      </c>
      <c r="T36" s="35">
        <v>1.0</v>
      </c>
      <c r="U36" s="35" t="s">
        <v>382</v>
      </c>
      <c r="V36" s="182">
        <v>5.0</v>
      </c>
      <c r="W36" s="109" t="s">
        <v>376</v>
      </c>
      <c r="X36" s="35">
        <v>1.0</v>
      </c>
      <c r="Y36" s="109" t="s">
        <v>367</v>
      </c>
      <c r="Z36" s="35">
        <v>1.0</v>
      </c>
      <c r="AA36" s="95"/>
      <c r="AB36" s="95"/>
      <c r="AC36" s="35" t="s">
        <v>382</v>
      </c>
      <c r="AD36" s="35">
        <v>5.0</v>
      </c>
      <c r="AE36" s="35" t="s">
        <v>388</v>
      </c>
      <c r="AF36" s="35">
        <v>1.0</v>
      </c>
      <c r="AG36" s="35" t="s">
        <v>445</v>
      </c>
      <c r="AH36" s="35">
        <v>1.0</v>
      </c>
      <c r="AI36" s="109" t="s">
        <v>401</v>
      </c>
      <c r="AJ36" s="35">
        <v>2.0</v>
      </c>
      <c r="AK36" s="109" t="s">
        <v>669</v>
      </c>
      <c r="AL36" s="35">
        <v>1.0</v>
      </c>
      <c r="AM36" s="95"/>
      <c r="AN36" s="95"/>
      <c r="AO36" s="35" t="s">
        <v>382</v>
      </c>
      <c r="AP36" s="35">
        <v>4.0</v>
      </c>
      <c r="AQ36" s="35" t="s">
        <v>371</v>
      </c>
      <c r="AR36" s="35">
        <v>3.0</v>
      </c>
      <c r="AS36" s="95"/>
      <c r="AT36" s="95"/>
    </row>
    <row r="37">
      <c r="C37" s="35" t="s">
        <v>400</v>
      </c>
      <c r="D37" s="35">
        <v>1.0</v>
      </c>
      <c r="E37" s="35" t="s">
        <v>400</v>
      </c>
      <c r="F37" s="35">
        <v>1.0</v>
      </c>
      <c r="G37" s="35" t="s">
        <v>382</v>
      </c>
      <c r="H37" s="35">
        <v>7.0</v>
      </c>
      <c r="I37" s="35" t="s">
        <v>376</v>
      </c>
      <c r="J37" s="35">
        <v>2.0</v>
      </c>
      <c r="K37" s="109" t="s">
        <v>401</v>
      </c>
      <c r="L37" s="35">
        <v>1.0</v>
      </c>
      <c r="M37" s="109" t="s">
        <v>419</v>
      </c>
      <c r="N37" s="35">
        <v>1.0</v>
      </c>
      <c r="Q37" s="35" t="s">
        <v>412</v>
      </c>
      <c r="R37" s="35">
        <v>1.0</v>
      </c>
      <c r="S37" s="35" t="s">
        <v>376</v>
      </c>
      <c r="T37" s="35">
        <v>3.0</v>
      </c>
      <c r="U37" s="35" t="s">
        <v>401</v>
      </c>
      <c r="V37" s="182">
        <v>1.0</v>
      </c>
      <c r="W37" s="109" t="s">
        <v>382</v>
      </c>
      <c r="X37" s="35">
        <v>6.0</v>
      </c>
      <c r="Y37" s="109" t="s">
        <v>371</v>
      </c>
      <c r="Z37" s="35">
        <v>3.0</v>
      </c>
      <c r="AA37" s="95"/>
      <c r="AB37" s="95"/>
      <c r="AC37" s="35" t="s">
        <v>401</v>
      </c>
      <c r="AD37" s="35">
        <v>3.0</v>
      </c>
      <c r="AE37" s="35" t="s">
        <v>376</v>
      </c>
      <c r="AF37" s="35">
        <v>3.0</v>
      </c>
      <c r="AG37" s="35" t="s">
        <v>409</v>
      </c>
      <c r="AH37" s="35">
        <v>2.0</v>
      </c>
      <c r="AI37" s="109" t="s">
        <v>394</v>
      </c>
      <c r="AJ37" s="35">
        <v>1.0</v>
      </c>
      <c r="AK37" s="109" t="s">
        <v>413</v>
      </c>
      <c r="AL37" s="35">
        <v>1.0</v>
      </c>
      <c r="AM37" s="95"/>
      <c r="AN37" s="95"/>
      <c r="AO37" s="35" t="s">
        <v>401</v>
      </c>
      <c r="AP37" s="35">
        <v>3.0</v>
      </c>
      <c r="AQ37" s="35" t="s">
        <v>376</v>
      </c>
      <c r="AR37" s="35">
        <v>4.0</v>
      </c>
      <c r="AS37" s="95"/>
      <c r="AT37" s="95"/>
    </row>
    <row r="38">
      <c r="C38" s="35" t="s">
        <v>396</v>
      </c>
      <c r="D38" s="35">
        <v>1.0</v>
      </c>
      <c r="E38" s="35" t="s">
        <v>396</v>
      </c>
      <c r="F38" s="35">
        <v>1.0</v>
      </c>
      <c r="G38" s="35" t="s">
        <v>401</v>
      </c>
      <c r="H38" s="35">
        <v>2.0</v>
      </c>
      <c r="I38" s="35" t="s">
        <v>382</v>
      </c>
      <c r="J38" s="35">
        <v>3.0</v>
      </c>
      <c r="K38" s="109" t="s">
        <v>669</v>
      </c>
      <c r="L38" s="35">
        <v>1.0</v>
      </c>
      <c r="M38" s="109" t="s">
        <v>408</v>
      </c>
      <c r="N38" s="35">
        <v>1.0</v>
      </c>
      <c r="Q38" s="35" t="s">
        <v>413</v>
      </c>
      <c r="R38" s="35">
        <v>1.0</v>
      </c>
      <c r="S38" s="35" t="s">
        <v>382</v>
      </c>
      <c r="T38" s="35">
        <v>4.0</v>
      </c>
      <c r="U38" s="35" t="s">
        <v>396</v>
      </c>
      <c r="V38" s="182">
        <v>4.0</v>
      </c>
      <c r="W38" s="109" t="s">
        <v>401</v>
      </c>
      <c r="X38" s="35">
        <v>2.0</v>
      </c>
      <c r="Y38" s="109" t="s">
        <v>376</v>
      </c>
      <c r="Z38" s="35">
        <v>1.0</v>
      </c>
      <c r="AA38" s="95"/>
      <c r="AB38" s="95"/>
      <c r="AC38" s="35" t="s">
        <v>675</v>
      </c>
      <c r="AD38" s="35">
        <v>1.0</v>
      </c>
      <c r="AE38" s="35" t="s">
        <v>382</v>
      </c>
      <c r="AF38" s="35">
        <v>7.0</v>
      </c>
      <c r="AG38" s="35" t="s">
        <v>672</v>
      </c>
      <c r="AH38" s="35">
        <v>1.0</v>
      </c>
      <c r="AI38" s="109" t="s">
        <v>400</v>
      </c>
      <c r="AJ38" s="35">
        <v>2.0</v>
      </c>
      <c r="AK38" s="109" t="s">
        <v>400</v>
      </c>
      <c r="AL38" s="35">
        <v>1.0</v>
      </c>
      <c r="AM38" s="95"/>
      <c r="AN38" s="95"/>
      <c r="AO38" s="35" t="s">
        <v>668</v>
      </c>
      <c r="AP38" s="35">
        <v>1.0</v>
      </c>
      <c r="AQ38" s="35" t="s">
        <v>382</v>
      </c>
      <c r="AR38" s="35">
        <v>5.0</v>
      </c>
      <c r="AS38" s="95"/>
      <c r="AT38" s="95"/>
    </row>
    <row r="39">
      <c r="C39" s="35" t="s">
        <v>408</v>
      </c>
      <c r="D39" s="35">
        <v>1.0</v>
      </c>
      <c r="E39" s="35" t="s">
        <v>408</v>
      </c>
      <c r="F39" s="35">
        <v>1.0</v>
      </c>
      <c r="G39" s="35" t="s">
        <v>391</v>
      </c>
      <c r="H39" s="35">
        <v>1.0</v>
      </c>
      <c r="I39" s="35" t="s">
        <v>401</v>
      </c>
      <c r="J39" s="35">
        <v>1.0</v>
      </c>
      <c r="K39" s="109" t="s">
        <v>413</v>
      </c>
      <c r="L39" s="35">
        <v>1.0</v>
      </c>
      <c r="M39" s="35" t="s">
        <v>417</v>
      </c>
      <c r="N39" s="35">
        <v>1.0</v>
      </c>
      <c r="Q39" s="35" t="s">
        <v>396</v>
      </c>
      <c r="R39" s="35">
        <v>1.0</v>
      </c>
      <c r="S39" s="35" t="s">
        <v>412</v>
      </c>
      <c r="T39" s="35">
        <v>1.0</v>
      </c>
      <c r="U39" s="35" t="s">
        <v>408</v>
      </c>
      <c r="V39" s="182">
        <v>1.0</v>
      </c>
      <c r="W39" s="109" t="s">
        <v>668</v>
      </c>
      <c r="X39" s="35">
        <v>1.0</v>
      </c>
      <c r="Y39" s="109" t="s">
        <v>382</v>
      </c>
      <c r="Z39" s="35">
        <v>2.0</v>
      </c>
      <c r="AA39" s="95"/>
      <c r="AB39" s="95"/>
      <c r="AC39" s="35" t="s">
        <v>428</v>
      </c>
      <c r="AD39" s="35">
        <v>1.0</v>
      </c>
      <c r="AE39" s="35" t="s">
        <v>401</v>
      </c>
      <c r="AF39" s="35">
        <v>1.0</v>
      </c>
      <c r="AG39" s="35" t="s">
        <v>396</v>
      </c>
      <c r="AH39" s="35">
        <v>1.0</v>
      </c>
      <c r="AI39" s="109" t="s">
        <v>403</v>
      </c>
      <c r="AJ39" s="35">
        <v>1.0</v>
      </c>
      <c r="AK39" s="109" t="s">
        <v>409</v>
      </c>
      <c r="AL39" s="35">
        <v>3.0</v>
      </c>
      <c r="AM39" s="95"/>
      <c r="AN39" s="95"/>
      <c r="AO39" s="35" t="s">
        <v>394</v>
      </c>
      <c r="AP39" s="35">
        <v>1.0</v>
      </c>
      <c r="AQ39" s="35" t="s">
        <v>413</v>
      </c>
      <c r="AR39" s="35">
        <v>1.0</v>
      </c>
      <c r="AS39" s="95"/>
      <c r="AT39" s="95"/>
    </row>
    <row r="40">
      <c r="C40" s="35" t="s">
        <v>417</v>
      </c>
      <c r="D40" s="35">
        <v>1.0</v>
      </c>
      <c r="E40" s="35" t="s">
        <v>417</v>
      </c>
      <c r="F40" s="35">
        <v>1.0</v>
      </c>
      <c r="G40" s="35" t="s">
        <v>400</v>
      </c>
      <c r="H40" s="35">
        <v>1.0</v>
      </c>
      <c r="I40" s="35" t="s">
        <v>412</v>
      </c>
      <c r="J40" s="35">
        <v>1.0</v>
      </c>
      <c r="K40" s="109" t="s">
        <v>394</v>
      </c>
      <c r="L40" s="35">
        <v>1.0</v>
      </c>
      <c r="M40" s="35" t="s">
        <v>421</v>
      </c>
      <c r="N40" s="35">
        <v>1.0</v>
      </c>
      <c r="Q40" s="35" t="s">
        <v>438</v>
      </c>
      <c r="R40" s="35">
        <v>1.0</v>
      </c>
      <c r="S40" s="35" t="s">
        <v>413</v>
      </c>
      <c r="T40" s="35">
        <v>2.0</v>
      </c>
      <c r="U40" s="35" t="s">
        <v>443</v>
      </c>
      <c r="V40" s="182">
        <v>1.0</v>
      </c>
      <c r="W40" s="109" t="s">
        <v>394</v>
      </c>
      <c r="X40" s="35">
        <v>1.0</v>
      </c>
      <c r="Y40" s="35" t="s">
        <v>400</v>
      </c>
      <c r="Z40" s="35">
        <v>1.0</v>
      </c>
      <c r="AA40" s="95"/>
      <c r="AB40" s="95"/>
      <c r="AC40" s="35" t="s">
        <v>400</v>
      </c>
      <c r="AD40" s="35">
        <v>1.0</v>
      </c>
      <c r="AE40" s="35" t="s">
        <v>668</v>
      </c>
      <c r="AF40" s="35">
        <v>1.0</v>
      </c>
      <c r="AG40" s="35" t="s">
        <v>408</v>
      </c>
      <c r="AH40" s="35">
        <v>1.0</v>
      </c>
      <c r="AI40" s="35" t="s">
        <v>419</v>
      </c>
      <c r="AJ40" s="35">
        <v>2.0</v>
      </c>
      <c r="AK40" s="109" t="s">
        <v>448</v>
      </c>
      <c r="AL40" s="35">
        <v>1.0</v>
      </c>
      <c r="AM40" s="95"/>
      <c r="AN40" s="95"/>
      <c r="AO40" s="35" t="s">
        <v>409</v>
      </c>
      <c r="AP40" s="35">
        <v>1.0</v>
      </c>
      <c r="AQ40" s="35" t="s">
        <v>670</v>
      </c>
      <c r="AR40" s="35">
        <v>1.0</v>
      </c>
      <c r="AS40" s="95"/>
      <c r="AT40" s="95"/>
    </row>
    <row r="41">
      <c r="C41" s="35" t="s">
        <v>421</v>
      </c>
      <c r="D41" s="35">
        <v>1.0</v>
      </c>
      <c r="E41" s="35" t="s">
        <v>421</v>
      </c>
      <c r="F41" s="35">
        <v>1.0</v>
      </c>
      <c r="G41" s="35" t="s">
        <v>409</v>
      </c>
      <c r="H41" s="35">
        <v>3.0</v>
      </c>
      <c r="I41" s="35" t="s">
        <v>428</v>
      </c>
      <c r="J41" s="35">
        <v>1.0</v>
      </c>
      <c r="K41" s="35" t="s">
        <v>391</v>
      </c>
      <c r="L41" s="35">
        <v>1.0</v>
      </c>
      <c r="M41" s="35" t="s">
        <v>443</v>
      </c>
      <c r="N41" s="35">
        <v>1.0</v>
      </c>
      <c r="Q41" s="35" t="s">
        <v>408</v>
      </c>
      <c r="R41" s="35">
        <v>1.0</v>
      </c>
      <c r="S41" s="35" t="s">
        <v>675</v>
      </c>
      <c r="T41" s="35">
        <v>1.0</v>
      </c>
      <c r="U41" s="35" t="s">
        <v>447</v>
      </c>
      <c r="V41" s="182">
        <v>1.0</v>
      </c>
      <c r="W41" s="109" t="s">
        <v>448</v>
      </c>
      <c r="X41" s="35">
        <v>1.0</v>
      </c>
      <c r="Y41" s="35" t="s">
        <v>448</v>
      </c>
      <c r="Z41" s="35">
        <v>1.0</v>
      </c>
      <c r="AA41" s="95"/>
      <c r="AB41" s="95"/>
      <c r="AC41" s="35" t="s">
        <v>445</v>
      </c>
      <c r="AD41" s="35">
        <v>1.0</v>
      </c>
      <c r="AE41" s="35" t="s">
        <v>669</v>
      </c>
      <c r="AF41" s="35">
        <v>1.0</v>
      </c>
      <c r="AG41" s="35" t="s">
        <v>417</v>
      </c>
      <c r="AH41" s="35">
        <v>1.0</v>
      </c>
      <c r="AI41" s="35" t="s">
        <v>408</v>
      </c>
      <c r="AJ41" s="35">
        <v>1.0</v>
      </c>
      <c r="AK41" s="35" t="s">
        <v>419</v>
      </c>
      <c r="AL41" s="35">
        <v>2.0</v>
      </c>
      <c r="AM41" s="95"/>
      <c r="AN41" s="95"/>
      <c r="AO41" s="35" t="s">
        <v>396</v>
      </c>
      <c r="AP41" s="35">
        <v>1.0</v>
      </c>
      <c r="AQ41" s="35" t="s">
        <v>394</v>
      </c>
      <c r="AR41" s="35">
        <v>1.0</v>
      </c>
      <c r="AS41" s="95"/>
      <c r="AT41" s="95"/>
    </row>
    <row r="42">
      <c r="C42" s="35" t="s">
        <v>440</v>
      </c>
      <c r="D42" s="35">
        <v>1.0</v>
      </c>
      <c r="E42" s="35" t="s">
        <v>440</v>
      </c>
      <c r="F42" s="35">
        <v>1.0</v>
      </c>
      <c r="G42" s="35" t="s">
        <v>438</v>
      </c>
      <c r="H42" s="35">
        <v>2.0</v>
      </c>
      <c r="I42" s="35" t="s">
        <v>438</v>
      </c>
      <c r="J42" s="35">
        <v>1.0</v>
      </c>
      <c r="K42" s="35" t="s">
        <v>400</v>
      </c>
      <c r="L42" s="35">
        <v>1.0</v>
      </c>
      <c r="M42" s="35" t="s">
        <v>442</v>
      </c>
      <c r="N42" s="35">
        <v>1.0</v>
      </c>
      <c r="Q42" s="35" t="s">
        <v>417</v>
      </c>
      <c r="R42" s="35">
        <v>3.0</v>
      </c>
      <c r="S42" s="35" t="s">
        <v>409</v>
      </c>
      <c r="T42" s="35">
        <v>2.0</v>
      </c>
      <c r="U42" s="35" t="s">
        <v>442</v>
      </c>
      <c r="V42" s="182">
        <v>1.0</v>
      </c>
      <c r="W42" s="35" t="s">
        <v>419</v>
      </c>
      <c r="X42" s="35">
        <v>2.0</v>
      </c>
      <c r="Y42" s="35" t="s">
        <v>419</v>
      </c>
      <c r="Z42" s="35">
        <v>1.0</v>
      </c>
      <c r="AA42" s="95"/>
      <c r="AB42" s="95"/>
      <c r="AC42" s="35" t="s">
        <v>396</v>
      </c>
      <c r="AD42" s="35">
        <v>1.0</v>
      </c>
      <c r="AE42" s="35" t="s">
        <v>400</v>
      </c>
      <c r="AF42" s="35">
        <v>1.0</v>
      </c>
      <c r="AG42" s="35" t="s">
        <v>431</v>
      </c>
      <c r="AH42" s="35">
        <v>1.0</v>
      </c>
      <c r="AI42" s="35" t="s">
        <v>421</v>
      </c>
      <c r="AJ42" s="35">
        <v>1.0</v>
      </c>
      <c r="AK42" s="35" t="s">
        <v>421</v>
      </c>
      <c r="AL42" s="35">
        <v>1.0</v>
      </c>
      <c r="AM42" s="95"/>
      <c r="AN42" s="95"/>
      <c r="AO42" s="35" t="s">
        <v>438</v>
      </c>
      <c r="AP42" s="35">
        <v>1.0</v>
      </c>
      <c r="AQ42" s="35" t="s">
        <v>428</v>
      </c>
      <c r="AR42" s="35">
        <v>1.0</v>
      </c>
      <c r="AS42" s="95"/>
      <c r="AT42" s="95"/>
    </row>
    <row r="43">
      <c r="C43" s="35" t="s">
        <v>449</v>
      </c>
      <c r="D43" s="35">
        <v>1.0</v>
      </c>
      <c r="E43" s="35" t="s">
        <v>449</v>
      </c>
      <c r="F43" s="35">
        <v>1.0</v>
      </c>
      <c r="G43" s="35" t="s">
        <v>419</v>
      </c>
      <c r="H43" s="35">
        <v>1.0</v>
      </c>
      <c r="I43" s="35" t="s">
        <v>408</v>
      </c>
      <c r="J43" s="35">
        <v>1.0</v>
      </c>
      <c r="K43" s="35" t="s">
        <v>445</v>
      </c>
      <c r="L43" s="35">
        <v>1.0</v>
      </c>
      <c r="M43" s="35" t="s">
        <v>446</v>
      </c>
      <c r="N43" s="35">
        <v>1.0</v>
      </c>
      <c r="Q43" s="35" t="s">
        <v>431</v>
      </c>
      <c r="R43" s="35">
        <v>1.0</v>
      </c>
      <c r="S43" s="35" t="s">
        <v>408</v>
      </c>
      <c r="T43" s="35">
        <v>1.0</v>
      </c>
      <c r="U43" s="35" t="s">
        <v>446</v>
      </c>
      <c r="V43" s="182">
        <v>1.0</v>
      </c>
      <c r="W43" s="35" t="s">
        <v>408</v>
      </c>
      <c r="X43" s="35">
        <v>1.0</v>
      </c>
      <c r="Y43" s="35" t="s">
        <v>408</v>
      </c>
      <c r="Z43" s="35">
        <v>1.0</v>
      </c>
      <c r="AA43" s="95"/>
      <c r="AB43" s="95"/>
      <c r="AC43" s="35" t="s">
        <v>448</v>
      </c>
      <c r="AD43" s="35">
        <v>1.0</v>
      </c>
      <c r="AE43" s="35" t="s">
        <v>445</v>
      </c>
      <c r="AF43" s="35">
        <v>1.0</v>
      </c>
      <c r="AG43" s="35" t="s">
        <v>443</v>
      </c>
      <c r="AH43" s="35">
        <v>1.0</v>
      </c>
      <c r="AI43" s="35" t="s">
        <v>457</v>
      </c>
      <c r="AJ43" s="35">
        <v>2.0</v>
      </c>
      <c r="AK43" s="35" t="s">
        <v>440</v>
      </c>
      <c r="AL43" s="35">
        <v>1.0</v>
      </c>
      <c r="AM43" s="95"/>
      <c r="AN43" s="95"/>
      <c r="AO43" s="35" t="s">
        <v>408</v>
      </c>
      <c r="AP43" s="35">
        <v>3.0</v>
      </c>
      <c r="AQ43" s="35" t="s">
        <v>445</v>
      </c>
      <c r="AR43" s="35">
        <v>2.0</v>
      </c>
      <c r="AS43" s="95"/>
      <c r="AT43" s="95"/>
    </row>
    <row r="44">
      <c r="C44" s="35" t="s">
        <v>442</v>
      </c>
      <c r="D44" s="35">
        <v>1.0</v>
      </c>
      <c r="E44" s="35" t="s">
        <v>442</v>
      </c>
      <c r="F44" s="35">
        <v>2.0</v>
      </c>
      <c r="G44" s="35" t="s">
        <v>408</v>
      </c>
      <c r="H44" s="35">
        <v>1.0</v>
      </c>
      <c r="I44" s="35" t="s">
        <v>421</v>
      </c>
      <c r="J44" s="35">
        <v>2.0</v>
      </c>
      <c r="K44" s="35" t="s">
        <v>409</v>
      </c>
      <c r="L44" s="35">
        <v>1.0</v>
      </c>
      <c r="M44" s="35" t="s">
        <v>453</v>
      </c>
      <c r="N44" s="35">
        <v>1.0</v>
      </c>
      <c r="Q44" s="35" t="s">
        <v>436</v>
      </c>
      <c r="R44" s="35">
        <v>1.0</v>
      </c>
      <c r="S44" s="35" t="s">
        <v>426</v>
      </c>
      <c r="T44" s="35">
        <v>2.0</v>
      </c>
      <c r="U44" s="35" t="s">
        <v>453</v>
      </c>
      <c r="V44" s="182">
        <v>1.0</v>
      </c>
      <c r="W44" s="35" t="s">
        <v>417</v>
      </c>
      <c r="X44" s="35">
        <v>1.0</v>
      </c>
      <c r="Y44" s="35" t="s">
        <v>421</v>
      </c>
      <c r="Z44" s="35">
        <v>2.0</v>
      </c>
      <c r="AA44" s="95"/>
      <c r="AB44" s="95"/>
      <c r="AC44" s="35" t="s">
        <v>408</v>
      </c>
      <c r="AD44" s="35">
        <v>1.0</v>
      </c>
      <c r="AE44" s="35" t="s">
        <v>409</v>
      </c>
      <c r="AF44" s="35">
        <v>2.0</v>
      </c>
      <c r="AG44" s="35" t="s">
        <v>446</v>
      </c>
      <c r="AH44" s="35">
        <v>1.0</v>
      </c>
      <c r="AI44" s="35" t="s">
        <v>465</v>
      </c>
      <c r="AJ44" s="35">
        <v>1.0</v>
      </c>
      <c r="AK44" s="35" t="s">
        <v>443</v>
      </c>
      <c r="AL44" s="35">
        <v>1.0</v>
      </c>
      <c r="AM44" s="95"/>
      <c r="AN44" s="95"/>
      <c r="AO44" s="35" t="s">
        <v>417</v>
      </c>
      <c r="AP44" s="35">
        <v>1.0</v>
      </c>
      <c r="AQ44" s="35" t="s">
        <v>409</v>
      </c>
      <c r="AR44" s="35">
        <v>3.0</v>
      </c>
      <c r="AS44" s="95"/>
      <c r="AT44" s="95"/>
    </row>
    <row r="45">
      <c r="C45" s="35" t="s">
        <v>453</v>
      </c>
      <c r="D45" s="35">
        <v>1.0</v>
      </c>
      <c r="E45" s="35" t="s">
        <v>453</v>
      </c>
      <c r="F45" s="35">
        <v>1.0</v>
      </c>
      <c r="G45" s="35" t="s">
        <v>417</v>
      </c>
      <c r="H45" s="35">
        <v>2.0</v>
      </c>
      <c r="I45" s="35" t="s">
        <v>443</v>
      </c>
      <c r="J45" s="35">
        <v>1.0</v>
      </c>
      <c r="K45" s="35" t="s">
        <v>448</v>
      </c>
      <c r="L45" s="35">
        <v>1.0</v>
      </c>
      <c r="M45" s="35" t="s">
        <v>465</v>
      </c>
      <c r="N45" s="35">
        <v>1.0</v>
      </c>
      <c r="Q45" s="35" t="s">
        <v>442</v>
      </c>
      <c r="R45" s="35">
        <v>2.0</v>
      </c>
      <c r="S45" s="87" t="s">
        <v>440</v>
      </c>
      <c r="T45" s="87">
        <v>1.0</v>
      </c>
      <c r="U45" s="35" t="s">
        <v>457</v>
      </c>
      <c r="V45" s="182">
        <v>2.0</v>
      </c>
      <c r="W45" s="35" t="s">
        <v>421</v>
      </c>
      <c r="X45" s="35">
        <v>1.0</v>
      </c>
      <c r="Y45" s="35" t="s">
        <v>431</v>
      </c>
      <c r="Z45" s="35">
        <v>1.0</v>
      </c>
      <c r="AA45" s="95"/>
      <c r="AB45" s="95"/>
      <c r="AC45" s="35" t="s">
        <v>417</v>
      </c>
      <c r="AD45" s="35">
        <v>1.0</v>
      </c>
      <c r="AE45" s="87" t="s">
        <v>396</v>
      </c>
      <c r="AF45" s="87">
        <v>1.0</v>
      </c>
      <c r="AG45" s="35" t="s">
        <v>457</v>
      </c>
      <c r="AH45" s="35">
        <v>2.0</v>
      </c>
      <c r="AI45" s="35" t="s">
        <v>460</v>
      </c>
      <c r="AJ45" s="35">
        <v>2.0</v>
      </c>
      <c r="AK45" s="35" t="s">
        <v>442</v>
      </c>
      <c r="AL45" s="35">
        <v>2.0</v>
      </c>
      <c r="AM45" s="95"/>
      <c r="AN45" s="95"/>
      <c r="AO45" s="35" t="s">
        <v>440</v>
      </c>
      <c r="AP45" s="35">
        <v>1.0</v>
      </c>
      <c r="AQ45" s="87" t="s">
        <v>408</v>
      </c>
      <c r="AR45" s="87">
        <v>1.0</v>
      </c>
      <c r="AS45" s="188"/>
      <c r="AT45" s="188"/>
    </row>
    <row r="46">
      <c r="C46" s="35" t="s">
        <v>457</v>
      </c>
      <c r="D46" s="35">
        <v>3.0</v>
      </c>
      <c r="E46" s="35" t="s">
        <v>457</v>
      </c>
      <c r="F46" s="35">
        <v>3.0</v>
      </c>
      <c r="G46" s="35" t="s">
        <v>421</v>
      </c>
      <c r="H46" s="35">
        <v>1.0</v>
      </c>
      <c r="I46" s="35" t="s">
        <v>453</v>
      </c>
      <c r="J46" s="35">
        <v>3.0</v>
      </c>
      <c r="K46" s="35" t="s">
        <v>419</v>
      </c>
      <c r="L46" s="35">
        <v>1.0</v>
      </c>
      <c r="M46" s="35" t="s">
        <v>462</v>
      </c>
      <c r="N46" s="35">
        <v>2.0</v>
      </c>
      <c r="Q46" s="35" t="s">
        <v>457</v>
      </c>
      <c r="R46" s="35">
        <v>3.0</v>
      </c>
      <c r="S46" s="87" t="s">
        <v>449</v>
      </c>
      <c r="T46" s="87">
        <v>1.0</v>
      </c>
      <c r="U46" s="35" t="s">
        <v>465</v>
      </c>
      <c r="V46" s="182">
        <v>2.0</v>
      </c>
      <c r="W46" s="35" t="s">
        <v>431</v>
      </c>
      <c r="X46" s="35">
        <v>1.0</v>
      </c>
      <c r="Y46" s="35" t="s">
        <v>436</v>
      </c>
      <c r="Z46" s="35">
        <v>1.0</v>
      </c>
      <c r="AA46" s="95"/>
      <c r="AB46" s="95"/>
      <c r="AC46" s="35" t="s">
        <v>431</v>
      </c>
      <c r="AD46" s="35">
        <v>1.0</v>
      </c>
      <c r="AE46" s="87" t="s">
        <v>419</v>
      </c>
      <c r="AF46" s="87">
        <v>1.0</v>
      </c>
      <c r="AG46" s="35" t="s">
        <v>460</v>
      </c>
      <c r="AH46" s="35">
        <v>1.0</v>
      </c>
      <c r="AI46" s="35" t="s">
        <v>462</v>
      </c>
      <c r="AJ46" s="35">
        <v>2.0</v>
      </c>
      <c r="AK46" s="35" t="s">
        <v>446</v>
      </c>
      <c r="AL46" s="35">
        <v>1.0</v>
      </c>
      <c r="AM46" s="95"/>
      <c r="AN46" s="95"/>
      <c r="AO46" s="35" t="s">
        <v>443</v>
      </c>
      <c r="AP46" s="35">
        <v>1.0</v>
      </c>
      <c r="AQ46" s="87" t="s">
        <v>417</v>
      </c>
      <c r="AR46" s="87">
        <v>1.0</v>
      </c>
      <c r="AS46" s="188"/>
      <c r="AT46" s="188"/>
    </row>
    <row r="47">
      <c r="C47" s="35" t="s">
        <v>465</v>
      </c>
      <c r="D47" s="35">
        <v>1.0</v>
      </c>
      <c r="E47" s="35" t="s">
        <v>465</v>
      </c>
      <c r="F47" s="35">
        <v>1.0</v>
      </c>
      <c r="G47" s="87" t="s">
        <v>442</v>
      </c>
      <c r="H47" s="87">
        <v>2.0</v>
      </c>
      <c r="I47" s="35" t="s">
        <v>457</v>
      </c>
      <c r="J47" s="35">
        <v>4.0</v>
      </c>
      <c r="K47" s="35" t="s">
        <v>408</v>
      </c>
      <c r="L47" s="35">
        <v>2.0</v>
      </c>
      <c r="M47" s="35" t="s">
        <v>463</v>
      </c>
      <c r="N47" s="35">
        <v>1.0</v>
      </c>
      <c r="Q47" s="35" t="s">
        <v>465</v>
      </c>
      <c r="R47" s="35">
        <v>1.0</v>
      </c>
      <c r="S47" s="87" t="s">
        <v>442</v>
      </c>
      <c r="T47" s="87">
        <v>2.0</v>
      </c>
      <c r="U47" s="35" t="s">
        <v>460</v>
      </c>
      <c r="V47" s="182">
        <v>1.0</v>
      </c>
      <c r="W47" s="35" t="s">
        <v>475</v>
      </c>
      <c r="X47" s="35">
        <v>1.0</v>
      </c>
      <c r="Y47" s="35" t="s">
        <v>446</v>
      </c>
      <c r="Z47" s="35">
        <v>1.0</v>
      </c>
      <c r="AA47" s="95"/>
      <c r="AB47" s="95"/>
      <c r="AC47" s="35" t="s">
        <v>447</v>
      </c>
      <c r="AD47" s="35">
        <v>1.0</v>
      </c>
      <c r="AE47" s="87" t="s">
        <v>408</v>
      </c>
      <c r="AF47" s="87">
        <v>1.0</v>
      </c>
      <c r="AG47" s="35" t="s">
        <v>462</v>
      </c>
      <c r="AH47" s="35">
        <v>1.0</v>
      </c>
      <c r="AI47" s="35" t="s">
        <v>463</v>
      </c>
      <c r="AJ47" s="35">
        <v>1.0</v>
      </c>
      <c r="AK47" s="35" t="s">
        <v>453</v>
      </c>
      <c r="AL47" s="35">
        <v>2.0</v>
      </c>
      <c r="AM47" s="95"/>
      <c r="AN47" s="95"/>
      <c r="AO47" s="35" t="s">
        <v>447</v>
      </c>
      <c r="AP47" s="35">
        <v>1.0</v>
      </c>
      <c r="AQ47" s="87" t="s">
        <v>431</v>
      </c>
      <c r="AR47" s="87">
        <v>1.0</v>
      </c>
      <c r="AS47" s="188"/>
      <c r="AT47" s="188"/>
    </row>
    <row r="48">
      <c r="C48" s="35" t="s">
        <v>462</v>
      </c>
      <c r="D48" s="35">
        <v>1.0</v>
      </c>
      <c r="E48" s="35" t="s">
        <v>462</v>
      </c>
      <c r="F48" s="35">
        <v>1.0</v>
      </c>
      <c r="G48" s="87" t="s">
        <v>453</v>
      </c>
      <c r="H48" s="87">
        <v>2.0</v>
      </c>
      <c r="I48" s="35" t="s">
        <v>465</v>
      </c>
      <c r="J48" s="35">
        <v>2.0</v>
      </c>
      <c r="K48" s="35" t="s">
        <v>417</v>
      </c>
      <c r="L48" s="35">
        <v>1.0</v>
      </c>
      <c r="M48" s="35" t="s">
        <v>468</v>
      </c>
      <c r="N48" s="35">
        <v>4.0</v>
      </c>
      <c r="Q48" s="35" t="s">
        <v>462</v>
      </c>
      <c r="R48" s="35">
        <v>1.0</v>
      </c>
      <c r="S48" s="87" t="s">
        <v>453</v>
      </c>
      <c r="T48" s="87">
        <v>1.0</v>
      </c>
      <c r="U48" s="35" t="s">
        <v>462</v>
      </c>
      <c r="V48" s="182">
        <v>1.0</v>
      </c>
      <c r="W48" s="35" t="s">
        <v>436</v>
      </c>
      <c r="X48" s="35">
        <v>1.0</v>
      </c>
      <c r="Y48" s="35" t="s">
        <v>457</v>
      </c>
      <c r="Z48" s="35">
        <v>1.0</v>
      </c>
      <c r="AA48" s="95"/>
      <c r="AB48" s="95"/>
      <c r="AC48" s="35" t="s">
        <v>442</v>
      </c>
      <c r="AD48" s="35">
        <v>1.0</v>
      </c>
      <c r="AE48" s="87" t="s">
        <v>417</v>
      </c>
      <c r="AF48" s="87">
        <v>1.0</v>
      </c>
      <c r="AG48" s="35" t="s">
        <v>468</v>
      </c>
      <c r="AH48" s="35">
        <v>2.0</v>
      </c>
      <c r="AI48" s="35" t="s">
        <v>468</v>
      </c>
      <c r="AJ48" s="35">
        <v>2.0</v>
      </c>
      <c r="AK48" s="35" t="s">
        <v>457</v>
      </c>
      <c r="AL48" s="35">
        <v>3.0</v>
      </c>
      <c r="AM48" s="95"/>
      <c r="AN48" s="95"/>
      <c r="AO48" s="35" t="s">
        <v>442</v>
      </c>
      <c r="AP48" s="35">
        <v>1.0</v>
      </c>
      <c r="AQ48" s="87" t="s">
        <v>443</v>
      </c>
      <c r="AR48" s="87">
        <v>1.0</v>
      </c>
      <c r="AS48" s="188"/>
      <c r="AT48" s="188"/>
    </row>
    <row r="49">
      <c r="C49" s="35" t="s">
        <v>468</v>
      </c>
      <c r="D49" s="35">
        <v>1.0</v>
      </c>
      <c r="E49" s="35" t="s">
        <v>468</v>
      </c>
      <c r="F49" s="35">
        <v>1.0</v>
      </c>
      <c r="G49" s="87" t="s">
        <v>457</v>
      </c>
      <c r="H49" s="87">
        <v>1.0</v>
      </c>
      <c r="I49" s="35" t="s">
        <v>460</v>
      </c>
      <c r="J49" s="35">
        <v>1.0</v>
      </c>
      <c r="K49" s="35" t="s">
        <v>426</v>
      </c>
      <c r="L49" s="35">
        <v>1.0</v>
      </c>
      <c r="M49" s="35" t="s">
        <v>472</v>
      </c>
      <c r="N49" s="35">
        <v>1.0</v>
      </c>
      <c r="Q49" s="35" t="s">
        <v>468</v>
      </c>
      <c r="R49" s="35">
        <v>1.0</v>
      </c>
      <c r="S49" s="87" t="s">
        <v>462</v>
      </c>
      <c r="T49" s="87">
        <v>2.0</v>
      </c>
      <c r="U49" s="35" t="s">
        <v>468</v>
      </c>
      <c r="V49" s="182">
        <v>2.0</v>
      </c>
      <c r="W49" s="35" t="s">
        <v>453</v>
      </c>
      <c r="X49" s="35">
        <v>1.0</v>
      </c>
      <c r="Y49" s="35" t="s">
        <v>465</v>
      </c>
      <c r="Z49" s="35">
        <v>2.0</v>
      </c>
      <c r="AA49" s="95"/>
      <c r="AB49" s="95"/>
      <c r="AC49" s="35" t="s">
        <v>453</v>
      </c>
      <c r="AD49" s="35">
        <v>2.0</v>
      </c>
      <c r="AE49" s="87" t="s">
        <v>421</v>
      </c>
      <c r="AF49" s="87">
        <v>1.0</v>
      </c>
      <c r="AG49" s="35" t="s">
        <v>484</v>
      </c>
      <c r="AH49" s="35">
        <v>1.0</v>
      </c>
      <c r="AI49" s="35" t="s">
        <v>471</v>
      </c>
      <c r="AJ49" s="35">
        <v>1.0</v>
      </c>
      <c r="AK49" s="35" t="s">
        <v>465</v>
      </c>
      <c r="AL49" s="35">
        <v>1.0</v>
      </c>
      <c r="AM49" s="95"/>
      <c r="AN49" s="95"/>
      <c r="AO49" s="35" t="s">
        <v>453</v>
      </c>
      <c r="AP49" s="35">
        <v>2.0</v>
      </c>
      <c r="AQ49" s="87" t="s">
        <v>442</v>
      </c>
      <c r="AR49" s="87">
        <v>1.0</v>
      </c>
      <c r="AS49" s="188"/>
      <c r="AT49" s="188"/>
    </row>
    <row r="50">
      <c r="C50" s="35" t="s">
        <v>481</v>
      </c>
      <c r="D50" s="35">
        <v>1.0</v>
      </c>
      <c r="E50" s="35" t="s">
        <v>481</v>
      </c>
      <c r="F50" s="35">
        <v>1.0</v>
      </c>
      <c r="G50" s="87" t="s">
        <v>462</v>
      </c>
      <c r="H50" s="87">
        <v>1.0</v>
      </c>
      <c r="I50" s="35" t="s">
        <v>462</v>
      </c>
      <c r="J50" s="35">
        <v>2.0</v>
      </c>
      <c r="K50" s="35" t="s">
        <v>421</v>
      </c>
      <c r="L50" s="35">
        <v>1.0</v>
      </c>
      <c r="M50" s="35" t="s">
        <v>481</v>
      </c>
      <c r="N50" s="35">
        <v>2.0</v>
      </c>
      <c r="Q50" s="35" t="s">
        <v>471</v>
      </c>
      <c r="R50" s="35">
        <v>1.0</v>
      </c>
      <c r="S50" s="87" t="s">
        <v>468</v>
      </c>
      <c r="T50" s="87">
        <v>2.0</v>
      </c>
      <c r="U50" s="35" t="s">
        <v>472</v>
      </c>
      <c r="V50" s="182">
        <v>1.0</v>
      </c>
      <c r="W50" s="35" t="s">
        <v>457</v>
      </c>
      <c r="X50" s="35">
        <v>2.0</v>
      </c>
      <c r="Y50" s="35" t="s">
        <v>463</v>
      </c>
      <c r="Z50" s="35">
        <v>1.0</v>
      </c>
      <c r="AA50" s="95"/>
      <c r="AB50" s="95"/>
      <c r="AC50" s="35" t="s">
        <v>457</v>
      </c>
      <c r="AD50" s="35">
        <v>2.0</v>
      </c>
      <c r="AE50" s="87" t="s">
        <v>431</v>
      </c>
      <c r="AF50" s="87">
        <v>1.0</v>
      </c>
      <c r="AG50" s="35" t="s">
        <v>674</v>
      </c>
      <c r="AH50" s="35">
        <v>1.0</v>
      </c>
      <c r="AI50" s="35" t="s">
        <v>506</v>
      </c>
      <c r="AJ50" s="35">
        <v>1.0</v>
      </c>
      <c r="AK50" s="35" t="s">
        <v>462</v>
      </c>
      <c r="AL50" s="35">
        <v>1.0</v>
      </c>
      <c r="AM50" s="95"/>
      <c r="AN50" s="95"/>
      <c r="AO50" s="35" t="s">
        <v>457</v>
      </c>
      <c r="AP50" s="35">
        <v>1.0</v>
      </c>
      <c r="AQ50" s="87" t="s">
        <v>446</v>
      </c>
      <c r="AR50" s="87">
        <v>1.0</v>
      </c>
      <c r="AS50" s="188"/>
      <c r="AT50" s="188"/>
    </row>
    <row r="51">
      <c r="C51" s="35" t="s">
        <v>471</v>
      </c>
      <c r="D51" s="35">
        <v>1.0</v>
      </c>
      <c r="E51" s="35" t="s">
        <v>471</v>
      </c>
      <c r="F51" s="35">
        <v>1.0</v>
      </c>
      <c r="G51" s="87" t="s">
        <v>481</v>
      </c>
      <c r="H51" s="87">
        <v>1.0</v>
      </c>
      <c r="I51" s="35" t="s">
        <v>468</v>
      </c>
      <c r="J51" s="35">
        <v>1.0</v>
      </c>
      <c r="K51" s="35" t="s">
        <v>431</v>
      </c>
      <c r="L51" s="35">
        <v>1.0</v>
      </c>
      <c r="M51" s="35" t="s">
        <v>486</v>
      </c>
      <c r="N51" s="35">
        <v>1.0</v>
      </c>
      <c r="Q51" s="35" t="s">
        <v>477</v>
      </c>
      <c r="R51" s="35">
        <v>1.0</v>
      </c>
      <c r="S51" s="87" t="s">
        <v>472</v>
      </c>
      <c r="T51" s="87">
        <v>1.0</v>
      </c>
      <c r="U51" s="35" t="s">
        <v>481</v>
      </c>
      <c r="V51" s="182">
        <v>1.0</v>
      </c>
      <c r="W51" s="35" t="s">
        <v>465</v>
      </c>
      <c r="X51" s="35">
        <v>3.0</v>
      </c>
      <c r="Y51" s="35" t="s">
        <v>468</v>
      </c>
      <c r="Z51" s="35">
        <v>6.0</v>
      </c>
      <c r="AA51" s="95"/>
      <c r="AB51" s="95"/>
      <c r="AC51" s="35" t="s">
        <v>465</v>
      </c>
      <c r="AD51" s="35">
        <v>1.0</v>
      </c>
      <c r="AE51" s="87" t="s">
        <v>440</v>
      </c>
      <c r="AF51" s="87">
        <v>1.0</v>
      </c>
      <c r="AG51" s="35" t="s">
        <v>487</v>
      </c>
      <c r="AH51" s="35">
        <v>2.0</v>
      </c>
      <c r="AI51" s="35" t="s">
        <v>514</v>
      </c>
      <c r="AJ51" s="35">
        <v>2.0</v>
      </c>
      <c r="AK51" s="35" t="s">
        <v>468</v>
      </c>
      <c r="AL51" s="35">
        <v>3.0</v>
      </c>
      <c r="AM51" s="95"/>
      <c r="AN51" s="95"/>
      <c r="AO51" s="35" t="s">
        <v>465</v>
      </c>
      <c r="AP51" s="35">
        <v>1.0</v>
      </c>
      <c r="AQ51" s="87" t="s">
        <v>453</v>
      </c>
      <c r="AR51" s="87">
        <v>1.0</v>
      </c>
      <c r="AS51" s="188"/>
      <c r="AT51" s="188"/>
    </row>
    <row r="52">
      <c r="C52" s="35" t="s">
        <v>484</v>
      </c>
      <c r="D52" s="35">
        <v>1.0</v>
      </c>
      <c r="E52" s="35" t="s">
        <v>484</v>
      </c>
      <c r="F52" s="35">
        <v>1.0</v>
      </c>
      <c r="G52" s="87" t="s">
        <v>471</v>
      </c>
      <c r="H52" s="87">
        <v>1.0</v>
      </c>
      <c r="I52" s="35" t="s">
        <v>481</v>
      </c>
      <c r="J52" s="35">
        <v>1.0</v>
      </c>
      <c r="K52" s="35" t="s">
        <v>475</v>
      </c>
      <c r="L52" s="35">
        <v>2.0</v>
      </c>
      <c r="M52" s="35" t="s">
        <v>479</v>
      </c>
      <c r="N52" s="35">
        <v>2.0</v>
      </c>
      <c r="Q52" s="35" t="s">
        <v>514</v>
      </c>
      <c r="R52" s="35">
        <v>2.0</v>
      </c>
      <c r="S52" s="87" t="s">
        <v>486</v>
      </c>
      <c r="T52" s="87">
        <v>1.0</v>
      </c>
      <c r="U52" s="35" t="s">
        <v>471</v>
      </c>
      <c r="V52" s="182">
        <v>1.0</v>
      </c>
      <c r="W52" s="35" t="s">
        <v>462</v>
      </c>
      <c r="X52" s="35">
        <v>2.0</v>
      </c>
      <c r="Y52" s="35" t="s">
        <v>472</v>
      </c>
      <c r="Z52" s="35">
        <v>2.0</v>
      </c>
      <c r="AA52" s="95"/>
      <c r="AB52" s="95"/>
      <c r="AC52" s="35" t="s">
        <v>463</v>
      </c>
      <c r="AD52" s="35">
        <v>1.0</v>
      </c>
      <c r="AE52" s="87" t="s">
        <v>449</v>
      </c>
      <c r="AF52" s="87">
        <v>1.0</v>
      </c>
      <c r="AG52" s="35" t="s">
        <v>495</v>
      </c>
      <c r="AH52" s="35">
        <v>3.0</v>
      </c>
      <c r="AI52" s="35" t="s">
        <v>674</v>
      </c>
      <c r="AJ52" s="35">
        <v>1.0</v>
      </c>
      <c r="AK52" s="35" t="s">
        <v>481</v>
      </c>
      <c r="AL52" s="35">
        <v>1.0</v>
      </c>
      <c r="AM52" s="95"/>
      <c r="AN52" s="95"/>
      <c r="AO52" s="35" t="s">
        <v>462</v>
      </c>
      <c r="AP52" s="35">
        <v>2.0</v>
      </c>
      <c r="AQ52" s="87" t="s">
        <v>457</v>
      </c>
      <c r="AR52" s="87">
        <v>2.0</v>
      </c>
      <c r="AS52" s="188"/>
      <c r="AT52" s="188"/>
    </row>
    <row r="53">
      <c r="C53" s="35" t="s">
        <v>674</v>
      </c>
      <c r="D53" s="35">
        <v>1.0</v>
      </c>
      <c r="E53" s="35" t="s">
        <v>674</v>
      </c>
      <c r="F53" s="35">
        <v>1.0</v>
      </c>
      <c r="G53" s="87" t="s">
        <v>477</v>
      </c>
      <c r="H53" s="87">
        <v>1.0</v>
      </c>
      <c r="I53" s="35" t="s">
        <v>471</v>
      </c>
      <c r="J53" s="35">
        <v>1.0</v>
      </c>
      <c r="K53" s="35" t="s">
        <v>442</v>
      </c>
      <c r="L53" s="35">
        <v>1.0</v>
      </c>
      <c r="M53" s="109" t="s">
        <v>483</v>
      </c>
      <c r="N53" s="35">
        <v>2.0</v>
      </c>
      <c r="Q53" s="35" t="s">
        <v>507</v>
      </c>
      <c r="R53" s="35">
        <v>4.0</v>
      </c>
      <c r="S53" s="87" t="s">
        <v>674</v>
      </c>
      <c r="T53" s="87">
        <v>1.0</v>
      </c>
      <c r="U53" s="35" t="s">
        <v>486</v>
      </c>
      <c r="V53" s="182">
        <v>1.0</v>
      </c>
      <c r="W53" s="35" t="s">
        <v>463</v>
      </c>
      <c r="X53" s="35">
        <v>1.0</v>
      </c>
      <c r="Y53" s="109" t="s">
        <v>481</v>
      </c>
      <c r="Z53" s="35">
        <v>1.0</v>
      </c>
      <c r="AA53" s="95"/>
      <c r="AB53" s="95"/>
      <c r="AC53" s="35" t="s">
        <v>468</v>
      </c>
      <c r="AD53" s="35">
        <v>2.0</v>
      </c>
      <c r="AE53" s="87" t="s">
        <v>673</v>
      </c>
      <c r="AF53" s="87">
        <v>1.0</v>
      </c>
      <c r="AG53" s="35" t="s">
        <v>523</v>
      </c>
      <c r="AH53" s="35">
        <v>1.0</v>
      </c>
      <c r="AI53" s="35" t="s">
        <v>719</v>
      </c>
      <c r="AJ53" s="35">
        <v>1.0</v>
      </c>
      <c r="AK53" s="35" t="s">
        <v>477</v>
      </c>
      <c r="AL53" s="35">
        <v>1.0</v>
      </c>
      <c r="AM53" s="95"/>
      <c r="AN53" s="95"/>
      <c r="AO53" s="35" t="s">
        <v>463</v>
      </c>
      <c r="AP53" s="35">
        <v>1.0</v>
      </c>
      <c r="AQ53" s="87" t="s">
        <v>462</v>
      </c>
      <c r="AR53" s="87">
        <v>2.0</v>
      </c>
      <c r="AS53" s="188"/>
      <c r="AT53" s="188"/>
    </row>
    <row r="54">
      <c r="C54" s="35" t="s">
        <v>719</v>
      </c>
      <c r="D54" s="35">
        <v>1.0</v>
      </c>
      <c r="E54" s="35" t="s">
        <v>719</v>
      </c>
      <c r="F54" s="35">
        <v>1.0</v>
      </c>
      <c r="G54" s="87" t="s">
        <v>486</v>
      </c>
      <c r="H54" s="87">
        <v>1.0</v>
      </c>
      <c r="I54" s="35" t="s">
        <v>483</v>
      </c>
      <c r="J54" s="35">
        <v>1.0</v>
      </c>
      <c r="K54" s="35" t="s">
        <v>453</v>
      </c>
      <c r="L54" s="35">
        <v>1.0</v>
      </c>
      <c r="M54" s="35" t="s">
        <v>674</v>
      </c>
      <c r="N54" s="35">
        <v>1.0</v>
      </c>
      <c r="Q54" s="35" t="s">
        <v>495</v>
      </c>
      <c r="R54" s="35">
        <v>4.0</v>
      </c>
      <c r="S54" s="87" t="s">
        <v>488</v>
      </c>
      <c r="T54" s="87">
        <v>1.0</v>
      </c>
      <c r="U54" s="35" t="s">
        <v>483</v>
      </c>
      <c r="V54" s="182">
        <v>2.0</v>
      </c>
      <c r="W54" s="35" t="s">
        <v>468</v>
      </c>
      <c r="X54" s="35">
        <v>2.0</v>
      </c>
      <c r="Y54" s="35" t="s">
        <v>488</v>
      </c>
      <c r="Z54" s="35">
        <v>1.0</v>
      </c>
      <c r="AA54" s="95"/>
      <c r="AB54" s="95"/>
      <c r="AC54" s="35" t="s">
        <v>488</v>
      </c>
      <c r="AD54" s="35">
        <v>1.0</v>
      </c>
      <c r="AE54" s="87" t="s">
        <v>436</v>
      </c>
      <c r="AF54" s="87">
        <v>1.0</v>
      </c>
      <c r="AG54" s="35" t="s">
        <v>515</v>
      </c>
      <c r="AH54" s="35">
        <v>1.0</v>
      </c>
      <c r="AI54" s="35" t="s">
        <v>507</v>
      </c>
      <c r="AJ54" s="35">
        <v>1.0</v>
      </c>
      <c r="AK54" s="35" t="s">
        <v>486</v>
      </c>
      <c r="AL54" s="35">
        <v>1.0</v>
      </c>
      <c r="AM54" s="95"/>
      <c r="AN54" s="95"/>
      <c r="AO54" s="35" t="s">
        <v>674</v>
      </c>
      <c r="AP54" s="35">
        <v>1.0</v>
      </c>
      <c r="AQ54" s="87" t="s">
        <v>468</v>
      </c>
      <c r="AR54" s="87">
        <v>1.0</v>
      </c>
      <c r="AS54" s="188"/>
      <c r="AT54" s="188"/>
    </row>
    <row r="55">
      <c r="C55" s="35" t="s">
        <v>507</v>
      </c>
      <c r="D55" s="35">
        <v>1.0</v>
      </c>
      <c r="E55" s="35" t="s">
        <v>507</v>
      </c>
      <c r="F55" s="35">
        <v>1.0</v>
      </c>
      <c r="G55" s="87" t="s">
        <v>514</v>
      </c>
      <c r="H55" s="87">
        <v>1.0</v>
      </c>
      <c r="I55" s="35" t="s">
        <v>500</v>
      </c>
      <c r="J55" s="35">
        <v>1.0</v>
      </c>
      <c r="K55" s="35" t="s">
        <v>457</v>
      </c>
      <c r="L55" s="35">
        <v>2.0</v>
      </c>
      <c r="M55" s="35" t="s">
        <v>501</v>
      </c>
      <c r="N55" s="35">
        <v>1.0</v>
      </c>
      <c r="Q55" s="35" t="s">
        <v>515</v>
      </c>
      <c r="R55" s="35">
        <v>2.0</v>
      </c>
      <c r="S55" s="87" t="s">
        <v>497</v>
      </c>
      <c r="T55" s="87">
        <v>2.0</v>
      </c>
      <c r="U55" s="35" t="s">
        <v>508</v>
      </c>
      <c r="V55" s="182">
        <v>1.0</v>
      </c>
      <c r="W55" s="35" t="s">
        <v>517</v>
      </c>
      <c r="X55" s="35">
        <v>1.0</v>
      </c>
      <c r="Y55" s="35" t="s">
        <v>719</v>
      </c>
      <c r="Z55" s="35">
        <v>1.0</v>
      </c>
      <c r="AA55" s="95"/>
      <c r="AB55" s="95"/>
      <c r="AC55" s="35" t="s">
        <v>507</v>
      </c>
      <c r="AD55" s="35">
        <v>1.0</v>
      </c>
      <c r="AE55" s="87" t="s">
        <v>442</v>
      </c>
      <c r="AF55" s="87">
        <v>1.0</v>
      </c>
      <c r="AG55" s="35" t="s">
        <v>513</v>
      </c>
      <c r="AH55" s="35">
        <v>1.0</v>
      </c>
      <c r="AI55" s="35" t="s">
        <v>496</v>
      </c>
      <c r="AJ55" s="35">
        <v>1.0</v>
      </c>
      <c r="AK55" s="35" t="s">
        <v>483</v>
      </c>
      <c r="AL55" s="35">
        <v>1.0</v>
      </c>
      <c r="AM55" s="95"/>
      <c r="AN55" s="95"/>
      <c r="AO55" s="35" t="s">
        <v>488</v>
      </c>
      <c r="AP55" s="35">
        <v>2.0</v>
      </c>
      <c r="AQ55" s="87" t="s">
        <v>477</v>
      </c>
      <c r="AR55" s="87">
        <v>2.0</v>
      </c>
      <c r="AS55" s="188"/>
      <c r="AT55" s="188"/>
    </row>
    <row r="56">
      <c r="C56" s="35" t="s">
        <v>495</v>
      </c>
      <c r="D56" s="35">
        <v>2.0</v>
      </c>
      <c r="E56" s="35" t="s">
        <v>495</v>
      </c>
      <c r="F56" s="35">
        <v>2.0</v>
      </c>
      <c r="G56" s="87" t="s">
        <v>484</v>
      </c>
      <c r="H56" s="87">
        <v>1.0</v>
      </c>
      <c r="I56" s="35" t="s">
        <v>495</v>
      </c>
      <c r="J56" s="35">
        <v>1.0</v>
      </c>
      <c r="K56" s="35" t="s">
        <v>465</v>
      </c>
      <c r="L56" s="35">
        <v>1.0</v>
      </c>
      <c r="M56" s="35" t="s">
        <v>487</v>
      </c>
      <c r="N56" s="35">
        <v>1.0</v>
      </c>
      <c r="Q56" s="35" t="s">
        <v>503</v>
      </c>
      <c r="R56" s="35">
        <v>1.0</v>
      </c>
      <c r="S56" s="87" t="s">
        <v>495</v>
      </c>
      <c r="T56" s="87">
        <v>2.0</v>
      </c>
      <c r="U56" s="35" t="s">
        <v>495</v>
      </c>
      <c r="V56" s="182">
        <v>3.0</v>
      </c>
      <c r="W56" s="35" t="s">
        <v>472</v>
      </c>
      <c r="X56" s="35">
        <v>2.0</v>
      </c>
      <c r="Y56" s="35" t="s">
        <v>487</v>
      </c>
      <c r="Z56" s="35">
        <v>2.0</v>
      </c>
      <c r="AA56" s="95"/>
      <c r="AB56" s="95"/>
      <c r="AC56" s="35" t="s">
        <v>495</v>
      </c>
      <c r="AD56" s="35">
        <v>2.0</v>
      </c>
      <c r="AE56" s="35" t="s">
        <v>453</v>
      </c>
      <c r="AF56" s="35">
        <v>2.0</v>
      </c>
      <c r="AG56" s="35" t="s">
        <v>519</v>
      </c>
      <c r="AH56" s="35">
        <v>1.0</v>
      </c>
      <c r="AI56" s="35" t="s">
        <v>495</v>
      </c>
      <c r="AJ56" s="35">
        <v>6.0</v>
      </c>
      <c r="AK56" s="35" t="s">
        <v>719</v>
      </c>
      <c r="AL56" s="35">
        <v>1.0</v>
      </c>
      <c r="AM56" s="95"/>
      <c r="AN56" s="95"/>
      <c r="AO56" s="35" t="s">
        <v>508</v>
      </c>
      <c r="AP56" s="35">
        <v>1.0</v>
      </c>
      <c r="AQ56" s="35" t="s">
        <v>483</v>
      </c>
      <c r="AR56" s="35">
        <v>1.0</v>
      </c>
      <c r="AS56" s="95"/>
      <c r="AT56" s="95"/>
    </row>
    <row r="57">
      <c r="C57" s="35" t="s">
        <v>515</v>
      </c>
      <c r="D57" s="35">
        <v>1.0</v>
      </c>
      <c r="E57" s="35" t="s">
        <v>515</v>
      </c>
      <c r="F57" s="35">
        <v>1.0</v>
      </c>
      <c r="G57" s="87" t="s">
        <v>674</v>
      </c>
      <c r="H57" s="87">
        <v>1.0</v>
      </c>
      <c r="I57" s="35" t="s">
        <v>515</v>
      </c>
      <c r="J57" s="35">
        <v>1.0</v>
      </c>
      <c r="K57" s="35" t="s">
        <v>462</v>
      </c>
      <c r="L57" s="35">
        <v>2.0</v>
      </c>
      <c r="M57" s="35" t="s">
        <v>507</v>
      </c>
      <c r="N57" s="35">
        <v>1.0</v>
      </c>
      <c r="Q57" s="35" t="s">
        <v>513</v>
      </c>
      <c r="R57" s="35">
        <v>2.0</v>
      </c>
      <c r="S57" s="35" t="s">
        <v>513</v>
      </c>
      <c r="T57" s="35">
        <v>4.0</v>
      </c>
      <c r="U57" s="35" t="s">
        <v>515</v>
      </c>
      <c r="V57" s="182">
        <v>1.0</v>
      </c>
      <c r="W57" s="35" t="s">
        <v>477</v>
      </c>
      <c r="X57" s="35">
        <v>1.0</v>
      </c>
      <c r="Y57" s="35" t="s">
        <v>495</v>
      </c>
      <c r="Z57" s="35">
        <v>2.0</v>
      </c>
      <c r="AA57" s="95"/>
      <c r="AB57" s="95"/>
      <c r="AC57" s="35" t="s">
        <v>515</v>
      </c>
      <c r="AD57" s="35">
        <v>3.0</v>
      </c>
      <c r="AE57" s="35" t="s">
        <v>457</v>
      </c>
      <c r="AF57" s="35">
        <v>1.0</v>
      </c>
      <c r="AG57" s="35" t="s">
        <v>518</v>
      </c>
      <c r="AH57" s="35">
        <v>2.0</v>
      </c>
      <c r="AI57" s="35" t="s">
        <v>503</v>
      </c>
      <c r="AJ57" s="35">
        <v>1.0</v>
      </c>
      <c r="AK57" s="109" t="s">
        <v>507</v>
      </c>
      <c r="AL57" s="35">
        <v>1.0</v>
      </c>
      <c r="AM57" s="95"/>
      <c r="AN57" s="95"/>
      <c r="AO57" s="35" t="s">
        <v>495</v>
      </c>
      <c r="AP57" s="35">
        <v>3.0</v>
      </c>
      <c r="AQ57" s="35" t="s">
        <v>674</v>
      </c>
      <c r="AR57" s="35">
        <v>1.0</v>
      </c>
      <c r="AS57" s="95"/>
      <c r="AT57" s="95"/>
    </row>
    <row r="58">
      <c r="C58" s="35" t="s">
        <v>503</v>
      </c>
      <c r="D58" s="35">
        <v>1.0</v>
      </c>
      <c r="E58" s="35" t="s">
        <v>503</v>
      </c>
      <c r="F58" s="35">
        <v>1.0</v>
      </c>
      <c r="G58" s="35" t="s">
        <v>501</v>
      </c>
      <c r="H58" s="35">
        <v>1.0</v>
      </c>
      <c r="I58" s="35" t="s">
        <v>519</v>
      </c>
      <c r="J58" s="35">
        <v>1.0</v>
      </c>
      <c r="K58" s="35" t="s">
        <v>468</v>
      </c>
      <c r="L58" s="35">
        <v>2.0</v>
      </c>
      <c r="M58" s="35" t="s">
        <v>504</v>
      </c>
      <c r="N58" s="35">
        <v>1.0</v>
      </c>
      <c r="Q58" s="35" t="s">
        <v>519</v>
      </c>
      <c r="R58" s="35">
        <v>1.0</v>
      </c>
      <c r="S58" s="35" t="s">
        <v>519</v>
      </c>
      <c r="T58" s="35">
        <v>2.0</v>
      </c>
      <c r="U58" s="35" t="s">
        <v>503</v>
      </c>
      <c r="V58" s="182">
        <v>1.0</v>
      </c>
      <c r="W58" s="35" t="s">
        <v>674</v>
      </c>
      <c r="X58" s="35">
        <v>1.0</v>
      </c>
      <c r="Y58" s="35" t="s">
        <v>523</v>
      </c>
      <c r="Z58" s="35">
        <v>1.0</v>
      </c>
      <c r="AA58" s="95"/>
      <c r="AB58" s="95"/>
      <c r="AC58" s="35" t="s">
        <v>503</v>
      </c>
      <c r="AD58" s="35">
        <v>1.0</v>
      </c>
      <c r="AE58" s="35" t="s">
        <v>462</v>
      </c>
      <c r="AF58" s="35">
        <v>1.0</v>
      </c>
      <c r="AG58" s="35" t="s">
        <v>521</v>
      </c>
      <c r="AH58" s="35">
        <v>1.0</v>
      </c>
      <c r="AI58" s="35" t="s">
        <v>513</v>
      </c>
      <c r="AJ58" s="35">
        <v>3.0</v>
      </c>
      <c r="AK58" s="35" t="s">
        <v>495</v>
      </c>
      <c r="AL58" s="35">
        <v>3.0</v>
      </c>
      <c r="AM58" s="95"/>
      <c r="AN58" s="95"/>
      <c r="AO58" s="35" t="s">
        <v>515</v>
      </c>
      <c r="AP58" s="35">
        <v>3.0</v>
      </c>
      <c r="AQ58" s="35" t="s">
        <v>501</v>
      </c>
      <c r="AR58" s="35">
        <v>1.0</v>
      </c>
      <c r="AS58" s="95"/>
      <c r="AT58" s="95"/>
    </row>
    <row r="59">
      <c r="C59" s="35" t="s">
        <v>513</v>
      </c>
      <c r="D59" s="35">
        <v>1.0</v>
      </c>
      <c r="E59" s="35" t="s">
        <v>513</v>
      </c>
      <c r="F59" s="35">
        <v>1.0</v>
      </c>
      <c r="G59" s="35" t="s">
        <v>719</v>
      </c>
      <c r="H59" s="35">
        <v>1.0</v>
      </c>
      <c r="I59" s="35" t="s">
        <v>518</v>
      </c>
      <c r="J59" s="35">
        <v>1.0</v>
      </c>
      <c r="K59" s="35" t="s">
        <v>517</v>
      </c>
      <c r="L59" s="35">
        <v>1.0</v>
      </c>
      <c r="M59" s="35" t="s">
        <v>495</v>
      </c>
      <c r="N59" s="35">
        <v>2.0</v>
      </c>
      <c r="Q59" s="35" t="s">
        <v>532</v>
      </c>
      <c r="R59" s="35">
        <v>1.0</v>
      </c>
      <c r="S59" s="35" t="s">
        <v>518</v>
      </c>
      <c r="T59" s="35">
        <v>1.0</v>
      </c>
      <c r="U59" s="35" t="s">
        <v>513</v>
      </c>
      <c r="V59" s="182">
        <v>1.0</v>
      </c>
      <c r="W59" s="35" t="s">
        <v>497</v>
      </c>
      <c r="X59" s="35">
        <v>2.0</v>
      </c>
      <c r="Y59" s="35" t="s">
        <v>515</v>
      </c>
      <c r="Z59" s="35">
        <v>2.0</v>
      </c>
      <c r="AA59" s="95"/>
      <c r="AB59" s="95"/>
      <c r="AC59" s="35" t="s">
        <v>513</v>
      </c>
      <c r="AD59" s="35">
        <v>3.0</v>
      </c>
      <c r="AE59" s="35" t="s">
        <v>468</v>
      </c>
      <c r="AF59" s="35">
        <v>2.0</v>
      </c>
      <c r="AG59" s="35" t="s">
        <v>537</v>
      </c>
      <c r="AH59" s="35">
        <v>1.0</v>
      </c>
      <c r="AI59" s="35" t="s">
        <v>526</v>
      </c>
      <c r="AJ59" s="35">
        <v>1.0</v>
      </c>
      <c r="AK59" s="35" t="s">
        <v>515</v>
      </c>
      <c r="AL59" s="35">
        <v>1.0</v>
      </c>
      <c r="AM59" s="95"/>
      <c r="AN59" s="95"/>
      <c r="AO59" s="35" t="s">
        <v>526</v>
      </c>
      <c r="AP59" s="35">
        <v>1.0</v>
      </c>
      <c r="AQ59" s="35" t="s">
        <v>495</v>
      </c>
      <c r="AR59" s="35">
        <v>3.0</v>
      </c>
      <c r="AS59" s="95"/>
      <c r="AT59" s="95"/>
    </row>
    <row r="60">
      <c r="C60" s="35" t="s">
        <v>519</v>
      </c>
      <c r="D60" s="35">
        <v>3.0</v>
      </c>
      <c r="E60" s="35" t="s">
        <v>519</v>
      </c>
      <c r="F60" s="35">
        <v>3.0</v>
      </c>
      <c r="G60" s="35" t="s">
        <v>497</v>
      </c>
      <c r="H60" s="35">
        <v>1.0</v>
      </c>
      <c r="I60" s="35" t="s">
        <v>521</v>
      </c>
      <c r="J60" s="35">
        <v>1.0</v>
      </c>
      <c r="K60" s="35" t="s">
        <v>472</v>
      </c>
      <c r="L60" s="35">
        <v>2.0</v>
      </c>
      <c r="M60" s="35" t="s">
        <v>523</v>
      </c>
      <c r="N60" s="35">
        <v>1.0</v>
      </c>
      <c r="Q60" s="35" t="s">
        <v>536</v>
      </c>
      <c r="R60" s="35">
        <v>1.0</v>
      </c>
      <c r="S60" s="35" t="s">
        <v>521</v>
      </c>
      <c r="T60" s="35">
        <v>2.0</v>
      </c>
      <c r="U60" s="35" t="s">
        <v>519</v>
      </c>
      <c r="V60" s="182">
        <v>1.0</v>
      </c>
      <c r="W60" s="35" t="s">
        <v>495</v>
      </c>
      <c r="X60" s="35">
        <v>3.0</v>
      </c>
      <c r="Y60" s="35" t="s">
        <v>503</v>
      </c>
      <c r="Z60" s="35">
        <v>1.0</v>
      </c>
      <c r="AA60" s="95"/>
      <c r="AB60" s="95"/>
      <c r="AC60" s="35" t="s">
        <v>519</v>
      </c>
      <c r="AD60" s="35">
        <v>2.0</v>
      </c>
      <c r="AE60" s="35" t="s">
        <v>481</v>
      </c>
      <c r="AF60" s="35">
        <v>1.0</v>
      </c>
      <c r="AG60" s="35" t="s">
        <v>530</v>
      </c>
      <c r="AH60" s="35">
        <v>1.0</v>
      </c>
      <c r="AI60" s="35" t="s">
        <v>519</v>
      </c>
      <c r="AJ60" s="35">
        <v>1.0</v>
      </c>
      <c r="AK60" s="35" t="s">
        <v>513</v>
      </c>
      <c r="AL60" s="35">
        <v>3.0</v>
      </c>
      <c r="AM60" s="95"/>
      <c r="AN60" s="95"/>
      <c r="AO60" s="35" t="s">
        <v>536</v>
      </c>
      <c r="AP60" s="35">
        <v>1.0</v>
      </c>
      <c r="AQ60" s="35" t="s">
        <v>513</v>
      </c>
      <c r="AR60" s="35">
        <v>2.0</v>
      </c>
      <c r="AS60" s="95"/>
      <c r="AT60" s="95"/>
    </row>
    <row r="61">
      <c r="C61" s="35" t="s">
        <v>537</v>
      </c>
      <c r="D61" s="35">
        <v>1.0</v>
      </c>
      <c r="E61" s="35" t="s">
        <v>537</v>
      </c>
      <c r="F61" s="35">
        <v>1.0</v>
      </c>
      <c r="G61" s="35" t="s">
        <v>507</v>
      </c>
      <c r="H61" s="35">
        <v>1.0</v>
      </c>
      <c r="I61" s="35" t="s">
        <v>525</v>
      </c>
      <c r="J61" s="35">
        <v>1.0</v>
      </c>
      <c r="K61" s="35" t="s">
        <v>674</v>
      </c>
      <c r="L61" s="35">
        <v>1.0</v>
      </c>
      <c r="M61" s="35" t="s">
        <v>515</v>
      </c>
      <c r="N61" s="35">
        <v>2.0</v>
      </c>
      <c r="Q61" s="35" t="s">
        <v>541</v>
      </c>
      <c r="R61" s="35">
        <v>1.0</v>
      </c>
      <c r="S61" s="35" t="s">
        <v>540</v>
      </c>
      <c r="T61" s="35">
        <v>1.0</v>
      </c>
      <c r="U61" s="35" t="s">
        <v>531</v>
      </c>
      <c r="V61" s="182">
        <v>1.0</v>
      </c>
      <c r="W61" s="35" t="s">
        <v>515</v>
      </c>
      <c r="X61" s="35">
        <v>2.0</v>
      </c>
      <c r="Y61" s="35" t="s">
        <v>513</v>
      </c>
      <c r="Z61" s="35">
        <v>1.0</v>
      </c>
      <c r="AA61" s="95"/>
      <c r="AB61" s="95"/>
      <c r="AC61" s="35" t="s">
        <v>518</v>
      </c>
      <c r="AD61" s="35">
        <v>1.0</v>
      </c>
      <c r="AE61" s="35" t="s">
        <v>477</v>
      </c>
      <c r="AF61" s="35">
        <v>1.0</v>
      </c>
      <c r="AG61" s="35" t="s">
        <v>535</v>
      </c>
      <c r="AH61" s="35">
        <v>1.0</v>
      </c>
      <c r="AI61" s="35" t="s">
        <v>518</v>
      </c>
      <c r="AJ61" s="35">
        <v>2.0</v>
      </c>
      <c r="AK61" s="35" t="s">
        <v>526</v>
      </c>
      <c r="AL61" s="35">
        <v>1.0</v>
      </c>
      <c r="AM61" s="95"/>
      <c r="AN61" s="95"/>
      <c r="AO61" s="35" t="s">
        <v>530</v>
      </c>
      <c r="AP61" s="35">
        <v>1.0</v>
      </c>
      <c r="AQ61" s="35" t="s">
        <v>526</v>
      </c>
      <c r="AR61" s="35">
        <v>1.0</v>
      </c>
      <c r="AS61" s="95"/>
      <c r="AT61" s="95"/>
    </row>
    <row r="62">
      <c r="C62" s="35" t="s">
        <v>536</v>
      </c>
      <c r="D62" s="35">
        <v>1.0</v>
      </c>
      <c r="E62" s="35" t="s">
        <v>536</v>
      </c>
      <c r="F62" s="35">
        <v>1.0</v>
      </c>
      <c r="G62" s="35" t="s">
        <v>508</v>
      </c>
      <c r="H62" s="35">
        <v>1.0</v>
      </c>
      <c r="I62" s="35" t="s">
        <v>532</v>
      </c>
      <c r="J62" s="35">
        <v>3.0</v>
      </c>
      <c r="K62" s="35" t="s">
        <v>500</v>
      </c>
      <c r="L62" s="35">
        <v>1.0</v>
      </c>
      <c r="M62" s="35" t="s">
        <v>503</v>
      </c>
      <c r="N62" s="35">
        <v>1.0</v>
      </c>
      <c r="Q62" s="35" t="s">
        <v>545</v>
      </c>
      <c r="R62" s="35">
        <v>1.0</v>
      </c>
      <c r="S62" s="35" t="s">
        <v>544</v>
      </c>
      <c r="T62" s="35">
        <v>1.0</v>
      </c>
      <c r="U62" s="35" t="s">
        <v>518</v>
      </c>
      <c r="V62" s="182">
        <v>1.0</v>
      </c>
      <c r="W62" s="35" t="s">
        <v>503</v>
      </c>
      <c r="X62" s="35">
        <v>1.0</v>
      </c>
      <c r="Y62" s="35" t="s">
        <v>519</v>
      </c>
      <c r="Z62" s="35">
        <v>5.0</v>
      </c>
      <c r="AA62" s="95"/>
      <c r="AB62" s="95"/>
      <c r="AC62" s="35" t="s">
        <v>525</v>
      </c>
      <c r="AD62" s="35">
        <v>1.0</v>
      </c>
      <c r="AE62" s="35" t="s">
        <v>479</v>
      </c>
      <c r="AF62" s="35">
        <v>1.0</v>
      </c>
      <c r="AG62" s="35" t="s">
        <v>676</v>
      </c>
      <c r="AH62" s="35">
        <v>1.0</v>
      </c>
      <c r="AI62" s="35" t="s">
        <v>532</v>
      </c>
      <c r="AJ62" s="35">
        <v>1.0</v>
      </c>
      <c r="AK62" s="35" t="s">
        <v>519</v>
      </c>
      <c r="AL62" s="35">
        <v>3.0</v>
      </c>
      <c r="AM62" s="95"/>
      <c r="AN62" s="95"/>
      <c r="AO62" s="35" t="s">
        <v>571</v>
      </c>
      <c r="AP62" s="35">
        <v>2.0</v>
      </c>
      <c r="AQ62" s="35" t="s">
        <v>519</v>
      </c>
      <c r="AR62" s="35">
        <v>2.0</v>
      </c>
      <c r="AS62" s="95"/>
      <c r="AT62" s="95"/>
    </row>
    <row r="63">
      <c r="C63" s="35" t="s">
        <v>541</v>
      </c>
      <c r="D63" s="35">
        <v>1.0</v>
      </c>
      <c r="E63" s="35" t="s">
        <v>541</v>
      </c>
      <c r="F63" s="35">
        <v>1.0</v>
      </c>
      <c r="G63" s="35" t="s">
        <v>504</v>
      </c>
      <c r="H63" s="35">
        <v>1.0</v>
      </c>
      <c r="I63" s="35" t="s">
        <v>537</v>
      </c>
      <c r="J63" s="35">
        <v>1.0</v>
      </c>
      <c r="K63" s="35" t="s">
        <v>497</v>
      </c>
      <c r="L63" s="35">
        <v>1.0</v>
      </c>
      <c r="M63" s="35" t="s">
        <v>513</v>
      </c>
      <c r="N63" s="35">
        <v>4.0</v>
      </c>
      <c r="Q63" s="35" t="s">
        <v>535</v>
      </c>
      <c r="R63" s="35">
        <v>2.0</v>
      </c>
      <c r="S63" s="35" t="s">
        <v>676</v>
      </c>
      <c r="T63" s="35">
        <v>1.0</v>
      </c>
      <c r="U63" s="35" t="s">
        <v>521</v>
      </c>
      <c r="V63" s="182">
        <v>1.0</v>
      </c>
      <c r="W63" s="35" t="s">
        <v>519</v>
      </c>
      <c r="X63" s="35">
        <v>1.0</v>
      </c>
      <c r="Y63" s="35" t="s">
        <v>518</v>
      </c>
      <c r="Z63" s="35">
        <v>1.0</v>
      </c>
      <c r="AA63" s="95"/>
      <c r="AB63" s="95"/>
      <c r="AC63" s="35" t="s">
        <v>540</v>
      </c>
      <c r="AD63" s="35">
        <v>1.0</v>
      </c>
      <c r="AE63" s="35" t="s">
        <v>483</v>
      </c>
      <c r="AF63" s="35">
        <v>1.0</v>
      </c>
      <c r="AG63" s="35" t="s">
        <v>559</v>
      </c>
      <c r="AH63" s="35">
        <v>1.0</v>
      </c>
      <c r="AI63" s="35" t="s">
        <v>537</v>
      </c>
      <c r="AJ63" s="35">
        <v>1.0</v>
      </c>
      <c r="AK63" s="35" t="s">
        <v>531</v>
      </c>
      <c r="AL63" s="35">
        <v>1.0</v>
      </c>
      <c r="AM63" s="95"/>
      <c r="AN63" s="95"/>
      <c r="AO63" s="35" t="s">
        <v>544</v>
      </c>
      <c r="AP63" s="35">
        <v>1.0</v>
      </c>
      <c r="AQ63" s="35" t="s">
        <v>532</v>
      </c>
      <c r="AR63" s="35">
        <v>1.0</v>
      </c>
      <c r="AS63" s="95"/>
      <c r="AT63" s="95"/>
    </row>
    <row r="64">
      <c r="C64" s="35" t="s">
        <v>535</v>
      </c>
      <c r="D64" s="35">
        <v>1.0</v>
      </c>
      <c r="E64" s="35" t="s">
        <v>535</v>
      </c>
      <c r="F64" s="35">
        <v>1.0</v>
      </c>
      <c r="G64" s="35" t="s">
        <v>495</v>
      </c>
      <c r="H64" s="35">
        <v>1.0</v>
      </c>
      <c r="I64" s="35" t="s">
        <v>530</v>
      </c>
      <c r="J64" s="35">
        <v>1.0</v>
      </c>
      <c r="K64" s="35" t="s">
        <v>495</v>
      </c>
      <c r="L64" s="35">
        <v>4.0</v>
      </c>
      <c r="M64" s="35" t="s">
        <v>519</v>
      </c>
      <c r="N64" s="35">
        <v>1.0</v>
      </c>
      <c r="Q64" s="35" t="s">
        <v>676</v>
      </c>
      <c r="R64" s="35">
        <v>1.0</v>
      </c>
      <c r="S64" s="35" t="s">
        <v>552</v>
      </c>
      <c r="T64" s="35">
        <v>3.0</v>
      </c>
      <c r="U64" s="35" t="s">
        <v>540</v>
      </c>
      <c r="V64" s="182">
        <v>1.0</v>
      </c>
      <c r="W64" s="35" t="s">
        <v>531</v>
      </c>
      <c r="X64" s="35">
        <v>1.0</v>
      </c>
      <c r="Y64" s="35" t="s">
        <v>527</v>
      </c>
      <c r="Z64" s="35">
        <v>3.0</v>
      </c>
      <c r="AA64" s="95"/>
      <c r="AB64" s="95"/>
      <c r="AC64" s="35" t="s">
        <v>532</v>
      </c>
      <c r="AD64" s="35">
        <v>2.0</v>
      </c>
      <c r="AE64" s="35" t="s">
        <v>507</v>
      </c>
      <c r="AF64" s="35">
        <v>1.0</v>
      </c>
      <c r="AG64" s="35" t="s">
        <v>556</v>
      </c>
      <c r="AH64" s="35">
        <v>1.0</v>
      </c>
      <c r="AI64" s="35" t="s">
        <v>530</v>
      </c>
      <c r="AJ64" s="35">
        <v>2.0</v>
      </c>
      <c r="AK64" s="35" t="s">
        <v>518</v>
      </c>
      <c r="AL64" s="35">
        <v>1.0</v>
      </c>
      <c r="AM64" s="95"/>
      <c r="AN64" s="95"/>
      <c r="AO64" s="35" t="s">
        <v>676</v>
      </c>
      <c r="AP64" s="35">
        <v>2.0</v>
      </c>
      <c r="AQ64" s="35" t="s">
        <v>536</v>
      </c>
      <c r="AR64" s="35">
        <v>3.0</v>
      </c>
      <c r="AS64" s="95"/>
      <c r="AT64" s="95"/>
    </row>
    <row r="65">
      <c r="C65" s="8" t="s">
        <v>571</v>
      </c>
      <c r="D65" s="8">
        <v>1.0</v>
      </c>
      <c r="E65" s="35" t="s">
        <v>571</v>
      </c>
      <c r="F65" s="35">
        <v>2.0</v>
      </c>
      <c r="G65" s="35" t="s">
        <v>503</v>
      </c>
      <c r="H65" s="35">
        <v>2.0</v>
      </c>
      <c r="I65" s="35" t="s">
        <v>535</v>
      </c>
      <c r="J65" s="35">
        <v>1.0</v>
      </c>
      <c r="K65" s="35" t="s">
        <v>515</v>
      </c>
      <c r="L65" s="35">
        <v>1.0</v>
      </c>
      <c r="M65" s="35" t="s">
        <v>518</v>
      </c>
      <c r="N65" s="35">
        <v>3.0</v>
      </c>
      <c r="Q65" s="35" t="s">
        <v>559</v>
      </c>
      <c r="R65" s="35">
        <v>1.0</v>
      </c>
      <c r="S65" s="8"/>
      <c r="T65" s="8"/>
      <c r="U65" s="35" t="s">
        <v>537</v>
      </c>
      <c r="V65" s="182">
        <v>1.0</v>
      </c>
      <c r="W65" s="35" t="s">
        <v>518</v>
      </c>
      <c r="X65" s="35">
        <v>1.0</v>
      </c>
      <c r="Y65" s="35" t="s">
        <v>525</v>
      </c>
      <c r="Z65" s="35">
        <v>3.0</v>
      </c>
      <c r="AA65" s="95"/>
      <c r="AB65" s="95"/>
      <c r="AC65" s="35" t="s">
        <v>530</v>
      </c>
      <c r="AD65" s="35">
        <v>1.0</v>
      </c>
      <c r="AE65" s="87" t="s">
        <v>508</v>
      </c>
      <c r="AF65" s="158">
        <v>1.0</v>
      </c>
      <c r="AG65" s="35" t="s">
        <v>548</v>
      </c>
      <c r="AH65" s="35">
        <v>1.0</v>
      </c>
      <c r="AI65" s="35" t="s">
        <v>535</v>
      </c>
      <c r="AJ65" s="35">
        <v>1.0</v>
      </c>
      <c r="AK65" s="35" t="s">
        <v>527</v>
      </c>
      <c r="AL65" s="35">
        <v>1.0</v>
      </c>
      <c r="AM65" s="95"/>
      <c r="AN65" s="95"/>
      <c r="AO65" s="35" t="s">
        <v>556</v>
      </c>
      <c r="AP65" s="35">
        <v>1.0</v>
      </c>
      <c r="AQ65" s="87" t="s">
        <v>530</v>
      </c>
      <c r="AR65" s="158">
        <v>1.0</v>
      </c>
      <c r="AS65" s="186"/>
      <c r="AT65" s="186"/>
    </row>
    <row r="66">
      <c r="C66" s="35" t="s">
        <v>676</v>
      </c>
      <c r="D66" s="35">
        <v>1.0</v>
      </c>
      <c r="E66" s="35" t="s">
        <v>676</v>
      </c>
      <c r="F66" s="35">
        <v>1.0</v>
      </c>
      <c r="G66" s="35" t="s">
        <v>513</v>
      </c>
      <c r="H66" s="35">
        <v>1.0</v>
      </c>
      <c r="I66" s="35" t="s">
        <v>571</v>
      </c>
      <c r="J66" s="35">
        <v>1.0</v>
      </c>
      <c r="K66" s="35" t="s">
        <v>503</v>
      </c>
      <c r="L66" s="35">
        <v>1.0</v>
      </c>
      <c r="M66" s="35" t="s">
        <v>521</v>
      </c>
      <c r="N66" s="35">
        <v>1.0</v>
      </c>
      <c r="Q66" s="8"/>
      <c r="R66" s="8"/>
      <c r="S66" s="8"/>
      <c r="T66" s="69">
        <v>87.0</v>
      </c>
      <c r="U66" s="35" t="s">
        <v>536</v>
      </c>
      <c r="V66" s="182">
        <v>1.0</v>
      </c>
      <c r="W66" s="35" t="s">
        <v>525</v>
      </c>
      <c r="X66" s="35">
        <v>1.0</v>
      </c>
      <c r="Y66" s="35" t="s">
        <v>540</v>
      </c>
      <c r="Z66" s="35">
        <v>1.0</v>
      </c>
      <c r="AA66" s="95"/>
      <c r="AB66" s="95"/>
      <c r="AC66" s="35" t="s">
        <v>541</v>
      </c>
      <c r="AD66" s="35">
        <v>3.0</v>
      </c>
      <c r="AE66" s="87" t="s">
        <v>504</v>
      </c>
      <c r="AF66" s="158">
        <v>1.0</v>
      </c>
      <c r="AG66" s="35" t="s">
        <v>562</v>
      </c>
      <c r="AH66" s="35">
        <v>1.0</v>
      </c>
      <c r="AI66" s="35" t="s">
        <v>571</v>
      </c>
      <c r="AJ66" s="35">
        <v>1.0</v>
      </c>
      <c r="AK66" s="35" t="s">
        <v>525</v>
      </c>
      <c r="AL66" s="35">
        <v>3.0</v>
      </c>
      <c r="AM66" s="95"/>
      <c r="AN66" s="95"/>
      <c r="AO66" s="35" t="s">
        <v>548</v>
      </c>
      <c r="AP66" s="35">
        <v>1.0</v>
      </c>
      <c r="AQ66" s="87" t="s">
        <v>535</v>
      </c>
      <c r="AR66" s="158">
        <v>1.0</v>
      </c>
      <c r="AS66" s="186"/>
      <c r="AT66" s="186"/>
    </row>
    <row r="67">
      <c r="C67" s="35" t="s">
        <v>556</v>
      </c>
      <c r="D67" s="35">
        <v>1.0</v>
      </c>
      <c r="E67" s="8" t="s">
        <v>556</v>
      </c>
      <c r="F67" s="8">
        <v>1.0</v>
      </c>
      <c r="G67" s="87" t="s">
        <v>519</v>
      </c>
      <c r="H67" s="158">
        <v>1.0</v>
      </c>
      <c r="I67" s="35" t="s">
        <v>544</v>
      </c>
      <c r="J67" s="35">
        <v>1.0</v>
      </c>
      <c r="K67" s="35" t="s">
        <v>513</v>
      </c>
      <c r="L67" s="35">
        <v>3.0</v>
      </c>
      <c r="M67" s="35" t="s">
        <v>527</v>
      </c>
      <c r="N67" s="35">
        <v>2.0</v>
      </c>
      <c r="Q67" s="8"/>
      <c r="R67" s="69">
        <v>83.0</v>
      </c>
      <c r="U67" s="35" t="s">
        <v>541</v>
      </c>
      <c r="V67" s="182">
        <v>1.0</v>
      </c>
      <c r="W67" s="35" t="s">
        <v>540</v>
      </c>
      <c r="X67" s="35">
        <v>2.0</v>
      </c>
      <c r="Y67" s="35" t="s">
        <v>532</v>
      </c>
      <c r="Z67" s="35">
        <v>1.0</v>
      </c>
      <c r="AA67" s="95"/>
      <c r="AB67" s="95"/>
      <c r="AC67" s="8" t="s">
        <v>545</v>
      </c>
      <c r="AD67" s="8">
        <v>1.0</v>
      </c>
      <c r="AE67" s="35" t="s">
        <v>495</v>
      </c>
      <c r="AF67" s="35">
        <v>4.0</v>
      </c>
      <c r="AG67" s="35" t="s">
        <v>569</v>
      </c>
      <c r="AH67" s="35">
        <v>1.0</v>
      </c>
      <c r="AI67" s="35" t="s">
        <v>539</v>
      </c>
      <c r="AJ67" s="35">
        <v>1.0</v>
      </c>
      <c r="AK67" s="35" t="s">
        <v>532</v>
      </c>
      <c r="AL67" s="35">
        <v>1.0</v>
      </c>
      <c r="AM67" s="95"/>
      <c r="AN67" s="95"/>
      <c r="AO67" s="35"/>
      <c r="AP67" s="35"/>
      <c r="AQ67" s="87" t="s">
        <v>552</v>
      </c>
      <c r="AR67" s="158">
        <v>4.0</v>
      </c>
      <c r="AS67" s="186"/>
      <c r="AT67" s="186"/>
    </row>
    <row r="68">
      <c r="C68" s="35" t="s">
        <v>552</v>
      </c>
      <c r="D68" s="35">
        <v>1.0</v>
      </c>
      <c r="E68" s="35" t="s">
        <v>552</v>
      </c>
      <c r="F68" s="35">
        <v>2.0</v>
      </c>
      <c r="G68" s="87" t="s">
        <v>518</v>
      </c>
      <c r="H68" s="158">
        <v>1.0</v>
      </c>
      <c r="I68" s="35" t="s">
        <v>559</v>
      </c>
      <c r="J68" s="35">
        <v>1.0</v>
      </c>
      <c r="K68" s="35" t="s">
        <v>526</v>
      </c>
      <c r="L68" s="35">
        <v>1.0</v>
      </c>
      <c r="M68" s="35" t="s">
        <v>525</v>
      </c>
      <c r="N68" s="35">
        <v>2.0</v>
      </c>
      <c r="U68" s="35" t="s">
        <v>545</v>
      </c>
      <c r="V68" s="182">
        <v>1.0</v>
      </c>
      <c r="W68" s="35" t="s">
        <v>532</v>
      </c>
      <c r="X68" s="35">
        <v>2.0</v>
      </c>
      <c r="Y68" s="35" t="s">
        <v>536</v>
      </c>
      <c r="Z68" s="35">
        <v>4.0</v>
      </c>
      <c r="AA68" s="95"/>
      <c r="AB68" s="95"/>
      <c r="AC68" s="35" t="s">
        <v>535</v>
      </c>
      <c r="AD68" s="35">
        <v>2.0</v>
      </c>
      <c r="AE68" s="35" t="s">
        <v>513</v>
      </c>
      <c r="AF68" s="35">
        <v>1.0</v>
      </c>
      <c r="AG68" s="35"/>
      <c r="AH68" s="35"/>
      <c r="AI68" s="35" t="s">
        <v>676</v>
      </c>
      <c r="AJ68" s="35">
        <v>2.0</v>
      </c>
      <c r="AK68" s="35" t="s">
        <v>536</v>
      </c>
      <c r="AL68" s="35">
        <v>2.0</v>
      </c>
      <c r="AM68" s="95"/>
      <c r="AN68" s="95"/>
      <c r="AO68" s="35"/>
      <c r="AP68" s="72">
        <v>85.0</v>
      </c>
      <c r="AQ68" s="35" t="s">
        <v>562</v>
      </c>
      <c r="AR68" s="35">
        <v>1.0</v>
      </c>
      <c r="AS68" s="95"/>
      <c r="AT68" s="95"/>
    </row>
    <row r="69">
      <c r="C69" s="8"/>
      <c r="D69" s="8"/>
      <c r="E69" s="8"/>
      <c r="F69" s="8"/>
      <c r="G69" s="87" t="s">
        <v>540</v>
      </c>
      <c r="H69" s="158">
        <v>1.0</v>
      </c>
      <c r="I69" s="35" t="s">
        <v>556</v>
      </c>
      <c r="J69" s="35">
        <v>2.0</v>
      </c>
      <c r="K69" s="35" t="s">
        <v>519</v>
      </c>
      <c r="L69" s="35">
        <v>1.0</v>
      </c>
      <c r="M69" s="35" t="s">
        <v>540</v>
      </c>
      <c r="N69" s="35">
        <v>1.0</v>
      </c>
      <c r="U69" s="35" t="s">
        <v>535</v>
      </c>
      <c r="V69" s="182">
        <v>1.0</v>
      </c>
      <c r="W69" s="35" t="s">
        <v>536</v>
      </c>
      <c r="X69" s="35">
        <v>1.0</v>
      </c>
      <c r="Y69" s="35" t="s">
        <v>530</v>
      </c>
      <c r="Z69" s="35">
        <v>1.0</v>
      </c>
      <c r="AA69" s="95"/>
      <c r="AB69" s="95"/>
      <c r="AC69" s="35" t="s">
        <v>544</v>
      </c>
      <c r="AD69" s="35">
        <v>2.0</v>
      </c>
      <c r="AE69" s="35" t="s">
        <v>526</v>
      </c>
      <c r="AF69" s="35">
        <v>1.0</v>
      </c>
      <c r="AG69" s="35"/>
      <c r="AH69" s="72">
        <v>73.0</v>
      </c>
      <c r="AI69" s="35" t="s">
        <v>552</v>
      </c>
      <c r="AJ69" s="35">
        <v>2.0</v>
      </c>
      <c r="AK69" s="35" t="s">
        <v>530</v>
      </c>
      <c r="AL69" s="35">
        <v>2.0</v>
      </c>
      <c r="AM69" s="95"/>
      <c r="AN69" s="95"/>
      <c r="AO69" s="95"/>
      <c r="AP69" s="95"/>
      <c r="AQ69" s="35"/>
      <c r="AR69" s="35"/>
      <c r="AS69" s="95"/>
      <c r="AT69" s="95"/>
    </row>
    <row r="70">
      <c r="C70" s="8"/>
      <c r="D70" s="69">
        <v>80.0</v>
      </c>
      <c r="E70" s="8"/>
      <c r="F70" s="69">
        <v>83.0</v>
      </c>
      <c r="G70" s="35" t="s">
        <v>532</v>
      </c>
      <c r="H70" s="35">
        <v>1.0</v>
      </c>
      <c r="I70" s="35" t="s">
        <v>548</v>
      </c>
      <c r="J70" s="35">
        <v>3.0</v>
      </c>
      <c r="K70" s="35" t="s">
        <v>518</v>
      </c>
      <c r="L70" s="35">
        <v>4.0</v>
      </c>
      <c r="M70" s="35" t="s">
        <v>532</v>
      </c>
      <c r="N70" s="35">
        <v>1.0</v>
      </c>
      <c r="U70" s="35" t="s">
        <v>539</v>
      </c>
      <c r="V70" s="182">
        <v>2.0</v>
      </c>
      <c r="W70" s="35" t="s">
        <v>541</v>
      </c>
      <c r="X70" s="35">
        <v>1.0</v>
      </c>
      <c r="Y70" s="35" t="s">
        <v>545</v>
      </c>
      <c r="Z70" s="35">
        <v>1.0</v>
      </c>
      <c r="AA70" s="95"/>
      <c r="AB70" s="95"/>
      <c r="AC70" s="35" t="s">
        <v>555</v>
      </c>
      <c r="AD70" s="35">
        <v>1.0</v>
      </c>
      <c r="AE70" s="35" t="s">
        <v>519</v>
      </c>
      <c r="AF70" s="35">
        <v>1.0</v>
      </c>
      <c r="AG70" s="95"/>
      <c r="AH70" s="95"/>
      <c r="AI70" s="35" t="s">
        <v>569</v>
      </c>
      <c r="AJ70" s="35">
        <v>2.0</v>
      </c>
      <c r="AK70" s="35" t="s">
        <v>541</v>
      </c>
      <c r="AL70" s="35">
        <v>1.0</v>
      </c>
      <c r="AM70" s="95"/>
      <c r="AN70" s="95"/>
      <c r="AO70" s="95"/>
      <c r="AP70" s="95"/>
      <c r="AQ70" s="35"/>
      <c r="AR70" s="72">
        <v>86.0</v>
      </c>
      <c r="AS70" s="165"/>
      <c r="AT70" s="165"/>
    </row>
    <row r="71">
      <c r="G71" s="35" t="s">
        <v>535</v>
      </c>
      <c r="H71" s="35">
        <v>1.0</v>
      </c>
      <c r="I71" s="35" t="s">
        <v>552</v>
      </c>
      <c r="J71" s="35">
        <v>1.0</v>
      </c>
      <c r="K71" s="35" t="s">
        <v>540</v>
      </c>
      <c r="L71" s="35">
        <v>2.0</v>
      </c>
      <c r="M71" s="35" t="s">
        <v>536</v>
      </c>
      <c r="N71" s="35">
        <v>1.0</v>
      </c>
      <c r="U71" s="35" t="s">
        <v>559</v>
      </c>
      <c r="V71" s="182">
        <v>1.0</v>
      </c>
      <c r="W71" s="35" t="s">
        <v>544</v>
      </c>
      <c r="X71" s="35">
        <v>1.0</v>
      </c>
      <c r="Y71" s="35" t="s">
        <v>535</v>
      </c>
      <c r="Z71" s="35">
        <v>2.0</v>
      </c>
      <c r="AA71" s="95"/>
      <c r="AB71" s="95"/>
      <c r="AC71" s="35"/>
      <c r="AD71" s="35"/>
      <c r="AE71" s="35" t="s">
        <v>521</v>
      </c>
      <c r="AF71" s="35">
        <v>1.0</v>
      </c>
      <c r="AG71" s="95"/>
      <c r="AH71" s="95"/>
      <c r="AI71" s="35"/>
      <c r="AJ71" s="35"/>
      <c r="AK71" s="35" t="s">
        <v>553</v>
      </c>
      <c r="AL71" s="35">
        <v>1.0</v>
      </c>
      <c r="AM71" s="95"/>
      <c r="AN71" s="95"/>
      <c r="AO71" s="95"/>
      <c r="AP71" s="95"/>
      <c r="AQ71" s="95"/>
      <c r="AR71" s="95"/>
      <c r="AS71" s="95"/>
      <c r="AT71" s="95"/>
    </row>
    <row r="72">
      <c r="G72" s="35" t="s">
        <v>571</v>
      </c>
      <c r="H72" s="35">
        <v>1.0</v>
      </c>
      <c r="I72" s="35" t="s">
        <v>562</v>
      </c>
      <c r="J72" s="35">
        <v>1.0</v>
      </c>
      <c r="K72" s="35" t="s">
        <v>532</v>
      </c>
      <c r="L72" s="35">
        <v>2.0</v>
      </c>
      <c r="M72" s="35" t="s">
        <v>530</v>
      </c>
      <c r="N72" s="35">
        <v>1.0</v>
      </c>
      <c r="U72" s="35" t="s">
        <v>556</v>
      </c>
      <c r="V72" s="182">
        <v>2.0</v>
      </c>
      <c r="W72" s="35" t="s">
        <v>548</v>
      </c>
      <c r="X72" s="35">
        <v>1.0</v>
      </c>
      <c r="Y72" s="35" t="s">
        <v>553</v>
      </c>
      <c r="Z72" s="35">
        <v>1.0</v>
      </c>
      <c r="AA72" s="95"/>
      <c r="AB72" s="95"/>
      <c r="AC72" s="35"/>
      <c r="AD72" s="72">
        <v>83.0</v>
      </c>
      <c r="AE72" s="35" t="s">
        <v>532</v>
      </c>
      <c r="AF72" s="35">
        <v>1.0</v>
      </c>
      <c r="AG72" s="95"/>
      <c r="AH72" s="95"/>
      <c r="AI72" s="35"/>
      <c r="AJ72" s="72">
        <v>85.0</v>
      </c>
      <c r="AK72" s="35" t="s">
        <v>676</v>
      </c>
      <c r="AL72" s="35">
        <v>1.0</v>
      </c>
      <c r="AM72" s="95"/>
      <c r="AN72" s="95"/>
      <c r="AO72" s="95"/>
      <c r="AP72" s="95"/>
      <c r="AQ72" s="95"/>
      <c r="AR72" s="95"/>
      <c r="AS72" s="95"/>
      <c r="AT72" s="95"/>
    </row>
    <row r="73">
      <c r="G73" s="35" t="s">
        <v>552</v>
      </c>
      <c r="H73" s="35">
        <v>2.0</v>
      </c>
      <c r="I73" s="8"/>
      <c r="J73" s="8"/>
      <c r="K73" s="35" t="s">
        <v>537</v>
      </c>
      <c r="L73" s="35">
        <v>1.0</v>
      </c>
      <c r="M73" s="35" t="s">
        <v>535</v>
      </c>
      <c r="N73" s="35">
        <v>2.0</v>
      </c>
      <c r="U73" s="35" t="s">
        <v>548</v>
      </c>
      <c r="V73" s="182">
        <v>2.0</v>
      </c>
      <c r="W73" s="35" t="s">
        <v>552</v>
      </c>
      <c r="X73" s="35">
        <v>3.0</v>
      </c>
      <c r="Y73" s="35" t="s">
        <v>571</v>
      </c>
      <c r="Z73" s="35">
        <v>1.0</v>
      </c>
      <c r="AA73" s="95"/>
      <c r="AB73" s="95"/>
      <c r="AC73" s="95"/>
      <c r="AD73" s="95"/>
      <c r="AE73" s="35" t="s">
        <v>537</v>
      </c>
      <c r="AF73" s="35">
        <v>1.0</v>
      </c>
      <c r="AG73" s="95"/>
      <c r="AH73" s="95"/>
      <c r="AI73" s="95"/>
      <c r="AJ73" s="95"/>
      <c r="AK73" s="35" t="s">
        <v>548</v>
      </c>
      <c r="AL73" s="35">
        <v>2.0</v>
      </c>
      <c r="AM73" s="95"/>
      <c r="AN73" s="95"/>
      <c r="AO73" s="95"/>
      <c r="AP73" s="95"/>
      <c r="AQ73" s="95"/>
      <c r="AR73" s="95"/>
      <c r="AS73" s="95"/>
      <c r="AT73" s="95"/>
    </row>
    <row r="74">
      <c r="G74" s="8"/>
      <c r="H74" s="8"/>
      <c r="I74" s="8"/>
      <c r="J74" s="69">
        <v>76.0</v>
      </c>
      <c r="K74" s="35" t="s">
        <v>571</v>
      </c>
      <c r="L74" s="35">
        <v>1.0</v>
      </c>
      <c r="M74" s="35" t="s">
        <v>553</v>
      </c>
      <c r="N74" s="35">
        <v>1.0</v>
      </c>
      <c r="U74" s="35" t="s">
        <v>552</v>
      </c>
      <c r="V74" s="182">
        <v>1.0</v>
      </c>
      <c r="W74" s="8"/>
      <c r="X74" s="8"/>
      <c r="Y74" s="35" t="s">
        <v>539</v>
      </c>
      <c r="Z74" s="35">
        <v>1.0</v>
      </c>
      <c r="AA74" s="95"/>
      <c r="AB74" s="95"/>
      <c r="AC74" s="95"/>
      <c r="AD74" s="95"/>
      <c r="AE74" s="35" t="s">
        <v>530</v>
      </c>
      <c r="AF74" s="35">
        <v>1.0</v>
      </c>
      <c r="AG74" s="95"/>
      <c r="AH74" s="95"/>
      <c r="AI74" s="95"/>
      <c r="AJ74" s="95"/>
      <c r="AK74" s="35" t="s">
        <v>562</v>
      </c>
      <c r="AL74" s="35">
        <v>2.0</v>
      </c>
      <c r="AM74" s="95"/>
      <c r="AN74" s="95"/>
      <c r="AO74" s="95"/>
      <c r="AP74" s="95"/>
      <c r="AQ74" s="95"/>
      <c r="AR74" s="95"/>
      <c r="AS74" s="95"/>
      <c r="AT74" s="95"/>
    </row>
    <row r="75">
      <c r="G75" s="8"/>
      <c r="H75" s="69">
        <v>88.0</v>
      </c>
      <c r="K75" s="35" t="s">
        <v>539</v>
      </c>
      <c r="L75" s="35">
        <v>1.0</v>
      </c>
      <c r="M75" s="35" t="s">
        <v>539</v>
      </c>
      <c r="N75" s="35">
        <v>2.0</v>
      </c>
      <c r="U75" s="35" t="s">
        <v>569</v>
      </c>
      <c r="V75" s="182">
        <v>1.0</v>
      </c>
      <c r="W75" s="8"/>
      <c r="X75" s="69">
        <v>91.0</v>
      </c>
      <c r="Y75" s="35" t="s">
        <v>676</v>
      </c>
      <c r="Z75" s="35">
        <v>1.0</v>
      </c>
      <c r="AA75" s="95"/>
      <c r="AB75" s="95"/>
      <c r="AC75" s="95"/>
      <c r="AD75" s="95"/>
      <c r="AE75" s="35" t="s">
        <v>544</v>
      </c>
      <c r="AF75" s="35">
        <v>1.0</v>
      </c>
      <c r="AG75" s="95"/>
      <c r="AH75" s="95"/>
      <c r="AI75" s="95"/>
      <c r="AJ75" s="95"/>
      <c r="AK75" s="35" t="s">
        <v>569</v>
      </c>
      <c r="AL75" s="35">
        <v>1.0</v>
      </c>
      <c r="AM75" s="95"/>
      <c r="AN75" s="95"/>
      <c r="AO75" s="95"/>
      <c r="AP75" s="95"/>
      <c r="AQ75" s="95"/>
      <c r="AR75" s="95"/>
      <c r="AS75" s="95"/>
      <c r="AT75" s="95"/>
    </row>
    <row r="76">
      <c r="K76" s="35" t="s">
        <v>544</v>
      </c>
      <c r="L76" s="35">
        <v>1.0</v>
      </c>
      <c r="M76" s="35" t="s">
        <v>676</v>
      </c>
      <c r="N76" s="35">
        <v>1.0</v>
      </c>
      <c r="U76" s="8"/>
      <c r="V76" s="8"/>
      <c r="Y76" s="35" t="s">
        <v>548</v>
      </c>
      <c r="Z76" s="35">
        <v>1.0</v>
      </c>
      <c r="AA76" s="95"/>
      <c r="AB76" s="95"/>
      <c r="AC76" s="95"/>
      <c r="AD76" s="95"/>
      <c r="AE76" s="35" t="s">
        <v>552</v>
      </c>
      <c r="AF76" s="35">
        <v>2.0</v>
      </c>
      <c r="AG76" s="95"/>
      <c r="AH76" s="95"/>
      <c r="AI76" s="95"/>
      <c r="AJ76" s="95"/>
      <c r="AK76" s="35" t="s">
        <v>555</v>
      </c>
      <c r="AL76" s="35">
        <v>1.0</v>
      </c>
      <c r="AM76" s="95"/>
      <c r="AN76" s="95"/>
      <c r="AO76" s="95"/>
      <c r="AP76" s="95"/>
      <c r="AQ76" s="95"/>
      <c r="AR76" s="95"/>
      <c r="AS76" s="95"/>
      <c r="AT76" s="95"/>
    </row>
    <row r="77">
      <c r="K77" s="35" t="s">
        <v>676</v>
      </c>
      <c r="L77" s="35">
        <v>1.0</v>
      </c>
      <c r="M77" s="35" t="s">
        <v>548</v>
      </c>
      <c r="N77" s="35">
        <v>2.0</v>
      </c>
      <c r="U77" s="8"/>
      <c r="V77" s="69">
        <v>74.0</v>
      </c>
      <c r="Y77" s="35" t="s">
        <v>562</v>
      </c>
      <c r="Z77" s="35">
        <v>1.0</v>
      </c>
      <c r="AA77" s="95"/>
      <c r="AB77" s="95"/>
      <c r="AC77" s="95"/>
      <c r="AD77" s="95"/>
      <c r="AE77" s="35" t="s">
        <v>562</v>
      </c>
      <c r="AF77" s="35">
        <v>1.0</v>
      </c>
      <c r="AG77" s="95"/>
      <c r="AH77" s="95"/>
      <c r="AI77" s="95"/>
      <c r="AJ77" s="95"/>
      <c r="AK77" s="35"/>
      <c r="AL77" s="35"/>
      <c r="AM77" s="95"/>
      <c r="AN77" s="95"/>
      <c r="AO77" s="95"/>
      <c r="AP77" s="95"/>
      <c r="AQ77" s="95"/>
      <c r="AR77" s="95"/>
      <c r="AS77" s="95"/>
      <c r="AT77" s="95"/>
    </row>
    <row r="78">
      <c r="K78" s="35" t="s">
        <v>552</v>
      </c>
      <c r="L78" s="35">
        <v>1.0</v>
      </c>
      <c r="M78" s="35" t="s">
        <v>552</v>
      </c>
      <c r="N78" s="35">
        <v>2.0</v>
      </c>
      <c r="Y78" s="35" t="s">
        <v>569</v>
      </c>
      <c r="Z78" s="35">
        <v>2.0</v>
      </c>
      <c r="AA78" s="95"/>
      <c r="AB78" s="95"/>
      <c r="AC78" s="95"/>
      <c r="AD78" s="95"/>
      <c r="AE78" s="35" t="s">
        <v>565</v>
      </c>
      <c r="AF78" s="35">
        <v>1.0</v>
      </c>
      <c r="AG78" s="95"/>
      <c r="AH78" s="95"/>
      <c r="AI78" s="95"/>
      <c r="AJ78" s="95"/>
      <c r="AK78" s="35"/>
      <c r="AL78" s="72">
        <v>99.0</v>
      </c>
      <c r="AM78" s="165"/>
      <c r="AN78" s="165"/>
      <c r="AO78" s="165"/>
      <c r="AP78" s="165"/>
      <c r="AQ78" s="165"/>
      <c r="AR78" s="165"/>
      <c r="AS78" s="165"/>
      <c r="AT78" s="165"/>
    </row>
    <row r="79">
      <c r="K79" s="8"/>
      <c r="L79" s="8"/>
      <c r="M79" s="35" t="s">
        <v>569</v>
      </c>
      <c r="N79" s="35">
        <v>2.0</v>
      </c>
      <c r="Y79" s="35" t="s">
        <v>555</v>
      </c>
      <c r="Z79" s="35">
        <v>1.0</v>
      </c>
      <c r="AA79" s="95"/>
      <c r="AB79" s="95"/>
      <c r="AC79" s="95"/>
      <c r="AD79" s="95"/>
      <c r="AE79" s="35"/>
      <c r="AF79" s="3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</row>
    <row r="80">
      <c r="K80" s="8"/>
      <c r="L80" s="69">
        <v>92.0</v>
      </c>
      <c r="M80" s="8"/>
      <c r="N80" s="8"/>
      <c r="Y80" s="8"/>
      <c r="Z80" s="8"/>
      <c r="AA80" s="93"/>
      <c r="AB80" s="93"/>
      <c r="AC80" s="93"/>
      <c r="AD80" s="93"/>
      <c r="AE80" s="8"/>
      <c r="AF80" s="69">
        <v>84.0</v>
      </c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</row>
    <row r="81">
      <c r="M81" s="8"/>
      <c r="N81" s="69">
        <v>91.0</v>
      </c>
      <c r="Y81" s="8"/>
      <c r="Z81" s="69">
        <v>91.0</v>
      </c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6.63"/>
    <col hidden="1" min="2" max="2" width="12.63"/>
    <col customWidth="1" hidden="1" min="3" max="3" width="36.63"/>
    <col hidden="1" min="4" max="4" width="12.63"/>
    <col customWidth="1" hidden="1" min="5" max="5" width="36.63"/>
    <col hidden="1" min="6" max="6" width="12.63"/>
    <col customWidth="1" hidden="1" min="7" max="7" width="36.63"/>
    <col hidden="1" min="8" max="8" width="12.63"/>
    <col customWidth="1" hidden="1" min="9" max="9" width="36.63"/>
    <col hidden="1" min="10" max="10" width="12.63"/>
    <col customWidth="1" hidden="1" min="11" max="11" width="36.63"/>
    <col hidden="1" min="12" max="12" width="12.63"/>
    <col customWidth="1" hidden="1" min="13" max="13" width="36.63"/>
    <col hidden="1" min="14" max="14" width="12.63"/>
    <col customWidth="1" hidden="1" min="15" max="15" width="36.63"/>
    <col hidden="1" min="16" max="16" width="12.63"/>
    <col customWidth="1" hidden="1" min="17" max="17" width="36.63"/>
    <col hidden="1" min="18" max="18" width="12.63"/>
    <col customWidth="1" hidden="1" min="19" max="19" width="36.63"/>
    <col hidden="1" min="20" max="20" width="12.63"/>
    <col customWidth="1" hidden="1" min="21" max="21" width="36.63"/>
    <col hidden="1" min="22" max="22" width="12.63"/>
    <col customWidth="1" hidden="1" min="23" max="23" width="36.63"/>
    <col hidden="1" min="24" max="24" width="12.63"/>
    <col customWidth="1" hidden="1" min="25" max="25" width="36.63"/>
    <col hidden="1" min="26" max="26" width="12.63"/>
    <col customWidth="1" hidden="1" min="27" max="27" width="36.63"/>
    <col hidden="1" min="28" max="28" width="12.63"/>
    <col customWidth="1" hidden="1" min="29" max="29" width="36.63"/>
    <col hidden="1" min="30" max="30" width="12.63"/>
    <col customWidth="1" hidden="1" min="31" max="31" width="36.63"/>
    <col hidden="1" min="32" max="32" width="12.63"/>
    <col customWidth="1" min="33" max="33" width="36.63"/>
    <col customWidth="1" min="35" max="35" width="36.63"/>
    <col customWidth="1" min="37" max="37" width="36.63"/>
    <col customWidth="1" min="39" max="39" width="36.63"/>
  </cols>
  <sheetData>
    <row r="1">
      <c r="A1" s="11" t="s">
        <v>681</v>
      </c>
      <c r="B1" s="87"/>
      <c r="C1" s="11" t="s">
        <v>683</v>
      </c>
      <c r="D1" s="87"/>
      <c r="E1" s="11" t="s">
        <v>685</v>
      </c>
      <c r="F1" s="87"/>
      <c r="G1" s="11" t="s">
        <v>687</v>
      </c>
      <c r="H1" s="87"/>
      <c r="I1" s="11" t="s">
        <v>689</v>
      </c>
      <c r="J1" s="87"/>
      <c r="K1" s="11" t="s">
        <v>690</v>
      </c>
      <c r="L1" s="87"/>
      <c r="M1" s="11" t="s">
        <v>692</v>
      </c>
      <c r="N1" s="87"/>
      <c r="O1" s="11" t="s">
        <v>694</v>
      </c>
      <c r="P1" s="87"/>
      <c r="Q1" s="11" t="s">
        <v>695</v>
      </c>
      <c r="R1" s="87"/>
      <c r="S1" s="11" t="s">
        <v>697</v>
      </c>
      <c r="T1" s="87"/>
      <c r="U1" s="11" t="s">
        <v>697</v>
      </c>
      <c r="V1" s="87"/>
      <c r="W1" s="11" t="s">
        <v>698</v>
      </c>
      <c r="X1" s="87"/>
      <c r="Y1" s="11" t="s">
        <v>700</v>
      </c>
      <c r="Z1" s="87"/>
      <c r="AA1" s="11" t="s">
        <v>701</v>
      </c>
      <c r="AB1" s="87"/>
      <c r="AC1" s="11" t="s">
        <v>703</v>
      </c>
      <c r="AD1" s="87"/>
      <c r="AE1" s="11" t="s">
        <v>705</v>
      </c>
      <c r="AF1" s="87"/>
      <c r="AG1" s="11" t="s">
        <v>707</v>
      </c>
      <c r="AH1" s="87"/>
      <c r="AI1" s="11" t="s">
        <v>708</v>
      </c>
      <c r="AJ1" s="87"/>
      <c r="AK1" s="11" t="s">
        <v>710</v>
      </c>
      <c r="AL1" s="87"/>
      <c r="AM1" s="11" t="s">
        <v>711</v>
      </c>
      <c r="AN1" s="87"/>
    </row>
    <row r="2">
      <c r="A2" s="35" t="s">
        <v>12</v>
      </c>
      <c r="B2" s="35">
        <v>5.0</v>
      </c>
      <c r="C2" s="35" t="s">
        <v>12</v>
      </c>
      <c r="D2" s="35">
        <v>2.0</v>
      </c>
      <c r="E2" s="35" t="s">
        <v>12</v>
      </c>
      <c r="F2" s="35">
        <v>10.0</v>
      </c>
      <c r="G2" s="35" t="s">
        <v>54</v>
      </c>
      <c r="H2" s="35">
        <v>42.0</v>
      </c>
      <c r="I2" s="35" t="s">
        <v>12</v>
      </c>
      <c r="J2" s="35">
        <v>6.0</v>
      </c>
      <c r="K2" s="35" t="s">
        <v>12</v>
      </c>
      <c r="L2" s="35">
        <v>6.0</v>
      </c>
      <c r="M2" s="35" t="s">
        <v>12</v>
      </c>
      <c r="N2" s="35">
        <v>3.0</v>
      </c>
      <c r="O2" s="35" t="s">
        <v>12</v>
      </c>
      <c r="P2" s="35">
        <v>9.0</v>
      </c>
      <c r="Q2" s="35" t="s">
        <v>12</v>
      </c>
      <c r="R2" s="35">
        <v>11.0</v>
      </c>
      <c r="S2" s="35" t="s">
        <v>54</v>
      </c>
      <c r="T2" s="35">
        <v>42.0</v>
      </c>
      <c r="U2" s="35" t="s">
        <v>12</v>
      </c>
      <c r="V2" s="35">
        <v>3.0</v>
      </c>
      <c r="W2" s="35" t="s">
        <v>12</v>
      </c>
      <c r="X2" s="35">
        <v>6.0</v>
      </c>
      <c r="Y2" s="35" t="s">
        <v>12</v>
      </c>
      <c r="Z2" s="35">
        <v>5.0</v>
      </c>
      <c r="AA2" s="35" t="s">
        <v>12</v>
      </c>
      <c r="AB2" s="35">
        <v>7.0</v>
      </c>
      <c r="AC2" s="35" t="s">
        <v>12</v>
      </c>
      <c r="AD2" s="35">
        <v>10.0</v>
      </c>
      <c r="AE2" s="35" t="s">
        <v>54</v>
      </c>
      <c r="AF2" s="35">
        <v>44.0</v>
      </c>
      <c r="AG2" s="35" t="s">
        <v>12</v>
      </c>
      <c r="AH2" s="35">
        <v>3.0</v>
      </c>
      <c r="AI2" s="35" t="s">
        <v>12</v>
      </c>
      <c r="AJ2" s="35">
        <v>4.0</v>
      </c>
      <c r="AK2" s="35" t="s">
        <v>12</v>
      </c>
      <c r="AL2" s="35">
        <v>8.0</v>
      </c>
      <c r="AM2" s="35" t="s">
        <v>12</v>
      </c>
      <c r="AN2" s="35">
        <v>7.0</v>
      </c>
    </row>
    <row r="3">
      <c r="A3" s="35" t="s">
        <v>16</v>
      </c>
      <c r="B3" s="35">
        <v>13.0</v>
      </c>
      <c r="C3" s="35" t="s">
        <v>16</v>
      </c>
      <c r="D3" s="35">
        <v>25.0</v>
      </c>
      <c r="E3" s="35" t="s">
        <v>16</v>
      </c>
      <c r="F3" s="35">
        <v>18.0</v>
      </c>
      <c r="G3" s="35" t="s">
        <v>71</v>
      </c>
      <c r="H3" s="35">
        <v>22.0</v>
      </c>
      <c r="I3" s="35" t="s">
        <v>16</v>
      </c>
      <c r="J3" s="35">
        <v>16.0</v>
      </c>
      <c r="K3" s="35" t="s">
        <v>16</v>
      </c>
      <c r="L3" s="35">
        <v>16.0</v>
      </c>
      <c r="M3" s="35" t="s">
        <v>16</v>
      </c>
      <c r="N3" s="35">
        <v>18.0</v>
      </c>
      <c r="O3" s="35" t="s">
        <v>16</v>
      </c>
      <c r="P3" s="35">
        <v>22.0</v>
      </c>
      <c r="Q3" s="35" t="s">
        <v>16</v>
      </c>
      <c r="R3" s="35">
        <v>15.0</v>
      </c>
      <c r="S3" s="35" t="s">
        <v>71</v>
      </c>
      <c r="T3" s="35">
        <v>19.0</v>
      </c>
      <c r="U3" s="35" t="s">
        <v>16</v>
      </c>
      <c r="V3" s="35">
        <v>13.0</v>
      </c>
      <c r="W3" s="35" t="s">
        <v>16</v>
      </c>
      <c r="X3" s="35">
        <v>17.0</v>
      </c>
      <c r="Y3" s="35" t="s">
        <v>16</v>
      </c>
      <c r="Z3" s="35">
        <v>12.0</v>
      </c>
      <c r="AA3" s="35" t="s">
        <v>16</v>
      </c>
      <c r="AB3" s="35">
        <v>18.0</v>
      </c>
      <c r="AC3" s="35" t="s">
        <v>16</v>
      </c>
      <c r="AD3" s="35">
        <v>20.0</v>
      </c>
      <c r="AE3" s="35" t="s">
        <v>71</v>
      </c>
      <c r="AF3" s="35">
        <v>23.0</v>
      </c>
      <c r="AG3" s="35" t="s">
        <v>16</v>
      </c>
      <c r="AH3" s="35">
        <v>19.0</v>
      </c>
      <c r="AI3" s="35" t="s">
        <v>16</v>
      </c>
      <c r="AJ3" s="35">
        <v>17.0</v>
      </c>
      <c r="AK3" s="35" t="s">
        <v>16</v>
      </c>
      <c r="AL3" s="35">
        <v>9.0</v>
      </c>
      <c r="AM3" s="35" t="s">
        <v>16</v>
      </c>
      <c r="AN3" s="35">
        <v>20.0</v>
      </c>
    </row>
    <row r="4">
      <c r="A4" s="35" t="s">
        <v>23</v>
      </c>
      <c r="B4" s="35">
        <v>3.0</v>
      </c>
      <c r="C4" s="35" t="s">
        <v>23</v>
      </c>
      <c r="D4" s="35">
        <v>7.0</v>
      </c>
      <c r="E4" s="35" t="s">
        <v>23</v>
      </c>
      <c r="F4" s="35">
        <v>10.0</v>
      </c>
      <c r="G4" s="8"/>
      <c r="H4" s="8"/>
      <c r="I4" s="35" t="s">
        <v>23</v>
      </c>
      <c r="J4" s="35">
        <v>5.0</v>
      </c>
      <c r="K4" s="35" t="s">
        <v>23</v>
      </c>
      <c r="L4" s="35">
        <v>2.0</v>
      </c>
      <c r="M4" s="35" t="s">
        <v>23</v>
      </c>
      <c r="N4" s="35">
        <v>6.0</v>
      </c>
      <c r="O4" s="35" t="s">
        <v>23</v>
      </c>
      <c r="P4" s="35">
        <v>11.0</v>
      </c>
      <c r="Q4" s="35" t="s">
        <v>23</v>
      </c>
      <c r="R4" s="35">
        <v>4.0</v>
      </c>
      <c r="S4" s="8"/>
      <c r="T4" s="8"/>
      <c r="U4" s="35" t="s">
        <v>23</v>
      </c>
      <c r="V4" s="35">
        <v>2.0</v>
      </c>
      <c r="W4" s="35" t="s">
        <v>23</v>
      </c>
      <c r="X4" s="35">
        <v>4.0</v>
      </c>
      <c r="Y4" s="35" t="s">
        <v>23</v>
      </c>
      <c r="Z4" s="35">
        <v>7.0</v>
      </c>
      <c r="AA4" s="35" t="s">
        <v>23</v>
      </c>
      <c r="AB4" s="35">
        <v>6.0</v>
      </c>
      <c r="AC4" s="35" t="s">
        <v>23</v>
      </c>
      <c r="AD4" s="35">
        <v>5.0</v>
      </c>
      <c r="AE4" s="35"/>
      <c r="AF4" s="35"/>
      <c r="AG4" s="35" t="s">
        <v>23</v>
      </c>
      <c r="AH4" s="35">
        <v>3.0</v>
      </c>
      <c r="AI4" s="35" t="s">
        <v>23</v>
      </c>
      <c r="AJ4" s="35">
        <v>7.0</v>
      </c>
      <c r="AK4" s="35" t="s">
        <v>23</v>
      </c>
      <c r="AL4" s="35">
        <v>4.0</v>
      </c>
      <c r="AM4" s="35" t="s">
        <v>23</v>
      </c>
      <c r="AN4" s="35">
        <v>8.0</v>
      </c>
    </row>
    <row r="5">
      <c r="A5" s="35" t="s">
        <v>47</v>
      </c>
      <c r="B5" s="35">
        <v>5.0</v>
      </c>
      <c r="C5" s="35" t="s">
        <v>47</v>
      </c>
      <c r="D5" s="35">
        <v>5.0</v>
      </c>
      <c r="E5" s="35" t="s">
        <v>47</v>
      </c>
      <c r="F5" s="35">
        <v>5.0</v>
      </c>
      <c r="G5" s="8"/>
      <c r="H5" s="69">
        <v>64.0</v>
      </c>
      <c r="I5" s="35" t="s">
        <v>47</v>
      </c>
      <c r="J5" s="35">
        <v>11.0</v>
      </c>
      <c r="K5" s="35" t="s">
        <v>47</v>
      </c>
      <c r="L5" s="35">
        <v>4.0</v>
      </c>
      <c r="M5" s="35" t="s">
        <v>47</v>
      </c>
      <c r="N5" s="35">
        <v>4.0</v>
      </c>
      <c r="O5" s="35" t="s">
        <v>47</v>
      </c>
      <c r="P5" s="35">
        <v>5.0</v>
      </c>
      <c r="Q5" s="35" t="s">
        <v>47</v>
      </c>
      <c r="R5" s="35">
        <v>6.0</v>
      </c>
      <c r="S5" s="8"/>
      <c r="T5" s="69">
        <v>61.0</v>
      </c>
      <c r="U5" s="35" t="s">
        <v>47</v>
      </c>
      <c r="V5" s="35">
        <v>10.0</v>
      </c>
      <c r="W5" s="35" t="s">
        <v>47</v>
      </c>
      <c r="X5" s="35">
        <v>5.0</v>
      </c>
      <c r="Y5" s="35" t="s">
        <v>47</v>
      </c>
      <c r="Z5" s="35">
        <v>5.0</v>
      </c>
      <c r="AA5" s="35" t="s">
        <v>47</v>
      </c>
      <c r="AB5" s="35">
        <v>5.0</v>
      </c>
      <c r="AC5" s="35" t="s">
        <v>47</v>
      </c>
      <c r="AD5" s="35">
        <v>6.0</v>
      </c>
      <c r="AE5" s="35"/>
      <c r="AF5" s="72">
        <v>67.0</v>
      </c>
      <c r="AG5" s="35" t="s">
        <v>47</v>
      </c>
      <c r="AH5" s="35">
        <v>9.0</v>
      </c>
      <c r="AI5" s="35" t="s">
        <v>47</v>
      </c>
      <c r="AJ5" s="35">
        <v>7.0</v>
      </c>
      <c r="AK5" s="35" t="s">
        <v>47</v>
      </c>
      <c r="AL5" s="35">
        <v>6.0</v>
      </c>
      <c r="AM5" s="35" t="s">
        <v>47</v>
      </c>
      <c r="AN5" s="35">
        <v>3.0</v>
      </c>
    </row>
    <row r="6">
      <c r="A6" s="35" t="s">
        <v>55</v>
      </c>
      <c r="B6" s="35">
        <v>9.0</v>
      </c>
      <c r="C6" s="35" t="s">
        <v>55</v>
      </c>
      <c r="D6" s="35">
        <v>8.0</v>
      </c>
      <c r="E6" s="35" t="s">
        <v>55</v>
      </c>
      <c r="F6" s="35">
        <v>21.0</v>
      </c>
      <c r="G6" s="8"/>
      <c r="H6" s="8"/>
      <c r="I6" s="35" t="s">
        <v>55</v>
      </c>
      <c r="J6" s="35">
        <v>16.0</v>
      </c>
      <c r="K6" s="35" t="s">
        <v>55</v>
      </c>
      <c r="L6" s="35">
        <v>16.0</v>
      </c>
      <c r="M6" s="35" t="s">
        <v>55</v>
      </c>
      <c r="N6" s="35">
        <v>7.0</v>
      </c>
      <c r="O6" s="35" t="s">
        <v>55</v>
      </c>
      <c r="P6" s="35">
        <v>9.0</v>
      </c>
      <c r="Q6" s="35" t="s">
        <v>55</v>
      </c>
      <c r="R6" s="35">
        <v>13.0</v>
      </c>
      <c r="S6" s="8"/>
      <c r="T6" s="8"/>
      <c r="U6" s="35" t="s">
        <v>55</v>
      </c>
      <c r="V6" s="35">
        <v>15.0</v>
      </c>
      <c r="W6" s="35" t="s">
        <v>55</v>
      </c>
      <c r="X6" s="35">
        <v>16.0</v>
      </c>
      <c r="Y6" s="35" t="s">
        <v>55</v>
      </c>
      <c r="Z6" s="35">
        <v>12.0</v>
      </c>
      <c r="AA6" s="35" t="s">
        <v>55</v>
      </c>
      <c r="AB6" s="35">
        <v>9.0</v>
      </c>
      <c r="AC6" s="35" t="s">
        <v>55</v>
      </c>
      <c r="AD6" s="35">
        <v>15.0</v>
      </c>
      <c r="AE6" s="35"/>
      <c r="AF6" s="35"/>
      <c r="AG6" s="35" t="s">
        <v>55</v>
      </c>
      <c r="AH6" s="35">
        <v>14.0</v>
      </c>
      <c r="AI6" s="35" t="s">
        <v>55</v>
      </c>
      <c r="AJ6" s="35">
        <v>16.0</v>
      </c>
      <c r="AK6" s="35" t="s">
        <v>55</v>
      </c>
      <c r="AL6" s="35">
        <v>10.0</v>
      </c>
      <c r="AM6" s="35" t="s">
        <v>55</v>
      </c>
      <c r="AN6" s="35">
        <v>8.0</v>
      </c>
    </row>
    <row r="7">
      <c r="A7" s="35" t="s">
        <v>57</v>
      </c>
      <c r="B7" s="35">
        <v>11.0</v>
      </c>
      <c r="C7" s="35" t="s">
        <v>57</v>
      </c>
      <c r="D7" s="35">
        <v>14.0</v>
      </c>
      <c r="E7" s="35" t="s">
        <v>57</v>
      </c>
      <c r="F7" s="35">
        <v>16.0</v>
      </c>
      <c r="G7" s="35" t="s">
        <v>66</v>
      </c>
      <c r="H7" s="35">
        <v>17.0</v>
      </c>
      <c r="I7" s="35" t="s">
        <v>57</v>
      </c>
      <c r="J7" s="35">
        <v>13.0</v>
      </c>
      <c r="K7" s="35" t="s">
        <v>57</v>
      </c>
      <c r="L7" s="35">
        <v>8.0</v>
      </c>
      <c r="M7" s="35" t="s">
        <v>57</v>
      </c>
      <c r="N7" s="35">
        <v>15.0</v>
      </c>
      <c r="O7" s="35" t="s">
        <v>57</v>
      </c>
      <c r="P7" s="35">
        <v>12.0</v>
      </c>
      <c r="Q7" s="35" t="s">
        <v>57</v>
      </c>
      <c r="R7" s="35">
        <v>15.0</v>
      </c>
      <c r="S7" s="35" t="s">
        <v>66</v>
      </c>
      <c r="T7" s="35">
        <v>18.0</v>
      </c>
      <c r="U7" s="35" t="s">
        <v>57</v>
      </c>
      <c r="V7" s="35">
        <v>17.0</v>
      </c>
      <c r="W7" s="35" t="s">
        <v>57</v>
      </c>
      <c r="X7" s="35">
        <v>8.0</v>
      </c>
      <c r="Y7" s="35" t="s">
        <v>57</v>
      </c>
      <c r="Z7" s="35">
        <v>18.0</v>
      </c>
      <c r="AA7" s="35" t="s">
        <v>57</v>
      </c>
      <c r="AB7" s="35">
        <v>10.0</v>
      </c>
      <c r="AC7" s="35" t="s">
        <v>57</v>
      </c>
      <c r="AD7" s="35">
        <v>13.0</v>
      </c>
      <c r="AE7" s="35" t="s">
        <v>66</v>
      </c>
      <c r="AF7" s="35">
        <v>23.0</v>
      </c>
      <c r="AG7" s="35" t="s">
        <v>57</v>
      </c>
      <c r="AH7" s="35">
        <v>13.0</v>
      </c>
      <c r="AI7" s="35" t="s">
        <v>57</v>
      </c>
      <c r="AJ7" s="35">
        <v>9.0</v>
      </c>
      <c r="AK7" s="35" t="s">
        <v>57</v>
      </c>
      <c r="AL7" s="35">
        <v>17.0</v>
      </c>
      <c r="AM7" s="35" t="s">
        <v>57</v>
      </c>
      <c r="AN7" s="35">
        <v>12.0</v>
      </c>
    </row>
    <row r="8">
      <c r="A8" s="35" t="s">
        <v>62</v>
      </c>
      <c r="B8" s="35">
        <v>8.0</v>
      </c>
      <c r="C8" s="35" t="s">
        <v>62</v>
      </c>
      <c r="D8" s="35">
        <v>6.0</v>
      </c>
      <c r="E8" s="35" t="s">
        <v>62</v>
      </c>
      <c r="F8" s="35">
        <v>2.0</v>
      </c>
      <c r="G8" s="35" t="s">
        <v>76</v>
      </c>
      <c r="H8" s="35">
        <v>10.0</v>
      </c>
      <c r="I8" s="35" t="s">
        <v>62</v>
      </c>
      <c r="J8" s="35">
        <v>7.0</v>
      </c>
      <c r="K8" s="35" t="s">
        <v>62</v>
      </c>
      <c r="L8" s="35">
        <v>11.0</v>
      </c>
      <c r="M8" s="35" t="s">
        <v>62</v>
      </c>
      <c r="N8" s="35">
        <v>8.0</v>
      </c>
      <c r="O8" s="35" t="s">
        <v>62</v>
      </c>
      <c r="P8" s="35">
        <v>8.0</v>
      </c>
      <c r="Q8" s="35" t="s">
        <v>62</v>
      </c>
      <c r="R8" s="35">
        <v>10.0</v>
      </c>
      <c r="S8" s="35" t="s">
        <v>76</v>
      </c>
      <c r="T8" s="35">
        <v>9.0</v>
      </c>
      <c r="U8" s="35" t="s">
        <v>62</v>
      </c>
      <c r="V8" s="35">
        <v>4.0</v>
      </c>
      <c r="W8" s="35" t="s">
        <v>62</v>
      </c>
      <c r="X8" s="35">
        <v>9.0</v>
      </c>
      <c r="Y8" s="35" t="s">
        <v>62</v>
      </c>
      <c r="Z8" s="35">
        <v>1.0</v>
      </c>
      <c r="AA8" s="35" t="s">
        <v>62</v>
      </c>
      <c r="AB8" s="35">
        <v>8.0</v>
      </c>
      <c r="AC8" s="35" t="s">
        <v>62</v>
      </c>
      <c r="AD8" s="35">
        <v>9.0</v>
      </c>
      <c r="AE8" s="35" t="s">
        <v>76</v>
      </c>
      <c r="AF8" s="35">
        <v>12.0</v>
      </c>
      <c r="AG8" s="35" t="s">
        <v>62</v>
      </c>
      <c r="AH8" s="35">
        <v>6.0</v>
      </c>
      <c r="AI8" s="35" t="s">
        <v>62</v>
      </c>
      <c r="AJ8" s="35">
        <v>10.0</v>
      </c>
      <c r="AK8" s="35" t="s">
        <v>62</v>
      </c>
      <c r="AL8" s="35">
        <v>3.0</v>
      </c>
      <c r="AM8" s="35" t="s">
        <v>62</v>
      </c>
      <c r="AN8" s="35">
        <v>5.0</v>
      </c>
    </row>
    <row r="9">
      <c r="A9" s="35" t="s">
        <v>5</v>
      </c>
      <c r="B9" s="35">
        <v>9.0</v>
      </c>
      <c r="C9" s="35" t="s">
        <v>5</v>
      </c>
      <c r="D9" s="35">
        <v>10.0</v>
      </c>
      <c r="E9" s="35" t="s">
        <v>5</v>
      </c>
      <c r="F9" s="35">
        <v>7.0</v>
      </c>
      <c r="G9" s="35" t="s">
        <v>100</v>
      </c>
      <c r="H9" s="35">
        <v>37.0</v>
      </c>
      <c r="I9" s="35" t="s">
        <v>5</v>
      </c>
      <c r="J9" s="35">
        <v>7.0</v>
      </c>
      <c r="K9" s="35" t="s">
        <v>5</v>
      </c>
      <c r="L9" s="35">
        <v>10.0</v>
      </c>
      <c r="M9" s="35" t="s">
        <v>5</v>
      </c>
      <c r="N9" s="35">
        <v>7.0</v>
      </c>
      <c r="O9" s="35" t="s">
        <v>5</v>
      </c>
      <c r="P9" s="35">
        <v>6.0</v>
      </c>
      <c r="Q9" s="35" t="s">
        <v>5</v>
      </c>
      <c r="R9" s="35">
        <v>15.0</v>
      </c>
      <c r="S9" s="35" t="s">
        <v>100</v>
      </c>
      <c r="T9" s="35">
        <v>34.0</v>
      </c>
      <c r="U9" s="35" t="s">
        <v>5</v>
      </c>
      <c r="V9" s="35">
        <v>7.0</v>
      </c>
      <c r="W9" s="35" t="s">
        <v>5</v>
      </c>
      <c r="X9" s="35">
        <v>11.0</v>
      </c>
      <c r="Y9" s="35" t="s">
        <v>5</v>
      </c>
      <c r="Z9" s="35">
        <v>10.0</v>
      </c>
      <c r="AA9" s="35" t="s">
        <v>5</v>
      </c>
      <c r="AB9" s="87">
        <v>17.0</v>
      </c>
      <c r="AC9" s="35" t="s">
        <v>5</v>
      </c>
      <c r="AD9" s="35">
        <v>15.0</v>
      </c>
      <c r="AE9" s="35" t="s">
        <v>100</v>
      </c>
      <c r="AF9" s="35">
        <v>34.0</v>
      </c>
      <c r="AG9" s="35" t="s">
        <v>5</v>
      </c>
      <c r="AH9" s="35">
        <v>5.0</v>
      </c>
      <c r="AI9" s="35" t="s">
        <v>5</v>
      </c>
      <c r="AJ9" s="35">
        <v>12.0</v>
      </c>
      <c r="AK9" s="35" t="s">
        <v>5</v>
      </c>
      <c r="AL9" s="35">
        <v>12.0</v>
      </c>
      <c r="AM9" s="35" t="s">
        <v>5</v>
      </c>
      <c r="AN9" s="35">
        <v>9.0</v>
      </c>
    </row>
    <row r="10">
      <c r="A10" s="35" t="s">
        <v>32</v>
      </c>
      <c r="B10" s="35">
        <v>12.0</v>
      </c>
      <c r="C10" s="35" t="s">
        <v>32</v>
      </c>
      <c r="D10" s="35">
        <v>6.0</v>
      </c>
      <c r="E10" s="35" t="s">
        <v>32</v>
      </c>
      <c r="F10" s="35">
        <v>12.0</v>
      </c>
      <c r="I10" s="35" t="s">
        <v>32</v>
      </c>
      <c r="J10" s="35">
        <v>3.0</v>
      </c>
      <c r="K10" s="35" t="s">
        <v>32</v>
      </c>
      <c r="L10" s="35">
        <v>11.0</v>
      </c>
      <c r="M10" s="35" t="s">
        <v>32</v>
      </c>
      <c r="N10" s="35">
        <v>6.0</v>
      </c>
      <c r="O10" s="35" t="s">
        <v>32</v>
      </c>
      <c r="P10" s="35">
        <v>5.0</v>
      </c>
      <c r="Q10" s="35" t="s">
        <v>32</v>
      </c>
      <c r="R10" s="35">
        <v>5.0</v>
      </c>
      <c r="S10" s="8"/>
      <c r="T10" s="8"/>
      <c r="U10" s="35" t="s">
        <v>32</v>
      </c>
      <c r="V10" s="35">
        <v>6.0</v>
      </c>
      <c r="W10" s="35" t="s">
        <v>32</v>
      </c>
      <c r="X10" s="35">
        <v>8.0</v>
      </c>
      <c r="Y10" s="35" t="s">
        <v>32</v>
      </c>
      <c r="Z10" s="35">
        <v>8.0</v>
      </c>
      <c r="AA10" s="35" t="s">
        <v>32</v>
      </c>
      <c r="AB10" s="87">
        <v>6.0</v>
      </c>
      <c r="AC10" s="35" t="s">
        <v>32</v>
      </c>
      <c r="AD10" s="35">
        <v>4.0</v>
      </c>
      <c r="AE10" s="35"/>
      <c r="AF10" s="35"/>
      <c r="AG10" s="87" t="s">
        <v>32</v>
      </c>
      <c r="AH10" s="35">
        <v>8.0</v>
      </c>
      <c r="AI10" s="35" t="s">
        <v>32</v>
      </c>
      <c r="AJ10" s="35">
        <v>8.0</v>
      </c>
      <c r="AK10" s="35" t="s">
        <v>32</v>
      </c>
      <c r="AL10" s="35">
        <v>5.0</v>
      </c>
      <c r="AM10" s="35" t="s">
        <v>32</v>
      </c>
      <c r="AN10" s="35">
        <v>10.0</v>
      </c>
    </row>
    <row r="11">
      <c r="A11" s="8"/>
      <c r="B11" s="8"/>
      <c r="C11" s="8"/>
      <c r="D11" s="8"/>
      <c r="E11" s="8"/>
      <c r="F11" s="8"/>
      <c r="H11" s="183">
        <v>64.0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69">
        <v>61.0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69">
        <v>69.0</v>
      </c>
      <c r="AG11" s="69"/>
      <c r="AH11" s="69"/>
      <c r="AI11" s="69"/>
      <c r="AJ11" s="69"/>
      <c r="AK11" s="69"/>
      <c r="AL11" s="69"/>
      <c r="AM11" s="69"/>
      <c r="AN11" s="69"/>
    </row>
    <row r="12">
      <c r="A12" s="8"/>
      <c r="B12" s="69">
        <v>75.0</v>
      </c>
      <c r="C12" s="8"/>
      <c r="D12" s="69">
        <v>83.0</v>
      </c>
      <c r="E12" s="8"/>
      <c r="F12" s="69">
        <v>101.0</v>
      </c>
      <c r="I12" s="8"/>
      <c r="J12" s="69">
        <v>84.0</v>
      </c>
      <c r="K12" s="8"/>
      <c r="L12" s="69">
        <v>84.0</v>
      </c>
      <c r="M12" s="8"/>
      <c r="N12" s="69">
        <v>74.0</v>
      </c>
      <c r="O12" s="8"/>
      <c r="P12" s="69">
        <v>87.0</v>
      </c>
      <c r="Q12" s="8"/>
      <c r="R12" s="69">
        <v>94.0</v>
      </c>
      <c r="U12" s="8"/>
      <c r="V12" s="69">
        <v>77.0</v>
      </c>
      <c r="W12" s="8"/>
      <c r="X12" s="69">
        <v>84.0</v>
      </c>
      <c r="Y12" s="8"/>
      <c r="Z12" s="69">
        <v>78.0</v>
      </c>
      <c r="AA12" s="69"/>
      <c r="AB12" s="69">
        <v>86.0</v>
      </c>
      <c r="AC12" s="69"/>
      <c r="AD12" s="69">
        <v>97.0</v>
      </c>
      <c r="AE12" s="92"/>
      <c r="AF12" s="92"/>
      <c r="AG12" s="69"/>
      <c r="AH12" s="69">
        <v>80.0</v>
      </c>
      <c r="AI12" s="69"/>
      <c r="AJ12" s="69">
        <v>90.0</v>
      </c>
      <c r="AK12" s="69"/>
      <c r="AL12" s="69">
        <v>74.0</v>
      </c>
      <c r="AM12" s="69"/>
      <c r="AN12" s="69">
        <v>82.0</v>
      </c>
    </row>
    <row r="13">
      <c r="A13" s="8"/>
      <c r="B13" s="8"/>
      <c r="C13" s="8"/>
      <c r="D13" s="8"/>
      <c r="E13" s="8"/>
      <c r="F13" s="8"/>
      <c r="I13" s="8"/>
      <c r="J13" s="8"/>
      <c r="K13" s="8"/>
      <c r="L13" s="8"/>
      <c r="M13" s="8"/>
      <c r="N13" s="8"/>
      <c r="O13" s="8"/>
      <c r="P13" s="8"/>
      <c r="Q13" s="8"/>
      <c r="R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3"/>
      <c r="AF13" s="93"/>
      <c r="AG13" s="8"/>
      <c r="AH13" s="8"/>
      <c r="AI13" s="8"/>
      <c r="AJ13" s="8"/>
      <c r="AK13" s="8"/>
      <c r="AL13" s="8"/>
      <c r="AM13" s="8"/>
      <c r="AN13" s="8"/>
    </row>
    <row r="14">
      <c r="A14" s="35" t="s">
        <v>78</v>
      </c>
      <c r="B14" s="35">
        <v>10.0</v>
      </c>
      <c r="C14" s="35" t="s">
        <v>78</v>
      </c>
      <c r="D14" s="35">
        <v>14.0</v>
      </c>
      <c r="E14" s="35" t="s">
        <v>78</v>
      </c>
      <c r="F14" s="35">
        <v>12.0</v>
      </c>
      <c r="I14" s="35" t="s">
        <v>78</v>
      </c>
      <c r="J14" s="35">
        <v>22.0</v>
      </c>
      <c r="K14" s="35" t="s">
        <v>78</v>
      </c>
      <c r="L14" s="35">
        <v>12.0</v>
      </c>
      <c r="M14" s="35" t="s">
        <v>78</v>
      </c>
      <c r="N14" s="35">
        <v>12.0</v>
      </c>
      <c r="O14" s="35" t="s">
        <v>78</v>
      </c>
      <c r="P14" s="35">
        <v>12.0</v>
      </c>
      <c r="Q14" s="35" t="s">
        <v>78</v>
      </c>
      <c r="R14" s="35">
        <v>18.0</v>
      </c>
      <c r="U14" s="35" t="s">
        <v>78</v>
      </c>
      <c r="V14" s="35">
        <v>18.0</v>
      </c>
      <c r="W14" s="35" t="s">
        <v>78</v>
      </c>
      <c r="X14" s="35">
        <v>22.0</v>
      </c>
      <c r="Y14" s="35" t="s">
        <v>78</v>
      </c>
      <c r="Z14" s="35">
        <v>7.0</v>
      </c>
      <c r="AA14" s="35" t="s">
        <v>78</v>
      </c>
      <c r="AB14" s="35">
        <v>15.0</v>
      </c>
      <c r="AC14" s="35" t="s">
        <v>78</v>
      </c>
      <c r="AD14" s="35">
        <v>16.0</v>
      </c>
      <c r="AE14" s="95"/>
      <c r="AF14" s="95"/>
      <c r="AG14" s="35" t="s">
        <v>78</v>
      </c>
      <c r="AH14" s="35">
        <v>17.0</v>
      </c>
      <c r="AI14" s="35" t="s">
        <v>78</v>
      </c>
      <c r="AJ14" s="35">
        <v>25.0</v>
      </c>
      <c r="AK14" s="35" t="s">
        <v>78</v>
      </c>
      <c r="AL14" s="35">
        <v>11.0</v>
      </c>
      <c r="AM14" s="35" t="s">
        <v>78</v>
      </c>
      <c r="AN14" s="35">
        <v>14.0</v>
      </c>
    </row>
    <row r="15">
      <c r="A15" s="35" t="s">
        <v>87</v>
      </c>
      <c r="B15" s="35">
        <v>15.0</v>
      </c>
      <c r="C15" s="35" t="s">
        <v>87</v>
      </c>
      <c r="D15" s="35">
        <v>15.0</v>
      </c>
      <c r="E15" s="35" t="s">
        <v>87</v>
      </c>
      <c r="F15" s="35">
        <v>25.0</v>
      </c>
      <c r="I15" s="35" t="s">
        <v>87</v>
      </c>
      <c r="J15" s="35">
        <v>21.0</v>
      </c>
      <c r="K15" s="35" t="s">
        <v>87</v>
      </c>
      <c r="L15" s="35">
        <v>32.0</v>
      </c>
      <c r="M15" s="35" t="s">
        <v>87</v>
      </c>
      <c r="N15" s="35">
        <v>19.0</v>
      </c>
      <c r="O15" s="35" t="s">
        <v>87</v>
      </c>
      <c r="P15" s="35">
        <v>20.0</v>
      </c>
      <c r="Q15" s="35" t="s">
        <v>87</v>
      </c>
      <c r="R15" s="35">
        <v>20.0</v>
      </c>
      <c r="U15" s="35" t="s">
        <v>87</v>
      </c>
      <c r="V15" s="35">
        <v>21.0</v>
      </c>
      <c r="W15" s="35" t="s">
        <v>87</v>
      </c>
      <c r="X15" s="35">
        <v>19.0</v>
      </c>
      <c r="Y15" s="35" t="s">
        <v>87</v>
      </c>
      <c r="Z15" s="35">
        <v>27.0</v>
      </c>
      <c r="AA15" s="35" t="s">
        <v>87</v>
      </c>
      <c r="AB15" s="35">
        <v>19.0</v>
      </c>
      <c r="AC15" s="35" t="s">
        <v>87</v>
      </c>
      <c r="AD15" s="35">
        <v>26.0</v>
      </c>
      <c r="AE15" s="95"/>
      <c r="AF15" s="95"/>
      <c r="AG15" s="35" t="s">
        <v>87</v>
      </c>
      <c r="AH15" s="35">
        <v>21.0</v>
      </c>
      <c r="AI15" s="35" t="s">
        <v>87</v>
      </c>
      <c r="AJ15" s="35">
        <v>17.0</v>
      </c>
      <c r="AK15" s="35" t="s">
        <v>87</v>
      </c>
      <c r="AL15" s="35">
        <v>17.0</v>
      </c>
      <c r="AM15" s="35" t="s">
        <v>87</v>
      </c>
      <c r="AN15" s="35">
        <v>19.0</v>
      </c>
    </row>
    <row r="16">
      <c r="A16" s="35" t="s">
        <v>65</v>
      </c>
      <c r="B16" s="35">
        <v>16.0</v>
      </c>
      <c r="C16" s="35" t="s">
        <v>65</v>
      </c>
      <c r="D16" s="35">
        <v>14.0</v>
      </c>
      <c r="E16" s="35" t="s">
        <v>65</v>
      </c>
      <c r="F16" s="35">
        <v>15.0</v>
      </c>
      <c r="I16" s="35" t="s">
        <v>65</v>
      </c>
      <c r="J16" s="35">
        <v>15.0</v>
      </c>
      <c r="K16" s="35" t="s">
        <v>65</v>
      </c>
      <c r="L16" s="35">
        <v>10.0</v>
      </c>
      <c r="M16" s="35" t="s">
        <v>65</v>
      </c>
      <c r="N16" s="35">
        <v>12.0</v>
      </c>
      <c r="O16" s="35" t="s">
        <v>65</v>
      </c>
      <c r="P16" s="35">
        <v>12.0</v>
      </c>
      <c r="Q16" s="35" t="s">
        <v>65</v>
      </c>
      <c r="R16" s="35">
        <v>13.0</v>
      </c>
      <c r="U16" s="35" t="s">
        <v>65</v>
      </c>
      <c r="V16" s="35">
        <v>9.0</v>
      </c>
      <c r="W16" s="35" t="s">
        <v>65</v>
      </c>
      <c r="X16" s="35">
        <v>7.0</v>
      </c>
      <c r="Y16" s="35" t="s">
        <v>65</v>
      </c>
      <c r="Z16" s="35">
        <v>12.0</v>
      </c>
      <c r="AA16" s="35" t="s">
        <v>65</v>
      </c>
      <c r="AB16" s="35">
        <v>7.0</v>
      </c>
      <c r="AC16" s="35" t="s">
        <v>65</v>
      </c>
      <c r="AD16" s="35">
        <v>15.0</v>
      </c>
      <c r="AE16" s="95"/>
      <c r="AF16" s="95"/>
      <c r="AG16" s="35" t="s">
        <v>65</v>
      </c>
      <c r="AH16" s="35">
        <v>13.0</v>
      </c>
      <c r="AI16" s="35" t="s">
        <v>65</v>
      </c>
      <c r="AJ16" s="35">
        <v>7.0</v>
      </c>
      <c r="AK16" s="35" t="s">
        <v>65</v>
      </c>
      <c r="AL16" s="35">
        <v>6.0</v>
      </c>
      <c r="AM16" s="35" t="s">
        <v>65</v>
      </c>
      <c r="AN16" s="35">
        <v>8.0</v>
      </c>
    </row>
    <row r="17">
      <c r="A17" s="35" t="s">
        <v>85</v>
      </c>
      <c r="B17" s="35">
        <v>4.0</v>
      </c>
      <c r="C17" s="35" t="s">
        <v>85</v>
      </c>
      <c r="D17" s="35">
        <v>7.0</v>
      </c>
      <c r="E17" s="35" t="s">
        <v>85</v>
      </c>
      <c r="F17" s="35">
        <v>7.0</v>
      </c>
      <c r="I17" s="35" t="s">
        <v>85</v>
      </c>
      <c r="J17" s="35">
        <v>7.0</v>
      </c>
      <c r="K17" s="35" t="s">
        <v>85</v>
      </c>
      <c r="L17" s="35">
        <v>5.0</v>
      </c>
      <c r="M17" s="35" t="s">
        <v>85</v>
      </c>
      <c r="N17" s="35">
        <v>7.0</v>
      </c>
      <c r="O17" s="35" t="s">
        <v>85</v>
      </c>
      <c r="P17" s="35">
        <v>7.0</v>
      </c>
      <c r="Q17" s="35" t="s">
        <v>85</v>
      </c>
      <c r="R17" s="35">
        <v>8.0</v>
      </c>
      <c r="U17" s="35" t="s">
        <v>85</v>
      </c>
      <c r="V17" s="35">
        <v>7.0</v>
      </c>
      <c r="W17" s="35" t="s">
        <v>85</v>
      </c>
      <c r="X17" s="35">
        <v>10.0</v>
      </c>
      <c r="Y17" s="35" t="s">
        <v>85</v>
      </c>
      <c r="Z17" s="35">
        <v>9.0</v>
      </c>
      <c r="AA17" s="35" t="s">
        <v>85</v>
      </c>
      <c r="AB17" s="35">
        <v>6.0</v>
      </c>
      <c r="AC17" s="35" t="s">
        <v>85</v>
      </c>
      <c r="AD17" s="35">
        <v>6.0</v>
      </c>
      <c r="AE17" s="95"/>
      <c r="AF17" s="95"/>
      <c r="AG17" s="35" t="s">
        <v>85</v>
      </c>
      <c r="AH17" s="35">
        <v>10.0</v>
      </c>
      <c r="AI17" s="35" t="s">
        <v>85</v>
      </c>
      <c r="AJ17" s="35">
        <v>9.0</v>
      </c>
      <c r="AK17" s="35" t="s">
        <v>85</v>
      </c>
      <c r="AL17" s="35">
        <v>13.0</v>
      </c>
      <c r="AM17" s="35" t="s">
        <v>85</v>
      </c>
      <c r="AN17" s="35">
        <v>5.0</v>
      </c>
    </row>
    <row r="18">
      <c r="A18" s="35" t="s">
        <v>105</v>
      </c>
      <c r="B18" s="35">
        <v>14.0</v>
      </c>
      <c r="C18" s="35" t="s">
        <v>105</v>
      </c>
      <c r="D18" s="35">
        <v>23.0</v>
      </c>
      <c r="E18" s="35" t="s">
        <v>105</v>
      </c>
      <c r="F18" s="35">
        <v>22.0</v>
      </c>
      <c r="I18" s="35" t="s">
        <v>105</v>
      </c>
      <c r="J18" s="35">
        <v>10.0</v>
      </c>
      <c r="K18" s="35" t="s">
        <v>105</v>
      </c>
      <c r="L18" s="35">
        <v>16.0</v>
      </c>
      <c r="M18" s="35" t="s">
        <v>105</v>
      </c>
      <c r="N18" s="35">
        <v>12.0</v>
      </c>
      <c r="O18" s="35" t="s">
        <v>105</v>
      </c>
      <c r="P18" s="35">
        <v>17.0</v>
      </c>
      <c r="Q18" s="35" t="s">
        <v>105</v>
      </c>
      <c r="R18" s="35">
        <v>12.0</v>
      </c>
      <c r="U18" s="35" t="s">
        <v>105</v>
      </c>
      <c r="V18" s="35">
        <v>16.0</v>
      </c>
      <c r="W18" s="35" t="s">
        <v>105</v>
      </c>
      <c r="X18" s="35">
        <v>15.0</v>
      </c>
      <c r="Y18" s="35" t="s">
        <v>105</v>
      </c>
      <c r="Z18" s="35">
        <v>6.0</v>
      </c>
      <c r="AA18" s="35" t="s">
        <v>105</v>
      </c>
      <c r="AB18" s="35">
        <v>20.0</v>
      </c>
      <c r="AC18" s="35" t="s">
        <v>105</v>
      </c>
      <c r="AD18" s="35">
        <v>21.0</v>
      </c>
      <c r="AE18" s="95"/>
      <c r="AF18" s="95"/>
      <c r="AG18" s="35" t="s">
        <v>105</v>
      </c>
      <c r="AH18" s="35">
        <v>10.0</v>
      </c>
      <c r="AI18" s="35" t="s">
        <v>105</v>
      </c>
      <c r="AJ18" s="35">
        <v>14.0</v>
      </c>
      <c r="AK18" s="35" t="s">
        <v>105</v>
      </c>
      <c r="AL18" s="35">
        <v>14.0</v>
      </c>
      <c r="AM18" s="35" t="s">
        <v>105</v>
      </c>
      <c r="AN18" s="35">
        <v>18.0</v>
      </c>
    </row>
    <row r="19">
      <c r="A19" s="35" t="s">
        <v>95</v>
      </c>
      <c r="B19" s="35">
        <v>6.0</v>
      </c>
      <c r="C19" s="35" t="s">
        <v>95</v>
      </c>
      <c r="D19" s="35">
        <v>5.0</v>
      </c>
      <c r="E19" s="35" t="s">
        <v>95</v>
      </c>
      <c r="F19" s="35">
        <v>6.0</v>
      </c>
      <c r="I19" s="35" t="s">
        <v>95</v>
      </c>
      <c r="J19" s="35">
        <v>7.0</v>
      </c>
      <c r="K19" s="35" t="s">
        <v>95</v>
      </c>
      <c r="L19" s="35">
        <v>5.0</v>
      </c>
      <c r="M19" s="35" t="s">
        <v>95</v>
      </c>
      <c r="N19" s="35">
        <v>5.0</v>
      </c>
      <c r="O19" s="35" t="s">
        <v>95</v>
      </c>
      <c r="P19" s="35">
        <v>9.0</v>
      </c>
      <c r="Q19" s="35" t="s">
        <v>95</v>
      </c>
      <c r="R19" s="35">
        <v>5.0</v>
      </c>
      <c r="U19" s="35" t="s">
        <v>95</v>
      </c>
      <c r="V19" s="35">
        <v>2.0</v>
      </c>
      <c r="W19" s="35" t="s">
        <v>95</v>
      </c>
      <c r="X19" s="35">
        <v>3.0</v>
      </c>
      <c r="Y19" s="35" t="s">
        <v>95</v>
      </c>
      <c r="Z19" s="35">
        <v>4.0</v>
      </c>
      <c r="AA19" s="35" t="s">
        <v>95</v>
      </c>
      <c r="AB19" s="35">
        <v>8.0</v>
      </c>
      <c r="AC19" s="35" t="s">
        <v>95</v>
      </c>
      <c r="AD19" s="35">
        <v>4.0</v>
      </c>
      <c r="AE19" s="95"/>
      <c r="AF19" s="95"/>
      <c r="AG19" s="35" t="s">
        <v>95</v>
      </c>
      <c r="AH19" s="35">
        <v>4.0</v>
      </c>
      <c r="AI19" s="35" t="s">
        <v>95</v>
      </c>
      <c r="AJ19" s="35">
        <v>9.0</v>
      </c>
      <c r="AK19" s="35" t="s">
        <v>95</v>
      </c>
      <c r="AL19" s="35">
        <v>6.0</v>
      </c>
      <c r="AM19" s="35" t="s">
        <v>95</v>
      </c>
      <c r="AN19" s="35">
        <v>7.0</v>
      </c>
    </row>
    <row r="20">
      <c r="A20" s="35" t="s">
        <v>117</v>
      </c>
      <c r="B20" s="35">
        <v>10.0</v>
      </c>
      <c r="C20" s="35" t="s">
        <v>117</v>
      </c>
      <c r="D20" s="35">
        <v>4.0</v>
      </c>
      <c r="E20" s="35" t="s">
        <v>117</v>
      </c>
      <c r="F20" s="35">
        <v>13.0</v>
      </c>
      <c r="I20" s="35" t="s">
        <v>117</v>
      </c>
      <c r="J20" s="35">
        <v>3.0</v>
      </c>
      <c r="K20" s="35" t="s">
        <v>117</v>
      </c>
      <c r="L20" s="35">
        <v>2.0</v>
      </c>
      <c r="M20" s="35" t="s">
        <v>117</v>
      </c>
      <c r="N20" s="35">
        <v>8.0</v>
      </c>
      <c r="O20" s="35" t="s">
        <v>117</v>
      </c>
      <c r="P20" s="35">
        <v>10.0</v>
      </c>
      <c r="Q20" s="35" t="s">
        <v>117</v>
      </c>
      <c r="R20" s="35">
        <v>17.0</v>
      </c>
      <c r="U20" s="35" t="s">
        <v>117</v>
      </c>
      <c r="V20" s="35">
        <v>4.0</v>
      </c>
      <c r="W20" s="35" t="s">
        <v>117</v>
      </c>
      <c r="X20" s="35">
        <v>4.0</v>
      </c>
      <c r="Y20" s="35" t="s">
        <v>117</v>
      </c>
      <c r="Z20" s="35">
        <v>11.0</v>
      </c>
      <c r="AA20" s="35" t="s">
        <v>117</v>
      </c>
      <c r="AB20" s="35">
        <v>6.0</v>
      </c>
      <c r="AC20" s="35" t="s">
        <v>117</v>
      </c>
      <c r="AD20" s="35">
        <v>9.0</v>
      </c>
      <c r="AE20" s="95"/>
      <c r="AF20" s="95"/>
      <c r="AG20" s="35" t="s">
        <v>117</v>
      </c>
      <c r="AH20" s="35">
        <v>3.0</v>
      </c>
      <c r="AI20" s="35" t="s">
        <v>117</v>
      </c>
      <c r="AJ20" s="35">
        <v>5.0</v>
      </c>
      <c r="AK20" s="35" t="s">
        <v>117</v>
      </c>
      <c r="AL20" s="35">
        <v>6.0</v>
      </c>
      <c r="AM20" s="35" t="s">
        <v>117</v>
      </c>
      <c r="AN20" s="35">
        <v>7.0</v>
      </c>
    </row>
    <row r="21">
      <c r="A21" s="8"/>
      <c r="B21" s="8"/>
      <c r="C21" s="8"/>
      <c r="D21" s="8"/>
      <c r="E21" s="8"/>
      <c r="F21" s="8"/>
      <c r="I21" s="8"/>
      <c r="J21" s="8"/>
      <c r="K21" s="8"/>
      <c r="L21" s="8"/>
      <c r="M21" s="8"/>
      <c r="N21" s="8"/>
      <c r="O21" s="8"/>
      <c r="P21" s="8"/>
      <c r="Q21" s="8"/>
      <c r="R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93"/>
      <c r="AF21" s="93"/>
      <c r="AG21" s="8"/>
      <c r="AH21" s="8"/>
      <c r="AI21" s="8"/>
      <c r="AJ21" s="8"/>
      <c r="AK21" s="8"/>
      <c r="AL21" s="8"/>
      <c r="AM21" s="8"/>
      <c r="AN21" s="8"/>
    </row>
    <row r="22">
      <c r="A22" s="8"/>
      <c r="B22" s="69">
        <v>75.0</v>
      </c>
      <c r="C22" s="8"/>
      <c r="D22" s="69">
        <v>82.0</v>
      </c>
      <c r="E22" s="8"/>
      <c r="F22" s="69">
        <v>100.0</v>
      </c>
      <c r="I22" s="8"/>
      <c r="J22" s="69">
        <v>85.0</v>
      </c>
      <c r="K22" s="8"/>
      <c r="L22" s="69">
        <v>82.0</v>
      </c>
      <c r="M22" s="8"/>
      <c r="N22" s="69">
        <v>75.0</v>
      </c>
      <c r="O22" s="8"/>
      <c r="P22" s="69">
        <v>87.0</v>
      </c>
      <c r="Q22" s="8"/>
      <c r="R22" s="69">
        <v>93.0</v>
      </c>
      <c r="U22" s="8"/>
      <c r="V22" s="69">
        <v>77.0</v>
      </c>
      <c r="W22" s="8"/>
      <c r="X22" s="69">
        <v>80.0</v>
      </c>
      <c r="Y22" s="8"/>
      <c r="Z22" s="69">
        <v>76.0</v>
      </c>
      <c r="AA22" s="69"/>
      <c r="AB22" s="69">
        <v>81.0</v>
      </c>
      <c r="AC22" s="69"/>
      <c r="AD22" s="69">
        <v>97.0</v>
      </c>
      <c r="AE22" s="92"/>
      <c r="AF22" s="92"/>
      <c r="AG22" s="69"/>
      <c r="AH22" s="69">
        <v>78.0</v>
      </c>
      <c r="AI22" s="69"/>
      <c r="AJ22" s="69">
        <v>86.0</v>
      </c>
      <c r="AK22" s="69"/>
      <c r="AL22" s="69">
        <v>73.0</v>
      </c>
      <c r="AM22" s="69"/>
      <c r="AN22" s="69">
        <v>78.0</v>
      </c>
    </row>
    <row r="23">
      <c r="A23" s="8"/>
      <c r="B23" s="8"/>
      <c r="C23" s="8"/>
      <c r="D23" s="8"/>
      <c r="E23" s="8"/>
      <c r="F23" s="8"/>
      <c r="I23" s="8"/>
      <c r="J23" s="8"/>
      <c r="K23" s="8"/>
      <c r="L23" s="8"/>
      <c r="M23" s="8"/>
      <c r="N23" s="8"/>
      <c r="O23" s="8"/>
      <c r="P23" s="8"/>
      <c r="Q23" s="8"/>
      <c r="R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93"/>
      <c r="AF23" s="93"/>
      <c r="AG23" s="8"/>
      <c r="AH23" s="8"/>
      <c r="AI23" s="8"/>
      <c r="AJ23" s="8"/>
      <c r="AK23" s="8"/>
      <c r="AL23" s="8"/>
      <c r="AM23" s="8"/>
      <c r="AN23" s="8"/>
    </row>
    <row r="24">
      <c r="A24" s="35" t="s">
        <v>335</v>
      </c>
      <c r="B24" s="35">
        <v>4.0</v>
      </c>
      <c r="C24" s="35" t="s">
        <v>335</v>
      </c>
      <c r="D24" s="35">
        <v>7.0</v>
      </c>
      <c r="E24" s="35" t="s">
        <v>336</v>
      </c>
      <c r="F24" s="35">
        <v>1.0</v>
      </c>
      <c r="I24" s="35" t="s">
        <v>335</v>
      </c>
      <c r="J24" s="35">
        <v>4.0</v>
      </c>
      <c r="K24" s="35" t="s">
        <v>336</v>
      </c>
      <c r="L24" s="35">
        <v>1.0</v>
      </c>
      <c r="M24" s="35" t="s">
        <v>336</v>
      </c>
      <c r="N24" s="35">
        <v>1.0</v>
      </c>
      <c r="O24" s="35" t="s">
        <v>335</v>
      </c>
      <c r="P24" s="35">
        <v>5.0</v>
      </c>
      <c r="Q24" s="35" t="s">
        <v>337</v>
      </c>
      <c r="R24" s="35">
        <v>1.0</v>
      </c>
      <c r="U24" s="35" t="s">
        <v>336</v>
      </c>
      <c r="V24" s="35">
        <v>2.0</v>
      </c>
      <c r="W24" s="35" t="s">
        <v>337</v>
      </c>
      <c r="X24" s="35">
        <v>1.0</v>
      </c>
      <c r="Y24" s="35" t="s">
        <v>336</v>
      </c>
      <c r="Z24" s="35">
        <v>2.0</v>
      </c>
      <c r="AA24" s="35" t="s">
        <v>336</v>
      </c>
      <c r="AB24" s="35">
        <v>1.0</v>
      </c>
      <c r="AC24" s="35" t="s">
        <v>336</v>
      </c>
      <c r="AD24" s="35">
        <v>1.0</v>
      </c>
      <c r="AE24" s="95"/>
      <c r="AF24" s="95"/>
      <c r="AG24" s="35" t="s">
        <v>336</v>
      </c>
      <c r="AH24" s="35">
        <v>1.0</v>
      </c>
      <c r="AI24" s="35" t="s">
        <v>336</v>
      </c>
      <c r="AJ24" s="35">
        <v>2.0</v>
      </c>
      <c r="AK24" s="35" t="s">
        <v>336</v>
      </c>
      <c r="AL24" s="35">
        <v>3.0</v>
      </c>
      <c r="AM24" s="35" t="s">
        <v>335</v>
      </c>
      <c r="AN24" s="35">
        <v>4.0</v>
      </c>
    </row>
    <row r="25">
      <c r="A25" s="35" t="s">
        <v>340</v>
      </c>
      <c r="B25" s="35">
        <v>2.0</v>
      </c>
      <c r="C25" s="35" t="s">
        <v>340</v>
      </c>
      <c r="D25" s="35">
        <v>1.0</v>
      </c>
      <c r="E25" s="35" t="s">
        <v>335</v>
      </c>
      <c r="F25" s="35">
        <v>5.0</v>
      </c>
      <c r="I25" s="35" t="s">
        <v>340</v>
      </c>
      <c r="J25" s="35">
        <v>6.0</v>
      </c>
      <c r="K25" s="35" t="s">
        <v>335</v>
      </c>
      <c r="L25" s="35">
        <v>3.0</v>
      </c>
      <c r="M25" s="35" t="s">
        <v>337</v>
      </c>
      <c r="N25" s="35">
        <v>1.0</v>
      </c>
      <c r="O25" s="35" t="s">
        <v>340</v>
      </c>
      <c r="P25" s="35">
        <v>3.0</v>
      </c>
      <c r="Q25" s="35" t="s">
        <v>335</v>
      </c>
      <c r="R25" s="35">
        <v>6.0</v>
      </c>
      <c r="U25" s="35" t="s">
        <v>335</v>
      </c>
      <c r="V25" s="35">
        <v>2.0</v>
      </c>
      <c r="W25" s="35" t="s">
        <v>335</v>
      </c>
      <c r="X25" s="35">
        <v>4.0</v>
      </c>
      <c r="Y25" s="35" t="s">
        <v>335</v>
      </c>
      <c r="Z25" s="35">
        <v>1.0</v>
      </c>
      <c r="AA25" s="35" t="s">
        <v>337</v>
      </c>
      <c r="AB25" s="35">
        <v>1.0</v>
      </c>
      <c r="AC25" s="35" t="s">
        <v>335</v>
      </c>
      <c r="AD25" s="35">
        <v>7.0</v>
      </c>
      <c r="AE25" s="95"/>
      <c r="AF25" s="95"/>
      <c r="AG25" s="35" t="s">
        <v>337</v>
      </c>
      <c r="AH25" s="35">
        <v>1.0</v>
      </c>
      <c r="AI25" s="35" t="s">
        <v>335</v>
      </c>
      <c r="AJ25" s="35">
        <v>2.0</v>
      </c>
      <c r="AK25" s="35" t="s">
        <v>337</v>
      </c>
      <c r="AL25" s="35">
        <v>1.0</v>
      </c>
      <c r="AM25" s="35" t="s">
        <v>340</v>
      </c>
      <c r="AN25" s="35">
        <v>3.0</v>
      </c>
    </row>
    <row r="26">
      <c r="A26" s="35" t="s">
        <v>343</v>
      </c>
      <c r="B26" s="35">
        <v>5.0</v>
      </c>
      <c r="C26" s="35" t="s">
        <v>343</v>
      </c>
      <c r="D26" s="35">
        <v>4.0</v>
      </c>
      <c r="E26" s="35" t="s">
        <v>340</v>
      </c>
      <c r="F26" s="35">
        <v>3.0</v>
      </c>
      <c r="I26" s="35" t="s">
        <v>343</v>
      </c>
      <c r="J26" s="35">
        <v>4.0</v>
      </c>
      <c r="K26" s="35" t="s">
        <v>340</v>
      </c>
      <c r="L26" s="35">
        <v>2.0</v>
      </c>
      <c r="M26" s="35" t="s">
        <v>335</v>
      </c>
      <c r="N26" s="35">
        <v>4.0</v>
      </c>
      <c r="O26" s="35" t="s">
        <v>343</v>
      </c>
      <c r="P26" s="35">
        <v>3.0</v>
      </c>
      <c r="Q26" s="35" t="s">
        <v>340</v>
      </c>
      <c r="R26" s="35">
        <v>4.0</v>
      </c>
      <c r="U26" s="35" t="s">
        <v>340</v>
      </c>
      <c r="V26" s="35">
        <v>4.0</v>
      </c>
      <c r="W26" s="35" t="s">
        <v>340</v>
      </c>
      <c r="X26" s="35">
        <v>4.0</v>
      </c>
      <c r="Y26" s="35" t="s">
        <v>340</v>
      </c>
      <c r="Z26" s="35">
        <v>3.0</v>
      </c>
      <c r="AA26" s="35" t="s">
        <v>335</v>
      </c>
      <c r="AB26" s="35">
        <v>3.0</v>
      </c>
      <c r="AC26" s="35" t="s">
        <v>340</v>
      </c>
      <c r="AD26" s="35">
        <v>3.0</v>
      </c>
      <c r="AE26" s="95"/>
      <c r="AF26" s="95"/>
      <c r="AG26" s="35" t="s">
        <v>335</v>
      </c>
      <c r="AH26" s="35">
        <v>2.0</v>
      </c>
      <c r="AI26" s="35" t="s">
        <v>340</v>
      </c>
      <c r="AJ26" s="35">
        <v>4.0</v>
      </c>
      <c r="AK26" s="35" t="s">
        <v>335</v>
      </c>
      <c r="AL26" s="35">
        <v>1.0</v>
      </c>
      <c r="AM26" s="35" t="s">
        <v>343</v>
      </c>
      <c r="AN26" s="35">
        <v>3.0</v>
      </c>
    </row>
    <row r="27">
      <c r="A27" s="35" t="s">
        <v>346</v>
      </c>
      <c r="B27" s="35">
        <v>2.0</v>
      </c>
      <c r="C27" s="35" t="s">
        <v>346</v>
      </c>
      <c r="D27" s="35">
        <v>7.0</v>
      </c>
      <c r="E27" s="35" t="s">
        <v>343</v>
      </c>
      <c r="F27" s="35">
        <v>2.0</v>
      </c>
      <c r="I27" s="35" t="s">
        <v>348</v>
      </c>
      <c r="J27" s="35">
        <v>1.0</v>
      </c>
      <c r="K27" s="35" t="s">
        <v>343</v>
      </c>
      <c r="L27" s="35">
        <v>3.0</v>
      </c>
      <c r="M27" s="35" t="s">
        <v>340</v>
      </c>
      <c r="N27" s="35">
        <v>2.0</v>
      </c>
      <c r="O27" s="35" t="s">
        <v>346</v>
      </c>
      <c r="P27" s="35">
        <v>6.0</v>
      </c>
      <c r="Q27" s="35" t="s">
        <v>343</v>
      </c>
      <c r="R27" s="35">
        <v>1.0</v>
      </c>
      <c r="U27" s="35" t="s">
        <v>343</v>
      </c>
      <c r="V27" s="35">
        <v>3.0</v>
      </c>
      <c r="W27" s="35" t="s">
        <v>343</v>
      </c>
      <c r="X27" s="35">
        <v>1.0</v>
      </c>
      <c r="Y27" s="35" t="s">
        <v>343</v>
      </c>
      <c r="Z27" s="35">
        <v>2.0</v>
      </c>
      <c r="AA27" s="35" t="s">
        <v>340</v>
      </c>
      <c r="AB27" s="35">
        <v>3.0</v>
      </c>
      <c r="AC27" s="35" t="s">
        <v>343</v>
      </c>
      <c r="AD27" s="35">
        <v>1.0</v>
      </c>
      <c r="AE27" s="95"/>
      <c r="AF27" s="95"/>
      <c r="AG27" s="35" t="s">
        <v>340</v>
      </c>
      <c r="AH27" s="35">
        <v>2.0</v>
      </c>
      <c r="AI27" s="35" t="s">
        <v>348</v>
      </c>
      <c r="AJ27" s="35">
        <v>2.0</v>
      </c>
      <c r="AK27" s="35" t="s">
        <v>340</v>
      </c>
      <c r="AL27" s="35">
        <v>5.0</v>
      </c>
      <c r="AM27" s="35" t="s">
        <v>346</v>
      </c>
      <c r="AN27" s="35">
        <v>6.0</v>
      </c>
    </row>
    <row r="28">
      <c r="A28" s="35" t="s">
        <v>356</v>
      </c>
      <c r="B28" s="35">
        <v>1.0</v>
      </c>
      <c r="C28" s="35" t="s">
        <v>352</v>
      </c>
      <c r="D28" s="35">
        <v>3.0</v>
      </c>
      <c r="E28" s="35" t="s">
        <v>348</v>
      </c>
      <c r="F28" s="35">
        <v>2.0</v>
      </c>
      <c r="I28" s="35" t="s">
        <v>346</v>
      </c>
      <c r="J28" s="35">
        <v>4.0</v>
      </c>
      <c r="K28" s="35" t="s">
        <v>348</v>
      </c>
      <c r="L28" s="35">
        <v>2.0</v>
      </c>
      <c r="M28" s="35" t="s">
        <v>343</v>
      </c>
      <c r="N28" s="35">
        <v>2.0</v>
      </c>
      <c r="O28" s="35" t="s">
        <v>352</v>
      </c>
      <c r="P28" s="35">
        <v>4.0</v>
      </c>
      <c r="Q28" s="35" t="s">
        <v>348</v>
      </c>
      <c r="R28" s="35">
        <v>1.0</v>
      </c>
      <c r="U28" s="35" t="s">
        <v>348</v>
      </c>
      <c r="V28" s="35">
        <v>1.0</v>
      </c>
      <c r="W28" s="35" t="s">
        <v>346</v>
      </c>
      <c r="X28" s="35">
        <v>6.0</v>
      </c>
      <c r="Y28" s="35" t="s">
        <v>348</v>
      </c>
      <c r="Z28" s="35">
        <v>1.0</v>
      </c>
      <c r="AA28" s="35" t="s">
        <v>343</v>
      </c>
      <c r="AB28" s="35">
        <v>2.0</v>
      </c>
      <c r="AC28" s="35" t="s">
        <v>346</v>
      </c>
      <c r="AD28" s="35">
        <v>5.0</v>
      </c>
      <c r="AE28" s="95"/>
      <c r="AF28" s="95"/>
      <c r="AG28" s="35" t="s">
        <v>343</v>
      </c>
      <c r="AH28" s="35">
        <v>2.0</v>
      </c>
      <c r="AI28" s="35" t="s">
        <v>346</v>
      </c>
      <c r="AJ28" s="35">
        <v>3.0</v>
      </c>
      <c r="AK28" s="35" t="s">
        <v>343</v>
      </c>
      <c r="AL28" s="35">
        <v>4.0</v>
      </c>
      <c r="AM28" s="35" t="s">
        <v>352</v>
      </c>
      <c r="AN28" s="35">
        <v>4.0</v>
      </c>
    </row>
    <row r="29">
      <c r="A29" s="35" t="s">
        <v>365</v>
      </c>
      <c r="B29" s="35">
        <v>1.0</v>
      </c>
      <c r="C29" s="35" t="s">
        <v>365</v>
      </c>
      <c r="D29" s="35">
        <v>1.0</v>
      </c>
      <c r="E29" s="35" t="s">
        <v>346</v>
      </c>
      <c r="F29" s="35">
        <v>4.0</v>
      </c>
      <c r="I29" s="35" t="s">
        <v>352</v>
      </c>
      <c r="J29" s="35">
        <v>2.0</v>
      </c>
      <c r="K29" s="35" t="s">
        <v>346</v>
      </c>
      <c r="L29" s="35">
        <v>2.0</v>
      </c>
      <c r="M29" s="35" t="s">
        <v>346</v>
      </c>
      <c r="N29" s="35">
        <v>2.0</v>
      </c>
      <c r="O29" s="35" t="s">
        <v>356</v>
      </c>
      <c r="P29" s="35">
        <v>1.0</v>
      </c>
      <c r="Q29" s="35" t="s">
        <v>346</v>
      </c>
      <c r="R29" s="35">
        <v>2.0</v>
      </c>
      <c r="U29" s="35" t="s">
        <v>346</v>
      </c>
      <c r="V29" s="35">
        <v>1.0</v>
      </c>
      <c r="W29" s="35" t="s">
        <v>352</v>
      </c>
      <c r="X29" s="35">
        <v>2.0</v>
      </c>
      <c r="Y29" s="35" t="s">
        <v>346</v>
      </c>
      <c r="Z29" s="35">
        <v>2.0</v>
      </c>
      <c r="AA29" s="35" t="s">
        <v>348</v>
      </c>
      <c r="AB29" s="35">
        <v>1.0</v>
      </c>
      <c r="AC29" s="35" t="s">
        <v>352</v>
      </c>
      <c r="AD29" s="35">
        <v>2.0</v>
      </c>
      <c r="AE29" s="95"/>
      <c r="AF29" s="95"/>
      <c r="AG29" s="35" t="s">
        <v>346</v>
      </c>
      <c r="AH29" s="35">
        <v>1.0</v>
      </c>
      <c r="AI29" s="35" t="s">
        <v>356</v>
      </c>
      <c r="AJ29" s="35">
        <v>2.0</v>
      </c>
      <c r="AK29" s="35" t="s">
        <v>346</v>
      </c>
      <c r="AL29" s="35">
        <v>4.0</v>
      </c>
      <c r="AM29" s="35" t="s">
        <v>361</v>
      </c>
      <c r="AN29" s="35">
        <v>1.0</v>
      </c>
    </row>
    <row r="30">
      <c r="A30" s="35" t="s">
        <v>367</v>
      </c>
      <c r="B30" s="35">
        <v>2.0</v>
      </c>
      <c r="C30" s="35" t="s">
        <v>364</v>
      </c>
      <c r="D30" s="35">
        <v>1.0</v>
      </c>
      <c r="E30" s="35" t="s">
        <v>352</v>
      </c>
      <c r="F30" s="35">
        <v>2.0</v>
      </c>
      <c r="I30" s="35" t="s">
        <v>356</v>
      </c>
      <c r="J30" s="35">
        <v>1.0</v>
      </c>
      <c r="K30" s="35" t="s">
        <v>361</v>
      </c>
      <c r="L30" s="35">
        <v>2.0</v>
      </c>
      <c r="M30" s="35" t="s">
        <v>356</v>
      </c>
      <c r="N30" s="35">
        <v>1.0</v>
      </c>
      <c r="O30" s="35" t="s">
        <v>364</v>
      </c>
      <c r="P30" s="35">
        <v>2.0</v>
      </c>
      <c r="Q30" s="35" t="s">
        <v>352</v>
      </c>
      <c r="R30" s="35">
        <v>2.0</v>
      </c>
      <c r="U30" s="35" t="s">
        <v>352</v>
      </c>
      <c r="V30" s="35">
        <v>3.0</v>
      </c>
      <c r="W30" s="35" t="s">
        <v>356</v>
      </c>
      <c r="X30" s="35">
        <v>2.0</v>
      </c>
      <c r="Y30" s="35" t="s">
        <v>352</v>
      </c>
      <c r="Z30" s="35">
        <v>4.0</v>
      </c>
      <c r="AA30" s="35" t="s">
        <v>346</v>
      </c>
      <c r="AB30" s="35">
        <v>5.0</v>
      </c>
      <c r="AC30" s="35" t="s">
        <v>365</v>
      </c>
      <c r="AD30" s="35">
        <v>2.0</v>
      </c>
      <c r="AE30" s="95"/>
      <c r="AF30" s="95"/>
      <c r="AG30" s="35" t="s">
        <v>352</v>
      </c>
      <c r="AH30" s="35">
        <v>3.0</v>
      </c>
      <c r="AI30" s="35" t="s">
        <v>361</v>
      </c>
      <c r="AJ30" s="35">
        <v>1.0</v>
      </c>
      <c r="AK30" s="35" t="s">
        <v>365</v>
      </c>
      <c r="AL30" s="35">
        <v>1.0</v>
      </c>
      <c r="AM30" s="35" t="s">
        <v>365</v>
      </c>
      <c r="AN30" s="35">
        <v>2.0</v>
      </c>
    </row>
    <row r="31">
      <c r="A31" s="35" t="s">
        <v>371</v>
      </c>
      <c r="B31" s="35">
        <v>10.0</v>
      </c>
      <c r="C31" s="35" t="s">
        <v>367</v>
      </c>
      <c r="D31" s="35">
        <v>2.0</v>
      </c>
      <c r="E31" s="109" t="s">
        <v>365</v>
      </c>
      <c r="F31" s="35">
        <v>2.0</v>
      </c>
      <c r="I31" s="35" t="s">
        <v>365</v>
      </c>
      <c r="J31" s="35">
        <v>2.0</v>
      </c>
      <c r="K31" s="35" t="s">
        <v>365</v>
      </c>
      <c r="L31" s="35">
        <v>2.0</v>
      </c>
      <c r="M31" s="35" t="s">
        <v>365</v>
      </c>
      <c r="N31" s="35">
        <v>1.0</v>
      </c>
      <c r="O31" s="35" t="s">
        <v>371</v>
      </c>
      <c r="P31" s="35">
        <v>2.0</v>
      </c>
      <c r="Q31" s="109" t="s">
        <v>359</v>
      </c>
      <c r="R31" s="35">
        <v>1.0</v>
      </c>
      <c r="U31" s="35" t="s">
        <v>356</v>
      </c>
      <c r="V31" s="35">
        <v>1.0</v>
      </c>
      <c r="W31" s="35" t="s">
        <v>365</v>
      </c>
      <c r="X31" s="35">
        <v>2.0</v>
      </c>
      <c r="Y31" s="35" t="s">
        <v>361</v>
      </c>
      <c r="Z31" s="35">
        <v>1.0</v>
      </c>
      <c r="AA31" s="35" t="s">
        <v>352</v>
      </c>
      <c r="AB31" s="35">
        <v>3.0</v>
      </c>
      <c r="AC31" s="109" t="s">
        <v>359</v>
      </c>
      <c r="AD31" s="35">
        <v>1.0</v>
      </c>
      <c r="AE31" s="95"/>
      <c r="AF31" s="95"/>
      <c r="AG31" s="35" t="s">
        <v>356</v>
      </c>
      <c r="AH31" s="35">
        <v>2.0</v>
      </c>
      <c r="AI31" s="35" t="s">
        <v>365</v>
      </c>
      <c r="AJ31" s="35">
        <v>1.0</v>
      </c>
      <c r="AK31" s="35" t="s">
        <v>359</v>
      </c>
      <c r="AL31" s="35">
        <v>1.0</v>
      </c>
      <c r="AM31" s="35" t="s">
        <v>364</v>
      </c>
      <c r="AN31" s="35">
        <v>2.0</v>
      </c>
    </row>
    <row r="32">
      <c r="A32" s="35" t="s">
        <v>376</v>
      </c>
      <c r="B32" s="35">
        <v>1.0</v>
      </c>
      <c r="C32" s="35" t="s">
        <v>371</v>
      </c>
      <c r="D32" s="35">
        <v>3.0</v>
      </c>
      <c r="E32" s="109" t="s">
        <v>364</v>
      </c>
      <c r="F32" s="35">
        <v>2.0</v>
      </c>
      <c r="I32" s="35" t="s">
        <v>359</v>
      </c>
      <c r="J32" s="35">
        <v>1.0</v>
      </c>
      <c r="K32" s="35" t="s">
        <v>364</v>
      </c>
      <c r="L32" s="35">
        <v>2.0</v>
      </c>
      <c r="M32" s="35" t="s">
        <v>359</v>
      </c>
      <c r="N32" s="35">
        <v>1.0</v>
      </c>
      <c r="O32" s="35" t="s">
        <v>376</v>
      </c>
      <c r="P32" s="35">
        <v>1.0</v>
      </c>
      <c r="Q32" s="109" t="s">
        <v>364</v>
      </c>
      <c r="R32" s="35">
        <v>1.0</v>
      </c>
      <c r="U32" s="35" t="s">
        <v>365</v>
      </c>
      <c r="V32" s="35">
        <v>3.0</v>
      </c>
      <c r="W32" s="35" t="s">
        <v>364</v>
      </c>
      <c r="X32" s="35">
        <v>3.0</v>
      </c>
      <c r="Y32" s="35" t="s">
        <v>359</v>
      </c>
      <c r="Z32" s="35">
        <v>1.0</v>
      </c>
      <c r="AA32" s="35" t="s">
        <v>365</v>
      </c>
      <c r="AB32" s="35">
        <v>2.0</v>
      </c>
      <c r="AC32" s="109" t="s">
        <v>364</v>
      </c>
      <c r="AD32" s="35">
        <v>1.0</v>
      </c>
      <c r="AE32" s="95"/>
      <c r="AF32" s="95"/>
      <c r="AG32" s="35" t="s">
        <v>365</v>
      </c>
      <c r="AH32" s="35">
        <v>1.0</v>
      </c>
      <c r="AI32" s="35" t="s">
        <v>359</v>
      </c>
      <c r="AJ32" s="35">
        <v>1.0</v>
      </c>
      <c r="AK32" s="35" t="s">
        <v>367</v>
      </c>
      <c r="AL32" s="35">
        <v>2.0</v>
      </c>
      <c r="AM32" s="35" t="s">
        <v>371</v>
      </c>
      <c r="AN32" s="35">
        <v>2.0</v>
      </c>
    </row>
    <row r="33">
      <c r="A33" s="35" t="s">
        <v>382</v>
      </c>
      <c r="B33" s="35">
        <v>4.0</v>
      </c>
      <c r="C33" s="35" t="s">
        <v>376</v>
      </c>
      <c r="D33" s="35">
        <v>4.0</v>
      </c>
      <c r="E33" s="109" t="s">
        <v>367</v>
      </c>
      <c r="F33" s="35">
        <v>2.0</v>
      </c>
      <c r="I33" s="35" t="s">
        <v>364</v>
      </c>
      <c r="J33" s="35">
        <v>4.0</v>
      </c>
      <c r="K33" s="35" t="s">
        <v>370</v>
      </c>
      <c r="L33" s="35">
        <v>1.0</v>
      </c>
      <c r="M33" s="35" t="s">
        <v>367</v>
      </c>
      <c r="N33" s="35">
        <v>2.0</v>
      </c>
      <c r="O33" s="35" t="s">
        <v>382</v>
      </c>
      <c r="P33" s="35">
        <v>3.0</v>
      </c>
      <c r="Q33" s="109" t="s">
        <v>373</v>
      </c>
      <c r="R33" s="35">
        <v>1.0</v>
      </c>
      <c r="U33" s="35" t="s">
        <v>359</v>
      </c>
      <c r="V33" s="35">
        <v>3.0</v>
      </c>
      <c r="W33" s="35" t="s">
        <v>367</v>
      </c>
      <c r="X33" s="35">
        <v>5.0</v>
      </c>
      <c r="Y33" s="35" t="s">
        <v>364</v>
      </c>
      <c r="Z33" s="35">
        <v>1.0</v>
      </c>
      <c r="AA33" s="35" t="s">
        <v>364</v>
      </c>
      <c r="AB33" s="35">
        <v>1.0</v>
      </c>
      <c r="AC33" s="109" t="s">
        <v>371</v>
      </c>
      <c r="AD33" s="35">
        <v>4.0</v>
      </c>
      <c r="AE33" s="95"/>
      <c r="AF33" s="95"/>
      <c r="AG33" s="35" t="s">
        <v>359</v>
      </c>
      <c r="AH33" s="35">
        <v>1.0</v>
      </c>
      <c r="AI33" s="35" t="s">
        <v>364</v>
      </c>
      <c r="AJ33" s="35">
        <v>3.0</v>
      </c>
      <c r="AK33" s="35" t="s">
        <v>371</v>
      </c>
      <c r="AL33" s="35">
        <v>1.0</v>
      </c>
      <c r="AM33" s="35" t="s">
        <v>376</v>
      </c>
      <c r="AN33" s="35">
        <v>1.0</v>
      </c>
    </row>
    <row r="34">
      <c r="A34" s="35" t="s">
        <v>401</v>
      </c>
      <c r="B34" s="35">
        <v>6.0</v>
      </c>
      <c r="C34" s="35" t="s">
        <v>382</v>
      </c>
      <c r="D34" s="35">
        <v>3.0</v>
      </c>
      <c r="E34" s="109" t="s">
        <v>371</v>
      </c>
      <c r="F34" s="35">
        <v>3.0</v>
      </c>
      <c r="I34" s="35" t="s">
        <v>367</v>
      </c>
      <c r="J34" s="35">
        <v>5.0</v>
      </c>
      <c r="K34" s="35" t="s">
        <v>367</v>
      </c>
      <c r="L34" s="35">
        <v>1.0</v>
      </c>
      <c r="M34" s="35" t="s">
        <v>373</v>
      </c>
      <c r="N34" s="35">
        <v>2.0</v>
      </c>
      <c r="O34" s="35" t="s">
        <v>669</v>
      </c>
      <c r="P34" s="35">
        <v>1.0</v>
      </c>
      <c r="Q34" s="109" t="s">
        <v>371</v>
      </c>
      <c r="R34" s="35">
        <v>5.0</v>
      </c>
      <c r="U34" s="35" t="s">
        <v>364</v>
      </c>
      <c r="V34" s="35">
        <v>2.0</v>
      </c>
      <c r="W34" s="35" t="s">
        <v>371</v>
      </c>
      <c r="X34" s="35">
        <v>4.0</v>
      </c>
      <c r="Y34" s="35" t="s">
        <v>367</v>
      </c>
      <c r="Z34" s="35">
        <v>1.0</v>
      </c>
      <c r="AA34" s="109" t="s">
        <v>371</v>
      </c>
      <c r="AB34" s="35">
        <v>2.0</v>
      </c>
      <c r="AC34" s="109" t="s">
        <v>376</v>
      </c>
      <c r="AD34" s="35">
        <v>2.0</v>
      </c>
      <c r="AE34" s="95"/>
      <c r="AF34" s="95"/>
      <c r="AG34" s="35" t="s">
        <v>367</v>
      </c>
      <c r="AH34" s="35">
        <v>2.0</v>
      </c>
      <c r="AI34" s="35" t="s">
        <v>370</v>
      </c>
      <c r="AJ34" s="35">
        <v>1.0</v>
      </c>
      <c r="AK34" s="35" t="s">
        <v>376</v>
      </c>
      <c r="AL34" s="35">
        <v>6.0</v>
      </c>
      <c r="AM34" s="109" t="s">
        <v>382</v>
      </c>
      <c r="AN34" s="35">
        <v>2.0</v>
      </c>
    </row>
    <row r="35">
      <c r="A35" s="35" t="s">
        <v>394</v>
      </c>
      <c r="B35" s="35">
        <v>1.0</v>
      </c>
      <c r="C35" s="109" t="s">
        <v>675</v>
      </c>
      <c r="D35" s="35">
        <v>1.0</v>
      </c>
      <c r="E35" s="109" t="s">
        <v>376</v>
      </c>
      <c r="F35" s="35">
        <v>5.0</v>
      </c>
      <c r="I35" s="35" t="s">
        <v>371</v>
      </c>
      <c r="J35" s="35">
        <v>7.0</v>
      </c>
      <c r="K35" s="35" t="s">
        <v>373</v>
      </c>
      <c r="L35" s="35">
        <v>1.0</v>
      </c>
      <c r="M35" s="35" t="s">
        <v>371</v>
      </c>
      <c r="N35" s="35">
        <v>4.0</v>
      </c>
      <c r="O35" s="35" t="s">
        <v>413</v>
      </c>
      <c r="P35" s="35">
        <v>1.0</v>
      </c>
      <c r="Q35" s="109" t="s">
        <v>376</v>
      </c>
      <c r="R35" s="35">
        <v>4.0</v>
      </c>
      <c r="U35" s="35" t="s">
        <v>367</v>
      </c>
      <c r="V35" s="35">
        <v>1.0</v>
      </c>
      <c r="W35" s="35" t="s">
        <v>376</v>
      </c>
      <c r="X35" s="35">
        <v>3.0</v>
      </c>
      <c r="Y35" s="35" t="s">
        <v>371</v>
      </c>
      <c r="Z35" s="35">
        <v>3.0</v>
      </c>
      <c r="AA35" s="109" t="s">
        <v>382</v>
      </c>
      <c r="AB35" s="35">
        <v>2.0</v>
      </c>
      <c r="AC35" s="109" t="s">
        <v>382</v>
      </c>
      <c r="AD35" s="35">
        <v>3.0</v>
      </c>
      <c r="AE35" s="95"/>
      <c r="AF35" s="95"/>
      <c r="AG35" s="35" t="s">
        <v>371</v>
      </c>
      <c r="AH35" s="35">
        <v>10.0</v>
      </c>
      <c r="AI35" s="35" t="s">
        <v>367</v>
      </c>
      <c r="AJ35" s="35">
        <v>2.0</v>
      </c>
      <c r="AK35" s="35" t="s">
        <v>382</v>
      </c>
      <c r="AL35" s="35">
        <v>4.0</v>
      </c>
      <c r="AM35" s="109" t="s">
        <v>675</v>
      </c>
      <c r="AN35" s="35">
        <v>1.0</v>
      </c>
    </row>
    <row r="36">
      <c r="A36" s="35" t="s">
        <v>391</v>
      </c>
      <c r="B36" s="35">
        <v>1.0</v>
      </c>
      <c r="C36" s="109" t="s">
        <v>400</v>
      </c>
      <c r="D36" s="35">
        <v>1.0</v>
      </c>
      <c r="E36" s="109" t="s">
        <v>382</v>
      </c>
      <c r="F36" s="35">
        <v>2.0</v>
      </c>
      <c r="I36" s="35" t="s">
        <v>376</v>
      </c>
      <c r="J36" s="35">
        <v>3.0</v>
      </c>
      <c r="K36" s="35" t="s">
        <v>371</v>
      </c>
      <c r="L36" s="35">
        <v>5.0</v>
      </c>
      <c r="M36" s="35" t="s">
        <v>376</v>
      </c>
      <c r="N36" s="35">
        <v>1.0</v>
      </c>
      <c r="O36" s="109" t="s">
        <v>394</v>
      </c>
      <c r="P36" s="35">
        <v>1.0</v>
      </c>
      <c r="Q36" s="109" t="s">
        <v>382</v>
      </c>
      <c r="R36" s="35">
        <v>5.0</v>
      </c>
      <c r="U36" s="35" t="s">
        <v>371</v>
      </c>
      <c r="V36" s="35">
        <v>5.0</v>
      </c>
      <c r="W36" s="35" t="s">
        <v>382</v>
      </c>
      <c r="X36" s="35">
        <v>6.0</v>
      </c>
      <c r="Y36" s="35" t="s">
        <v>376</v>
      </c>
      <c r="Z36" s="35">
        <v>2.0</v>
      </c>
      <c r="AA36" s="109" t="s">
        <v>675</v>
      </c>
      <c r="AB36" s="35">
        <v>1.0</v>
      </c>
      <c r="AC36" s="109" t="s">
        <v>412</v>
      </c>
      <c r="AD36" s="35">
        <v>1.0</v>
      </c>
      <c r="AE36" s="95"/>
      <c r="AF36" s="95"/>
      <c r="AG36" s="35" t="s">
        <v>376</v>
      </c>
      <c r="AH36" s="35">
        <v>3.0</v>
      </c>
      <c r="AI36" s="35" t="s">
        <v>371</v>
      </c>
      <c r="AJ36" s="35">
        <v>4.0</v>
      </c>
      <c r="AK36" s="35" t="s">
        <v>401</v>
      </c>
      <c r="AL36" s="35">
        <v>3.0</v>
      </c>
      <c r="AM36" s="109" t="s">
        <v>400</v>
      </c>
      <c r="AN36" s="35">
        <v>2.0</v>
      </c>
    </row>
    <row r="37">
      <c r="A37" s="35" t="s">
        <v>396</v>
      </c>
      <c r="B37" s="35">
        <v>1.0</v>
      </c>
      <c r="C37" s="109" t="s">
        <v>403</v>
      </c>
      <c r="D37" s="35">
        <v>1.0</v>
      </c>
      <c r="E37" s="109" t="s">
        <v>401</v>
      </c>
      <c r="F37" s="35">
        <v>1.0</v>
      </c>
      <c r="I37" s="35" t="s">
        <v>382</v>
      </c>
      <c r="J37" s="35">
        <v>2.0</v>
      </c>
      <c r="K37" s="35" t="s">
        <v>388</v>
      </c>
      <c r="L37" s="35">
        <v>1.0</v>
      </c>
      <c r="M37" s="35" t="s">
        <v>382</v>
      </c>
      <c r="N37" s="35">
        <v>6.0</v>
      </c>
      <c r="O37" s="109" t="s">
        <v>391</v>
      </c>
      <c r="P37" s="35">
        <v>1.0</v>
      </c>
      <c r="Q37" s="109" t="s">
        <v>401</v>
      </c>
      <c r="R37" s="35">
        <v>1.0</v>
      </c>
      <c r="U37" s="35" t="s">
        <v>376</v>
      </c>
      <c r="V37" s="35">
        <v>4.0</v>
      </c>
      <c r="W37" s="35" t="s">
        <v>413</v>
      </c>
      <c r="X37" s="35">
        <v>1.0</v>
      </c>
      <c r="Y37" s="35" t="s">
        <v>382</v>
      </c>
      <c r="Z37" s="35">
        <v>2.0</v>
      </c>
      <c r="AA37" s="109" t="s">
        <v>391</v>
      </c>
      <c r="AB37" s="35">
        <v>1.0</v>
      </c>
      <c r="AC37" s="109" t="s">
        <v>413</v>
      </c>
      <c r="AD37" s="35">
        <v>1.0</v>
      </c>
      <c r="AE37" s="95"/>
      <c r="AF37" s="95"/>
      <c r="AG37" s="35" t="s">
        <v>382</v>
      </c>
      <c r="AH37" s="35">
        <v>2.0</v>
      </c>
      <c r="AI37" s="35" t="s">
        <v>376</v>
      </c>
      <c r="AJ37" s="35">
        <v>4.0</v>
      </c>
      <c r="AK37" s="35" t="s">
        <v>396</v>
      </c>
      <c r="AL37" s="35">
        <v>1.0</v>
      </c>
      <c r="AM37" s="109" t="s">
        <v>445</v>
      </c>
      <c r="AN37" s="35">
        <v>1.0</v>
      </c>
    </row>
    <row r="38">
      <c r="A38" s="35" t="s">
        <v>408</v>
      </c>
      <c r="B38" s="35">
        <v>1.0</v>
      </c>
      <c r="C38" s="109" t="s">
        <v>417</v>
      </c>
      <c r="D38" s="35">
        <v>1.0</v>
      </c>
      <c r="E38" s="109" t="s">
        <v>412</v>
      </c>
      <c r="F38" s="35">
        <v>1.0</v>
      </c>
      <c r="I38" s="35" t="s">
        <v>401</v>
      </c>
      <c r="J38" s="35">
        <v>3.0</v>
      </c>
      <c r="K38" s="35" t="s">
        <v>376</v>
      </c>
      <c r="L38" s="35">
        <v>4.0</v>
      </c>
      <c r="M38" s="35" t="s">
        <v>401</v>
      </c>
      <c r="N38" s="35">
        <v>2.0</v>
      </c>
      <c r="O38" s="109" t="s">
        <v>400</v>
      </c>
      <c r="P38" s="35">
        <v>2.0</v>
      </c>
      <c r="Q38" s="109" t="s">
        <v>668</v>
      </c>
      <c r="R38" s="35">
        <v>1.0</v>
      </c>
      <c r="U38" s="35" t="s">
        <v>382</v>
      </c>
      <c r="V38" s="35">
        <v>2.0</v>
      </c>
      <c r="W38" s="35" t="s">
        <v>394</v>
      </c>
      <c r="X38" s="35">
        <v>1.0</v>
      </c>
      <c r="Y38" s="35" t="s">
        <v>401</v>
      </c>
      <c r="Z38" s="35">
        <v>2.0</v>
      </c>
      <c r="AA38" s="109" t="s">
        <v>400</v>
      </c>
      <c r="AB38" s="35">
        <v>2.0</v>
      </c>
      <c r="AC38" s="109" t="s">
        <v>400</v>
      </c>
      <c r="AD38" s="35">
        <v>1.0</v>
      </c>
      <c r="AE38" s="95"/>
      <c r="AF38" s="95"/>
      <c r="AG38" s="35" t="s">
        <v>669</v>
      </c>
      <c r="AH38" s="35">
        <v>2.0</v>
      </c>
      <c r="AI38" s="35" t="s">
        <v>382</v>
      </c>
      <c r="AJ38" s="35">
        <v>4.0</v>
      </c>
      <c r="AK38" s="35" t="s">
        <v>408</v>
      </c>
      <c r="AL38" s="35">
        <v>1.0</v>
      </c>
      <c r="AM38" s="109" t="s">
        <v>448</v>
      </c>
      <c r="AN38" s="35">
        <v>1.0</v>
      </c>
    </row>
    <row r="39">
      <c r="A39" s="35" t="s">
        <v>421</v>
      </c>
      <c r="B39" s="35">
        <v>1.0</v>
      </c>
      <c r="C39" s="109" t="s">
        <v>446</v>
      </c>
      <c r="D39" s="35">
        <v>1.0</v>
      </c>
      <c r="E39" s="109" t="s">
        <v>413</v>
      </c>
      <c r="F39" s="35">
        <v>1.0</v>
      </c>
      <c r="I39" s="35" t="s">
        <v>668</v>
      </c>
      <c r="J39" s="35">
        <v>1.0</v>
      </c>
      <c r="K39" s="35" t="s">
        <v>382</v>
      </c>
      <c r="L39" s="35">
        <v>9.0</v>
      </c>
      <c r="M39" s="35" t="s">
        <v>445</v>
      </c>
      <c r="N39" s="35">
        <v>1.0</v>
      </c>
      <c r="O39" s="109" t="s">
        <v>445</v>
      </c>
      <c r="P39" s="35">
        <v>2.0</v>
      </c>
      <c r="Q39" s="109" t="s">
        <v>412</v>
      </c>
      <c r="R39" s="35">
        <v>1.0</v>
      </c>
      <c r="U39" s="35" t="s">
        <v>401</v>
      </c>
      <c r="V39" s="35">
        <v>5.0</v>
      </c>
      <c r="W39" s="35" t="s">
        <v>428</v>
      </c>
      <c r="X39" s="35">
        <v>1.0</v>
      </c>
      <c r="Y39" s="35" t="s">
        <v>413</v>
      </c>
      <c r="Z39" s="35">
        <v>1.0</v>
      </c>
      <c r="AA39" s="109" t="s">
        <v>448</v>
      </c>
      <c r="AB39" s="35">
        <v>2.0</v>
      </c>
      <c r="AC39" s="109" t="s">
        <v>396</v>
      </c>
      <c r="AD39" s="35">
        <v>1.0</v>
      </c>
      <c r="AE39" s="95"/>
      <c r="AF39" s="95"/>
      <c r="AG39" s="35" t="s">
        <v>394</v>
      </c>
      <c r="AH39" s="35">
        <v>1.0</v>
      </c>
      <c r="AI39" s="35" t="s">
        <v>401</v>
      </c>
      <c r="AJ39" s="35">
        <v>1.0</v>
      </c>
      <c r="AK39" s="35" t="s">
        <v>421</v>
      </c>
      <c r="AL39" s="35">
        <v>2.0</v>
      </c>
      <c r="AM39" s="109" t="s">
        <v>408</v>
      </c>
      <c r="AN39" s="35">
        <v>1.0</v>
      </c>
    </row>
    <row r="40">
      <c r="A40" s="35" t="s">
        <v>431</v>
      </c>
      <c r="B40" s="35">
        <v>1.0</v>
      </c>
      <c r="C40" s="109" t="s">
        <v>457</v>
      </c>
      <c r="D40" s="35">
        <v>2.0</v>
      </c>
      <c r="E40" s="35" t="s">
        <v>394</v>
      </c>
      <c r="F40" s="35">
        <v>1.0</v>
      </c>
      <c r="I40" s="35" t="s">
        <v>413</v>
      </c>
      <c r="J40" s="35">
        <v>1.0</v>
      </c>
      <c r="K40" s="35" t="s">
        <v>401</v>
      </c>
      <c r="L40" s="35">
        <v>1.0</v>
      </c>
      <c r="M40" s="35" t="s">
        <v>396</v>
      </c>
      <c r="N40" s="35">
        <v>4.0</v>
      </c>
      <c r="O40" s="109" t="s">
        <v>409</v>
      </c>
      <c r="P40" s="35">
        <v>1.0</v>
      </c>
      <c r="Q40" s="35" t="s">
        <v>400</v>
      </c>
      <c r="R40" s="35">
        <v>1.0</v>
      </c>
      <c r="U40" s="35" t="s">
        <v>668</v>
      </c>
      <c r="V40" s="35">
        <v>1.0</v>
      </c>
      <c r="W40" s="35" t="s">
        <v>409</v>
      </c>
      <c r="X40" s="35">
        <v>2.0</v>
      </c>
      <c r="Y40" s="35" t="s">
        <v>409</v>
      </c>
      <c r="Z40" s="35">
        <v>2.0</v>
      </c>
      <c r="AA40" s="35" t="s">
        <v>403</v>
      </c>
      <c r="AB40" s="35">
        <v>1.0</v>
      </c>
      <c r="AC40" s="35" t="s">
        <v>448</v>
      </c>
      <c r="AD40" s="35">
        <v>1.0</v>
      </c>
      <c r="AE40" s="95"/>
      <c r="AF40" s="95"/>
      <c r="AG40" s="35" t="s">
        <v>391</v>
      </c>
      <c r="AH40" s="35">
        <v>1.0</v>
      </c>
      <c r="AI40" s="35" t="s">
        <v>669</v>
      </c>
      <c r="AJ40" s="35">
        <v>1.0</v>
      </c>
      <c r="AK40" s="35" t="s">
        <v>443</v>
      </c>
      <c r="AL40" s="35">
        <v>2.0</v>
      </c>
      <c r="AM40" s="35" t="s">
        <v>417</v>
      </c>
      <c r="AN40" s="35">
        <v>1.0</v>
      </c>
    </row>
    <row r="41">
      <c r="A41" s="35" t="s">
        <v>442</v>
      </c>
      <c r="B41" s="35">
        <v>1.0</v>
      </c>
      <c r="C41" s="35" t="s">
        <v>465</v>
      </c>
      <c r="D41" s="35">
        <v>1.0</v>
      </c>
      <c r="E41" s="35" t="s">
        <v>675</v>
      </c>
      <c r="F41" s="35">
        <v>1.0</v>
      </c>
      <c r="I41" s="35" t="s">
        <v>448</v>
      </c>
      <c r="J41" s="35">
        <v>1.0</v>
      </c>
      <c r="K41" s="35" t="s">
        <v>413</v>
      </c>
      <c r="L41" s="35">
        <v>1.0</v>
      </c>
      <c r="M41" s="35" t="s">
        <v>448</v>
      </c>
      <c r="N41" s="35">
        <v>2.0</v>
      </c>
      <c r="O41" s="35" t="s">
        <v>396</v>
      </c>
      <c r="P41" s="35">
        <v>1.0</v>
      </c>
      <c r="Q41" s="35" t="s">
        <v>403</v>
      </c>
      <c r="R41" s="35">
        <v>1.0</v>
      </c>
      <c r="U41" s="35" t="s">
        <v>396</v>
      </c>
      <c r="V41" s="35">
        <v>1.0</v>
      </c>
      <c r="W41" s="35" t="s">
        <v>408</v>
      </c>
      <c r="X41" s="35">
        <v>1.0</v>
      </c>
      <c r="Y41" s="35" t="s">
        <v>396</v>
      </c>
      <c r="Z41" s="35">
        <v>4.0</v>
      </c>
      <c r="AA41" s="35" t="s">
        <v>408</v>
      </c>
      <c r="AB41" s="35">
        <v>1.0</v>
      </c>
      <c r="AC41" s="35" t="s">
        <v>417</v>
      </c>
      <c r="AD41" s="35">
        <v>1.0</v>
      </c>
      <c r="AE41" s="95"/>
      <c r="AF41" s="95"/>
      <c r="AG41" s="35" t="s">
        <v>409</v>
      </c>
      <c r="AH41" s="35">
        <v>2.0</v>
      </c>
      <c r="AI41" s="35" t="s">
        <v>409</v>
      </c>
      <c r="AJ41" s="35">
        <v>2.0</v>
      </c>
      <c r="AK41" s="35" t="s">
        <v>442</v>
      </c>
      <c r="AL41" s="35">
        <v>1.0</v>
      </c>
      <c r="AM41" s="35" t="s">
        <v>426</v>
      </c>
      <c r="AN41" s="35">
        <v>1.0</v>
      </c>
    </row>
    <row r="42">
      <c r="A42" s="35" t="s">
        <v>457</v>
      </c>
      <c r="B42" s="35">
        <v>2.0</v>
      </c>
      <c r="C42" s="35" t="s">
        <v>462</v>
      </c>
      <c r="D42" s="35">
        <v>1.0</v>
      </c>
      <c r="E42" s="35" t="s">
        <v>400</v>
      </c>
      <c r="F42" s="35">
        <v>1.0</v>
      </c>
      <c r="I42" s="35" t="s">
        <v>408</v>
      </c>
      <c r="J42" s="35">
        <v>2.0</v>
      </c>
      <c r="K42" s="35" t="s">
        <v>394</v>
      </c>
      <c r="L42" s="35">
        <v>1.0</v>
      </c>
      <c r="M42" s="35" t="s">
        <v>408</v>
      </c>
      <c r="N42" s="35">
        <v>2.0</v>
      </c>
      <c r="O42" s="35" t="s">
        <v>408</v>
      </c>
      <c r="P42" s="35">
        <v>1.0</v>
      </c>
      <c r="Q42" s="35" t="s">
        <v>419</v>
      </c>
      <c r="R42" s="35">
        <v>1.0</v>
      </c>
      <c r="U42" s="35" t="s">
        <v>408</v>
      </c>
      <c r="V42" s="35">
        <v>1.0</v>
      </c>
      <c r="W42" s="35" t="s">
        <v>417</v>
      </c>
      <c r="X42" s="35">
        <v>1.0</v>
      </c>
      <c r="Y42" s="35" t="s">
        <v>408</v>
      </c>
      <c r="Z42" s="35">
        <v>1.0</v>
      </c>
      <c r="AA42" s="35" t="s">
        <v>426</v>
      </c>
      <c r="AB42" s="35">
        <v>1.0</v>
      </c>
      <c r="AC42" s="35" t="s">
        <v>447</v>
      </c>
      <c r="AD42" s="35">
        <v>2.0</v>
      </c>
      <c r="AE42" s="95"/>
      <c r="AF42" s="95"/>
      <c r="AG42" s="35" t="s">
        <v>438</v>
      </c>
      <c r="AH42" s="35">
        <v>1.0</v>
      </c>
      <c r="AI42" s="35" t="s">
        <v>396</v>
      </c>
      <c r="AJ42" s="35">
        <v>1.0</v>
      </c>
      <c r="AK42" s="35" t="s">
        <v>457</v>
      </c>
      <c r="AL42" s="35">
        <v>5.0</v>
      </c>
      <c r="AM42" s="35" t="s">
        <v>431</v>
      </c>
      <c r="AN42" s="35">
        <v>1.0</v>
      </c>
    </row>
    <row r="43">
      <c r="A43" s="35" t="s">
        <v>462</v>
      </c>
      <c r="B43" s="35">
        <v>4.0</v>
      </c>
      <c r="C43" s="35" t="s">
        <v>468</v>
      </c>
      <c r="D43" s="35">
        <v>1.0</v>
      </c>
      <c r="E43" s="35" t="s">
        <v>409</v>
      </c>
      <c r="F43" s="35">
        <v>1.0</v>
      </c>
      <c r="I43" s="35" t="s">
        <v>417</v>
      </c>
      <c r="J43" s="35">
        <v>1.0</v>
      </c>
      <c r="K43" s="35" t="s">
        <v>400</v>
      </c>
      <c r="L43" s="35">
        <v>1.0</v>
      </c>
      <c r="M43" s="35" t="s">
        <v>417</v>
      </c>
      <c r="N43" s="35">
        <v>1.0</v>
      </c>
      <c r="O43" s="35" t="s">
        <v>417</v>
      </c>
      <c r="P43" s="35">
        <v>2.0</v>
      </c>
      <c r="Q43" s="35" t="s">
        <v>408</v>
      </c>
      <c r="R43" s="35">
        <v>1.0</v>
      </c>
      <c r="U43" s="35" t="s">
        <v>421</v>
      </c>
      <c r="V43" s="35">
        <v>1.0</v>
      </c>
      <c r="W43" s="35" t="s">
        <v>431</v>
      </c>
      <c r="X43" s="35">
        <v>2.0</v>
      </c>
      <c r="Y43" s="35" t="s">
        <v>421</v>
      </c>
      <c r="Z43" s="35">
        <v>1.0</v>
      </c>
      <c r="AA43" s="35" t="s">
        <v>443</v>
      </c>
      <c r="AB43" s="35">
        <v>1.0</v>
      </c>
      <c r="AC43" s="35" t="s">
        <v>442</v>
      </c>
      <c r="AD43" s="35">
        <v>2.0</v>
      </c>
      <c r="AE43" s="95"/>
      <c r="AF43" s="95"/>
      <c r="AG43" s="35" t="s">
        <v>408</v>
      </c>
      <c r="AH43" s="35">
        <v>1.0</v>
      </c>
      <c r="AI43" s="35" t="s">
        <v>419</v>
      </c>
      <c r="AJ43" s="35">
        <v>2.0</v>
      </c>
      <c r="AK43" s="35" t="s">
        <v>462</v>
      </c>
      <c r="AL43" s="35">
        <v>1.0</v>
      </c>
      <c r="AM43" s="35" t="s">
        <v>442</v>
      </c>
      <c r="AN43" s="35">
        <v>2.0</v>
      </c>
    </row>
    <row r="44">
      <c r="A44" s="35" t="s">
        <v>463</v>
      </c>
      <c r="B44" s="35">
        <v>1.0</v>
      </c>
      <c r="C44" s="35" t="s">
        <v>517</v>
      </c>
      <c r="D44" s="35">
        <v>1.0</v>
      </c>
      <c r="E44" s="35" t="s">
        <v>448</v>
      </c>
      <c r="F44" s="35">
        <v>2.0</v>
      </c>
      <c r="I44" s="35" t="s">
        <v>431</v>
      </c>
      <c r="J44" s="35">
        <v>1.0</v>
      </c>
      <c r="K44" s="87" t="s">
        <v>445</v>
      </c>
      <c r="L44" s="87">
        <v>1.0</v>
      </c>
      <c r="M44" s="35" t="s">
        <v>431</v>
      </c>
      <c r="N44" s="35">
        <v>1.0</v>
      </c>
      <c r="O44" s="35" t="s">
        <v>431</v>
      </c>
      <c r="P44" s="35">
        <v>1.0</v>
      </c>
      <c r="Q44" s="35" t="s">
        <v>431</v>
      </c>
      <c r="R44" s="35">
        <v>1.0</v>
      </c>
      <c r="U44" s="35" t="s">
        <v>431</v>
      </c>
      <c r="V44" s="35">
        <v>1.0</v>
      </c>
      <c r="W44" s="87" t="s">
        <v>475</v>
      </c>
      <c r="X44" s="87">
        <v>1.0</v>
      </c>
      <c r="Y44" s="35" t="s">
        <v>443</v>
      </c>
      <c r="Z44" s="35">
        <v>3.0</v>
      </c>
      <c r="AA44" s="35" t="s">
        <v>447</v>
      </c>
      <c r="AB44" s="35">
        <v>2.0</v>
      </c>
      <c r="AC44" s="35" t="s">
        <v>446</v>
      </c>
      <c r="AD44" s="35">
        <v>1.0</v>
      </c>
      <c r="AE44" s="95"/>
      <c r="AF44" s="95"/>
      <c r="AG44" s="35" t="s">
        <v>426</v>
      </c>
      <c r="AH44" s="35">
        <v>1.0</v>
      </c>
      <c r="AI44" s="87" t="s">
        <v>408</v>
      </c>
      <c r="AJ44" s="87">
        <v>1.0</v>
      </c>
      <c r="AK44" s="35" t="s">
        <v>468</v>
      </c>
      <c r="AL44" s="35">
        <v>3.0</v>
      </c>
      <c r="AM44" s="35" t="s">
        <v>446</v>
      </c>
      <c r="AN44" s="35">
        <v>1.0</v>
      </c>
    </row>
    <row r="45">
      <c r="A45" s="35" t="s">
        <v>483</v>
      </c>
      <c r="B45" s="35">
        <v>1.0</v>
      </c>
      <c r="C45" s="35" t="s">
        <v>472</v>
      </c>
      <c r="D45" s="35">
        <v>1.0</v>
      </c>
      <c r="E45" s="35" t="s">
        <v>403</v>
      </c>
      <c r="F45" s="35">
        <v>1.0</v>
      </c>
      <c r="I45" s="35" t="s">
        <v>440</v>
      </c>
      <c r="J45" s="35">
        <v>1.0</v>
      </c>
      <c r="K45" s="87" t="s">
        <v>409</v>
      </c>
      <c r="L45" s="87">
        <v>2.0</v>
      </c>
      <c r="M45" s="35" t="s">
        <v>447</v>
      </c>
      <c r="N45" s="35">
        <v>1.0</v>
      </c>
      <c r="O45" s="35" t="s">
        <v>443</v>
      </c>
      <c r="P45" s="35">
        <v>1.0</v>
      </c>
      <c r="Q45" s="35" t="s">
        <v>449</v>
      </c>
      <c r="R45" s="35">
        <v>1.0</v>
      </c>
      <c r="U45" s="35" t="s">
        <v>440</v>
      </c>
      <c r="V45" s="35">
        <v>1.0</v>
      </c>
      <c r="W45" s="87" t="s">
        <v>442</v>
      </c>
      <c r="X45" s="87">
        <v>1.0</v>
      </c>
      <c r="Y45" s="35" t="s">
        <v>442</v>
      </c>
      <c r="Z45" s="35">
        <v>1.0</v>
      </c>
      <c r="AA45" s="35" t="s">
        <v>453</v>
      </c>
      <c r="AB45" s="35">
        <v>2.0</v>
      </c>
      <c r="AC45" s="35" t="s">
        <v>453</v>
      </c>
      <c r="AD45" s="35">
        <v>1.0</v>
      </c>
      <c r="AE45" s="95"/>
      <c r="AF45" s="95"/>
      <c r="AG45" s="35" t="s">
        <v>421</v>
      </c>
      <c r="AH45" s="35">
        <v>1.0</v>
      </c>
      <c r="AI45" s="87" t="s">
        <v>673</v>
      </c>
      <c r="AJ45" s="87">
        <v>1.0</v>
      </c>
      <c r="AK45" s="35" t="s">
        <v>471</v>
      </c>
      <c r="AL45" s="35">
        <v>1.0</v>
      </c>
      <c r="AM45" s="35" t="s">
        <v>453</v>
      </c>
      <c r="AN45" s="35">
        <v>1.0</v>
      </c>
    </row>
    <row r="46">
      <c r="A46" s="35" t="s">
        <v>507</v>
      </c>
      <c r="B46" s="35">
        <v>1.0</v>
      </c>
      <c r="C46" s="35" t="s">
        <v>471</v>
      </c>
      <c r="D46" s="35">
        <v>1.0</v>
      </c>
      <c r="E46" s="35" t="s">
        <v>442</v>
      </c>
      <c r="F46" s="35">
        <v>2.0</v>
      </c>
      <c r="I46" s="35" t="s">
        <v>449</v>
      </c>
      <c r="J46" s="35">
        <v>1.0</v>
      </c>
      <c r="K46" s="87" t="s">
        <v>396</v>
      </c>
      <c r="L46" s="87">
        <v>1.0</v>
      </c>
      <c r="M46" s="35" t="s">
        <v>442</v>
      </c>
      <c r="N46" s="35">
        <v>2.0</v>
      </c>
      <c r="O46" s="35" t="s">
        <v>673</v>
      </c>
      <c r="P46" s="35">
        <v>1.0</v>
      </c>
      <c r="Q46" s="35" t="s">
        <v>673</v>
      </c>
      <c r="R46" s="35">
        <v>2.0</v>
      </c>
      <c r="U46" s="35" t="s">
        <v>673</v>
      </c>
      <c r="V46" s="35">
        <v>1.0</v>
      </c>
      <c r="W46" s="87" t="s">
        <v>453</v>
      </c>
      <c r="X46" s="87">
        <v>1.0</v>
      </c>
      <c r="Y46" s="35" t="s">
        <v>446</v>
      </c>
      <c r="Z46" s="35">
        <v>1.0</v>
      </c>
      <c r="AA46" s="35" t="s">
        <v>465</v>
      </c>
      <c r="AB46" s="35">
        <v>3.0</v>
      </c>
      <c r="AC46" s="35" t="s">
        <v>457</v>
      </c>
      <c r="AD46" s="35">
        <v>2.0</v>
      </c>
      <c r="AE46" s="95"/>
      <c r="AF46" s="95"/>
      <c r="AG46" s="35" t="s">
        <v>431</v>
      </c>
      <c r="AH46" s="35">
        <v>2.0</v>
      </c>
      <c r="AI46" s="87" t="s">
        <v>436</v>
      </c>
      <c r="AJ46" s="87">
        <v>1.0</v>
      </c>
      <c r="AK46" s="35" t="s">
        <v>477</v>
      </c>
      <c r="AL46" s="35">
        <v>1.0</v>
      </c>
      <c r="AM46" s="35" t="s">
        <v>465</v>
      </c>
      <c r="AN46" s="35">
        <v>2.0</v>
      </c>
    </row>
    <row r="47">
      <c r="A47" s="35" t="s">
        <v>508</v>
      </c>
      <c r="B47" s="35">
        <v>1.0</v>
      </c>
      <c r="C47" s="35" t="s">
        <v>506</v>
      </c>
      <c r="D47" s="35">
        <v>1.0</v>
      </c>
      <c r="E47" s="35" t="s">
        <v>453</v>
      </c>
      <c r="F47" s="35">
        <v>3.0</v>
      </c>
      <c r="I47" s="35" t="s">
        <v>442</v>
      </c>
      <c r="J47" s="35">
        <v>1.0</v>
      </c>
      <c r="K47" s="87" t="s">
        <v>448</v>
      </c>
      <c r="L47" s="87">
        <v>2.0</v>
      </c>
      <c r="M47" s="35" t="s">
        <v>457</v>
      </c>
      <c r="N47" s="35">
        <v>2.0</v>
      </c>
      <c r="O47" s="35" t="s">
        <v>436</v>
      </c>
      <c r="P47" s="35">
        <v>1.0</v>
      </c>
      <c r="Q47" s="35" t="s">
        <v>442</v>
      </c>
      <c r="R47" s="35">
        <v>3.0</v>
      </c>
      <c r="U47" s="35" t="s">
        <v>442</v>
      </c>
      <c r="V47" s="35">
        <v>2.0</v>
      </c>
      <c r="W47" s="87" t="s">
        <v>457</v>
      </c>
      <c r="X47" s="87">
        <v>2.0</v>
      </c>
      <c r="Y47" s="35" t="s">
        <v>457</v>
      </c>
      <c r="Z47" s="35">
        <v>3.0</v>
      </c>
      <c r="AA47" s="35" t="s">
        <v>460</v>
      </c>
      <c r="AB47" s="35">
        <v>1.0</v>
      </c>
      <c r="AC47" s="35" t="s">
        <v>460</v>
      </c>
      <c r="AD47" s="35">
        <v>1.0</v>
      </c>
      <c r="AE47" s="95"/>
      <c r="AF47" s="95"/>
      <c r="AG47" s="35" t="s">
        <v>440</v>
      </c>
      <c r="AH47" s="35">
        <v>1.0</v>
      </c>
      <c r="AI47" s="87" t="s">
        <v>442</v>
      </c>
      <c r="AJ47" s="87">
        <v>4.0</v>
      </c>
      <c r="AK47" s="35" t="s">
        <v>483</v>
      </c>
      <c r="AL47" s="35">
        <v>1.0</v>
      </c>
      <c r="AM47" s="35" t="s">
        <v>460</v>
      </c>
      <c r="AN47" s="35">
        <v>1.0</v>
      </c>
    </row>
    <row r="48">
      <c r="A48" s="35" t="s">
        <v>504</v>
      </c>
      <c r="B48" s="35">
        <v>1.0</v>
      </c>
      <c r="C48" s="35" t="s">
        <v>674</v>
      </c>
      <c r="D48" s="35">
        <v>1.0</v>
      </c>
      <c r="E48" s="35" t="s">
        <v>457</v>
      </c>
      <c r="F48" s="35">
        <v>1.0</v>
      </c>
      <c r="I48" s="35" t="s">
        <v>453</v>
      </c>
      <c r="J48" s="35">
        <v>2.0</v>
      </c>
      <c r="K48" s="87" t="s">
        <v>438</v>
      </c>
      <c r="L48" s="87">
        <v>1.0</v>
      </c>
      <c r="M48" s="35" t="s">
        <v>465</v>
      </c>
      <c r="N48" s="35">
        <v>1.0</v>
      </c>
      <c r="O48" s="35" t="s">
        <v>442</v>
      </c>
      <c r="P48" s="35">
        <v>1.0</v>
      </c>
      <c r="Q48" s="35" t="s">
        <v>453</v>
      </c>
      <c r="R48" s="35">
        <v>3.0</v>
      </c>
      <c r="U48" s="35" t="s">
        <v>446</v>
      </c>
      <c r="V48" s="35">
        <v>1.0</v>
      </c>
      <c r="W48" s="87" t="s">
        <v>465</v>
      </c>
      <c r="X48" s="87">
        <v>1.0</v>
      </c>
      <c r="Y48" s="35" t="s">
        <v>462</v>
      </c>
      <c r="Z48" s="35">
        <v>2.0</v>
      </c>
      <c r="AA48" s="35" t="s">
        <v>462</v>
      </c>
      <c r="AB48" s="35">
        <v>2.0</v>
      </c>
      <c r="AC48" s="35" t="s">
        <v>462</v>
      </c>
      <c r="AD48" s="35">
        <v>1.0</v>
      </c>
      <c r="AE48" s="95"/>
      <c r="AF48" s="95"/>
      <c r="AG48" s="35" t="s">
        <v>443</v>
      </c>
      <c r="AH48" s="35">
        <v>1.0</v>
      </c>
      <c r="AI48" s="87" t="s">
        <v>446</v>
      </c>
      <c r="AJ48" s="87">
        <v>1.0</v>
      </c>
      <c r="AK48" s="35" t="s">
        <v>533</v>
      </c>
      <c r="AL48" s="35">
        <v>1.0</v>
      </c>
      <c r="AM48" s="35" t="s">
        <v>462</v>
      </c>
      <c r="AN48" s="35">
        <v>2.0</v>
      </c>
    </row>
    <row r="49">
      <c r="A49" s="35" t="s">
        <v>495</v>
      </c>
      <c r="B49" s="35">
        <v>3.0</v>
      </c>
      <c r="C49" s="35" t="s">
        <v>488</v>
      </c>
      <c r="D49" s="35">
        <v>1.0</v>
      </c>
      <c r="E49" s="35" t="s">
        <v>465</v>
      </c>
      <c r="F49" s="35">
        <v>1.0</v>
      </c>
      <c r="I49" s="35" t="s">
        <v>465</v>
      </c>
      <c r="J49" s="35">
        <v>1.0</v>
      </c>
      <c r="K49" s="87" t="s">
        <v>419</v>
      </c>
      <c r="L49" s="87">
        <v>1.0</v>
      </c>
      <c r="M49" s="35" t="s">
        <v>462</v>
      </c>
      <c r="N49" s="35">
        <v>1.0</v>
      </c>
      <c r="O49" s="35" t="s">
        <v>446</v>
      </c>
      <c r="P49" s="35">
        <v>1.0</v>
      </c>
      <c r="Q49" s="35" t="s">
        <v>465</v>
      </c>
      <c r="R49" s="35">
        <v>1.0</v>
      </c>
      <c r="U49" s="35" t="s">
        <v>453</v>
      </c>
      <c r="V49" s="35">
        <v>3.0</v>
      </c>
      <c r="W49" s="87" t="s">
        <v>462</v>
      </c>
      <c r="X49" s="87">
        <v>2.0</v>
      </c>
      <c r="Y49" s="35" t="s">
        <v>463</v>
      </c>
      <c r="Z49" s="35">
        <v>1.0</v>
      </c>
      <c r="AA49" s="35" t="s">
        <v>463</v>
      </c>
      <c r="AB49" s="35">
        <v>1.0</v>
      </c>
      <c r="AC49" s="35" t="s">
        <v>463</v>
      </c>
      <c r="AD49" s="35">
        <v>2.0</v>
      </c>
      <c r="AE49" s="95"/>
      <c r="AF49" s="95"/>
      <c r="AG49" s="35" t="s">
        <v>436</v>
      </c>
      <c r="AH49" s="35">
        <v>1.0</v>
      </c>
      <c r="AI49" s="87" t="s">
        <v>453</v>
      </c>
      <c r="AJ49" s="87">
        <v>1.0</v>
      </c>
      <c r="AK49" s="35" t="s">
        <v>508</v>
      </c>
      <c r="AL49" s="35">
        <v>1.0</v>
      </c>
      <c r="AM49" s="35" t="s">
        <v>472</v>
      </c>
      <c r="AN49" s="35">
        <v>2.0</v>
      </c>
    </row>
    <row r="50">
      <c r="A50" s="35" t="s">
        <v>523</v>
      </c>
      <c r="B50" s="35">
        <v>1.0</v>
      </c>
      <c r="C50" s="35" t="s">
        <v>507</v>
      </c>
      <c r="D50" s="35">
        <v>1.0</v>
      </c>
      <c r="E50" s="35" t="s">
        <v>460</v>
      </c>
      <c r="F50" s="35">
        <v>1.0</v>
      </c>
      <c r="I50" s="35" t="s">
        <v>462</v>
      </c>
      <c r="J50" s="35">
        <v>1.0</v>
      </c>
      <c r="K50" s="87" t="s">
        <v>408</v>
      </c>
      <c r="L50" s="87">
        <v>1.0</v>
      </c>
      <c r="M50" s="35" t="s">
        <v>468</v>
      </c>
      <c r="N50" s="35">
        <v>3.0</v>
      </c>
      <c r="O50" s="35" t="s">
        <v>453</v>
      </c>
      <c r="P50" s="35">
        <v>3.0</v>
      </c>
      <c r="Q50" s="35" t="s">
        <v>463</v>
      </c>
      <c r="R50" s="35">
        <v>2.0</v>
      </c>
      <c r="U50" s="35" t="s">
        <v>462</v>
      </c>
      <c r="V50" s="35">
        <v>1.0</v>
      </c>
      <c r="W50" s="87" t="s">
        <v>471</v>
      </c>
      <c r="X50" s="87">
        <v>2.0</v>
      </c>
      <c r="Y50" s="35" t="s">
        <v>468</v>
      </c>
      <c r="Z50" s="35">
        <v>2.0</v>
      </c>
      <c r="AA50" s="35" t="s">
        <v>468</v>
      </c>
      <c r="AB50" s="35">
        <v>3.0</v>
      </c>
      <c r="AC50" s="35" t="s">
        <v>468</v>
      </c>
      <c r="AD50" s="35">
        <v>3.0</v>
      </c>
      <c r="AE50" s="95"/>
      <c r="AF50" s="95"/>
      <c r="AG50" s="35" t="s">
        <v>442</v>
      </c>
      <c r="AH50" s="35">
        <v>2.0</v>
      </c>
      <c r="AI50" s="87" t="s">
        <v>457</v>
      </c>
      <c r="AJ50" s="87">
        <v>2.0</v>
      </c>
      <c r="AK50" s="35" t="s">
        <v>495</v>
      </c>
      <c r="AL50" s="35">
        <v>4.0</v>
      </c>
      <c r="AM50" s="35" t="s">
        <v>533</v>
      </c>
      <c r="AN50" s="35">
        <v>1.0</v>
      </c>
    </row>
    <row r="51">
      <c r="A51" s="35" t="s">
        <v>515</v>
      </c>
      <c r="B51" s="35">
        <v>1.0</v>
      </c>
      <c r="C51" s="35" t="s">
        <v>496</v>
      </c>
      <c r="D51" s="35">
        <v>1.0</v>
      </c>
      <c r="E51" s="35" t="s">
        <v>462</v>
      </c>
      <c r="F51" s="35">
        <v>1.0</v>
      </c>
      <c r="I51" s="35" t="s">
        <v>463</v>
      </c>
      <c r="J51" s="35">
        <v>2.0</v>
      </c>
      <c r="K51" s="87" t="s">
        <v>417</v>
      </c>
      <c r="L51" s="87">
        <v>1.0</v>
      </c>
      <c r="M51" s="35" t="s">
        <v>517</v>
      </c>
      <c r="N51" s="35">
        <v>1.0</v>
      </c>
      <c r="O51" s="35" t="s">
        <v>457</v>
      </c>
      <c r="P51" s="35">
        <v>2.0</v>
      </c>
      <c r="Q51" s="35" t="s">
        <v>468</v>
      </c>
      <c r="R51" s="35">
        <v>1.0</v>
      </c>
      <c r="U51" s="35" t="s">
        <v>468</v>
      </c>
      <c r="V51" s="35">
        <v>2.0</v>
      </c>
      <c r="W51" s="87" t="s">
        <v>477</v>
      </c>
      <c r="X51" s="87">
        <v>1.0</v>
      </c>
      <c r="Y51" s="35" t="s">
        <v>517</v>
      </c>
      <c r="Z51" s="35">
        <v>1.0</v>
      </c>
      <c r="AA51" s="35" t="s">
        <v>472</v>
      </c>
      <c r="AB51" s="35">
        <v>2.0</v>
      </c>
      <c r="AC51" s="35" t="s">
        <v>472</v>
      </c>
      <c r="AD51" s="35">
        <v>1.0</v>
      </c>
      <c r="AE51" s="95"/>
      <c r="AF51" s="95"/>
      <c r="AG51" s="35" t="s">
        <v>453</v>
      </c>
      <c r="AH51" s="35">
        <v>2.0</v>
      </c>
      <c r="AI51" s="87" t="s">
        <v>465</v>
      </c>
      <c r="AJ51" s="87">
        <v>1.0</v>
      </c>
      <c r="AK51" s="35" t="s">
        <v>515</v>
      </c>
      <c r="AL51" s="35">
        <v>3.0</v>
      </c>
      <c r="AM51" s="35" t="s">
        <v>488</v>
      </c>
      <c r="AN51" s="35">
        <v>1.0</v>
      </c>
    </row>
    <row r="52">
      <c r="A52" s="35" t="s">
        <v>513</v>
      </c>
      <c r="B52" s="35">
        <v>2.0</v>
      </c>
      <c r="C52" s="35" t="s">
        <v>508</v>
      </c>
      <c r="D52" s="35">
        <v>1.0</v>
      </c>
      <c r="E52" s="35" t="s">
        <v>463</v>
      </c>
      <c r="F52" s="35">
        <v>3.0</v>
      </c>
      <c r="I52" s="35" t="s">
        <v>484</v>
      </c>
      <c r="J52" s="35">
        <v>1.0</v>
      </c>
      <c r="K52" s="87" t="s">
        <v>442</v>
      </c>
      <c r="L52" s="87">
        <v>1.0</v>
      </c>
      <c r="M52" s="35" t="s">
        <v>483</v>
      </c>
      <c r="N52" s="35">
        <v>1.0</v>
      </c>
      <c r="O52" s="35" t="s">
        <v>465</v>
      </c>
      <c r="P52" s="35">
        <v>2.0</v>
      </c>
      <c r="Q52" s="35" t="s">
        <v>517</v>
      </c>
      <c r="R52" s="35">
        <v>1.0</v>
      </c>
      <c r="U52" s="35" t="s">
        <v>514</v>
      </c>
      <c r="V52" s="35">
        <v>1.0</v>
      </c>
      <c r="W52" s="87" t="s">
        <v>483</v>
      </c>
      <c r="X52" s="87">
        <v>1.0</v>
      </c>
      <c r="Y52" s="35" t="s">
        <v>486</v>
      </c>
      <c r="Z52" s="35">
        <v>1.0</v>
      </c>
      <c r="AA52" s="35" t="s">
        <v>483</v>
      </c>
      <c r="AB52" s="35">
        <v>1.0</v>
      </c>
      <c r="AC52" s="35" t="s">
        <v>471</v>
      </c>
      <c r="AD52" s="35">
        <v>1.0</v>
      </c>
      <c r="AE52" s="95"/>
      <c r="AF52" s="95"/>
      <c r="AG52" s="35" t="s">
        <v>462</v>
      </c>
      <c r="AH52" s="35">
        <v>3.0</v>
      </c>
      <c r="AI52" s="87" t="s">
        <v>460</v>
      </c>
      <c r="AJ52" s="87">
        <v>1.0</v>
      </c>
      <c r="AK52" s="35" t="s">
        <v>513</v>
      </c>
      <c r="AL52" s="35">
        <v>1.0</v>
      </c>
      <c r="AM52" s="35" t="s">
        <v>497</v>
      </c>
      <c r="AN52" s="35">
        <v>1.0</v>
      </c>
    </row>
    <row r="53">
      <c r="A53" s="35" t="s">
        <v>519</v>
      </c>
      <c r="B53" s="35">
        <v>3.0</v>
      </c>
      <c r="C53" s="35" t="s">
        <v>495</v>
      </c>
      <c r="D53" s="35">
        <v>4.0</v>
      </c>
      <c r="E53" s="35" t="s">
        <v>468</v>
      </c>
      <c r="F53" s="35">
        <v>2.0</v>
      </c>
      <c r="I53" s="35" t="s">
        <v>674</v>
      </c>
      <c r="J53" s="35">
        <v>1.0</v>
      </c>
      <c r="K53" s="87" t="s">
        <v>453</v>
      </c>
      <c r="L53" s="87">
        <v>2.0</v>
      </c>
      <c r="M53" s="35" t="s">
        <v>500</v>
      </c>
      <c r="N53" s="35">
        <v>1.0</v>
      </c>
      <c r="O53" s="35" t="s">
        <v>462</v>
      </c>
      <c r="P53" s="35">
        <v>1.0</v>
      </c>
      <c r="Q53" s="35" t="s">
        <v>471</v>
      </c>
      <c r="R53" s="35">
        <v>1.0</v>
      </c>
      <c r="U53" s="35" t="s">
        <v>719</v>
      </c>
      <c r="V53" s="35">
        <v>1.0</v>
      </c>
      <c r="W53" s="87" t="s">
        <v>501</v>
      </c>
      <c r="X53" s="87">
        <v>1.0</v>
      </c>
      <c r="Y53" s="35" t="s">
        <v>533</v>
      </c>
      <c r="Z53" s="35">
        <v>1.0</v>
      </c>
      <c r="AA53" s="35" t="s">
        <v>674</v>
      </c>
      <c r="AB53" s="35">
        <v>1.0</v>
      </c>
      <c r="AC53" s="35" t="s">
        <v>674</v>
      </c>
      <c r="AD53" s="35">
        <v>1.0</v>
      </c>
      <c r="AE53" s="95"/>
      <c r="AF53" s="95"/>
      <c r="AG53" s="35" t="s">
        <v>468</v>
      </c>
      <c r="AH53" s="35">
        <v>2.0</v>
      </c>
      <c r="AI53" s="87" t="s">
        <v>462</v>
      </c>
      <c r="AJ53" s="87">
        <v>1.0</v>
      </c>
      <c r="AK53" s="35" t="s">
        <v>526</v>
      </c>
      <c r="AL53" s="35">
        <v>1.0</v>
      </c>
      <c r="AM53" s="35" t="s">
        <v>504</v>
      </c>
      <c r="AN53" s="35">
        <v>1.0</v>
      </c>
    </row>
    <row r="54">
      <c r="A54" s="35" t="s">
        <v>518</v>
      </c>
      <c r="B54" s="35">
        <v>2.0</v>
      </c>
      <c r="C54" s="35" t="s">
        <v>503</v>
      </c>
      <c r="D54" s="35">
        <v>2.0</v>
      </c>
      <c r="E54" s="35" t="s">
        <v>472</v>
      </c>
      <c r="F54" s="35">
        <v>1.0</v>
      </c>
      <c r="I54" s="35" t="s">
        <v>488</v>
      </c>
      <c r="J54" s="35">
        <v>1.0</v>
      </c>
      <c r="K54" s="35" t="s">
        <v>457</v>
      </c>
      <c r="L54" s="35">
        <v>2.0</v>
      </c>
      <c r="M54" s="35" t="s">
        <v>507</v>
      </c>
      <c r="N54" s="35">
        <v>1.0</v>
      </c>
      <c r="O54" s="35" t="s">
        <v>463</v>
      </c>
      <c r="P54" s="35">
        <v>1.0</v>
      </c>
      <c r="Q54" s="35" t="s">
        <v>514</v>
      </c>
      <c r="R54" s="35">
        <v>1.0</v>
      </c>
      <c r="U54" s="35" t="s">
        <v>507</v>
      </c>
      <c r="V54" s="35">
        <v>1.0</v>
      </c>
      <c r="W54" s="35" t="s">
        <v>497</v>
      </c>
      <c r="X54" s="35">
        <v>3.0</v>
      </c>
      <c r="Y54" s="35" t="s">
        <v>495</v>
      </c>
      <c r="Z54" s="35">
        <v>3.0</v>
      </c>
      <c r="AA54" s="35" t="s">
        <v>507</v>
      </c>
      <c r="AB54" s="35">
        <v>1.0</v>
      </c>
      <c r="AC54" s="35" t="s">
        <v>533</v>
      </c>
      <c r="AD54" s="35">
        <v>2.0</v>
      </c>
      <c r="AE54" s="95"/>
      <c r="AF54" s="95"/>
      <c r="AG54" s="35" t="s">
        <v>507</v>
      </c>
      <c r="AH54" s="35">
        <v>2.0</v>
      </c>
      <c r="AI54" s="87" t="s">
        <v>463</v>
      </c>
      <c r="AJ54" s="87">
        <v>2.0</v>
      </c>
      <c r="AK54" s="35" t="s">
        <v>519</v>
      </c>
      <c r="AL54" s="35">
        <v>2.0</v>
      </c>
      <c r="AM54" s="35" t="s">
        <v>495</v>
      </c>
      <c r="AN54" s="35">
        <v>2.0</v>
      </c>
    </row>
    <row r="55">
      <c r="A55" s="35" t="s">
        <v>525</v>
      </c>
      <c r="B55" s="35">
        <v>1.0</v>
      </c>
      <c r="C55" s="35" t="s">
        <v>513</v>
      </c>
      <c r="D55" s="35">
        <v>4.0</v>
      </c>
      <c r="E55" s="109" t="s">
        <v>471</v>
      </c>
      <c r="F55" s="35">
        <v>1.0</v>
      </c>
      <c r="I55" s="35" t="s">
        <v>719</v>
      </c>
      <c r="J55" s="35">
        <v>1.0</v>
      </c>
      <c r="K55" s="35" t="s">
        <v>465</v>
      </c>
      <c r="L55" s="35">
        <v>2.0</v>
      </c>
      <c r="M55" s="35" t="s">
        <v>508</v>
      </c>
      <c r="N55" s="35">
        <v>1.0</v>
      </c>
      <c r="O55" s="35" t="s">
        <v>468</v>
      </c>
      <c r="P55" s="35">
        <v>2.0</v>
      </c>
      <c r="Q55" s="35" t="s">
        <v>674</v>
      </c>
      <c r="R55" s="35">
        <v>2.0</v>
      </c>
      <c r="U55" s="35" t="s">
        <v>495</v>
      </c>
      <c r="V55" s="35">
        <v>2.0</v>
      </c>
      <c r="W55" s="35" t="s">
        <v>495</v>
      </c>
      <c r="X55" s="35">
        <v>1.0</v>
      </c>
      <c r="Y55" s="35" t="s">
        <v>523</v>
      </c>
      <c r="Z55" s="35">
        <v>1.0</v>
      </c>
      <c r="AA55" s="35" t="s">
        <v>495</v>
      </c>
      <c r="AB55" s="35">
        <v>4.0</v>
      </c>
      <c r="AC55" s="35" t="s">
        <v>487</v>
      </c>
      <c r="AD55" s="35">
        <v>1.0</v>
      </c>
      <c r="AE55" s="95"/>
      <c r="AF55" s="95"/>
      <c r="AG55" s="35" t="s">
        <v>508</v>
      </c>
      <c r="AH55" s="35">
        <v>2.0</v>
      </c>
      <c r="AI55" s="87" t="s">
        <v>468</v>
      </c>
      <c r="AJ55" s="87">
        <v>2.0</v>
      </c>
      <c r="AK55" s="35" t="s">
        <v>525</v>
      </c>
      <c r="AL55" s="35">
        <v>1.0</v>
      </c>
      <c r="AM55" s="35" t="s">
        <v>515</v>
      </c>
      <c r="AN55" s="35">
        <v>1.0</v>
      </c>
    </row>
    <row r="56">
      <c r="A56" s="35" t="s">
        <v>540</v>
      </c>
      <c r="B56" s="35">
        <v>1.0</v>
      </c>
      <c r="C56" s="35" t="s">
        <v>526</v>
      </c>
      <c r="D56" s="35">
        <v>1.0</v>
      </c>
      <c r="E56" s="35" t="s">
        <v>506</v>
      </c>
      <c r="F56" s="35">
        <v>1.0</v>
      </c>
      <c r="I56" s="35" t="s">
        <v>495</v>
      </c>
      <c r="J56" s="35">
        <v>2.0</v>
      </c>
      <c r="K56" s="35" t="s">
        <v>460</v>
      </c>
      <c r="L56" s="35">
        <v>1.0</v>
      </c>
      <c r="M56" s="35" t="s">
        <v>504</v>
      </c>
      <c r="N56" s="35">
        <v>1.0</v>
      </c>
      <c r="O56" s="35" t="s">
        <v>506</v>
      </c>
      <c r="P56" s="35">
        <v>1.0</v>
      </c>
      <c r="Q56" s="109" t="s">
        <v>487</v>
      </c>
      <c r="R56" s="35">
        <v>1.0</v>
      </c>
      <c r="U56" s="35" t="s">
        <v>515</v>
      </c>
      <c r="V56" s="35">
        <v>4.0</v>
      </c>
      <c r="W56" s="35" t="s">
        <v>515</v>
      </c>
      <c r="X56" s="35">
        <v>1.0</v>
      </c>
      <c r="Y56" s="35" t="s">
        <v>515</v>
      </c>
      <c r="Z56" s="35">
        <v>1.0</v>
      </c>
      <c r="AA56" s="35" t="s">
        <v>515</v>
      </c>
      <c r="AB56" s="35">
        <v>1.0</v>
      </c>
      <c r="AC56" s="109" t="s">
        <v>497</v>
      </c>
      <c r="AD56" s="35">
        <v>1.0</v>
      </c>
      <c r="AE56" s="95"/>
      <c r="AF56" s="95"/>
      <c r="AG56" s="35" t="s">
        <v>495</v>
      </c>
      <c r="AH56" s="35">
        <v>2.0</v>
      </c>
      <c r="AI56" s="35" t="s">
        <v>517</v>
      </c>
      <c r="AJ56" s="35">
        <v>1.0</v>
      </c>
      <c r="AK56" s="35" t="s">
        <v>540</v>
      </c>
      <c r="AL56" s="35">
        <v>1.0</v>
      </c>
      <c r="AM56" s="35" t="s">
        <v>503</v>
      </c>
      <c r="AN56" s="35">
        <v>2.0</v>
      </c>
    </row>
    <row r="57">
      <c r="A57" s="35" t="s">
        <v>537</v>
      </c>
      <c r="B57" s="35">
        <v>1.0</v>
      </c>
      <c r="C57" s="35" t="s">
        <v>519</v>
      </c>
      <c r="D57" s="35">
        <v>1.0</v>
      </c>
      <c r="E57" s="35" t="s">
        <v>483</v>
      </c>
      <c r="F57" s="35">
        <v>1.0</v>
      </c>
      <c r="I57" s="35" t="s">
        <v>515</v>
      </c>
      <c r="J57" s="35">
        <v>3.0</v>
      </c>
      <c r="K57" s="35" t="s">
        <v>462</v>
      </c>
      <c r="L57" s="35">
        <v>1.0</v>
      </c>
      <c r="M57" s="35" t="s">
        <v>495</v>
      </c>
      <c r="N57" s="35">
        <v>2.0</v>
      </c>
      <c r="O57" s="35" t="s">
        <v>674</v>
      </c>
      <c r="P57" s="35">
        <v>2.0</v>
      </c>
      <c r="Q57" s="35" t="s">
        <v>495</v>
      </c>
      <c r="R57" s="35">
        <v>3.0</v>
      </c>
      <c r="U57" s="35" t="s">
        <v>513</v>
      </c>
      <c r="V57" s="35">
        <v>1.0</v>
      </c>
      <c r="W57" s="35" t="s">
        <v>503</v>
      </c>
      <c r="X57" s="35">
        <v>1.0</v>
      </c>
      <c r="Y57" s="35" t="s">
        <v>513</v>
      </c>
      <c r="Z57" s="35">
        <v>4.0</v>
      </c>
      <c r="AA57" s="35" t="s">
        <v>503</v>
      </c>
      <c r="AB57" s="35">
        <v>1.0</v>
      </c>
      <c r="AC57" s="35" t="s">
        <v>508</v>
      </c>
      <c r="AD57" s="35">
        <v>2.0</v>
      </c>
      <c r="AE57" s="95"/>
      <c r="AF57" s="95"/>
      <c r="AG57" s="35" t="s">
        <v>515</v>
      </c>
      <c r="AH57" s="35">
        <v>2.0</v>
      </c>
      <c r="AI57" s="35" t="s">
        <v>481</v>
      </c>
      <c r="AJ57" s="35">
        <v>1.0</v>
      </c>
      <c r="AK57" s="35" t="s">
        <v>536</v>
      </c>
      <c r="AL57" s="35">
        <v>1.0</v>
      </c>
      <c r="AM57" s="35" t="s">
        <v>513</v>
      </c>
      <c r="AN57" s="35">
        <v>1.0</v>
      </c>
    </row>
    <row r="58">
      <c r="A58" s="35" t="s">
        <v>541</v>
      </c>
      <c r="B58" s="35">
        <v>1.0</v>
      </c>
      <c r="C58" s="35" t="s">
        <v>531</v>
      </c>
      <c r="D58" s="35">
        <v>1.0</v>
      </c>
      <c r="E58" s="35" t="s">
        <v>674</v>
      </c>
      <c r="F58" s="35">
        <v>1.0</v>
      </c>
      <c r="I58" s="35" t="s">
        <v>513</v>
      </c>
      <c r="J58" s="35">
        <v>1.0</v>
      </c>
      <c r="K58" s="35" t="s">
        <v>468</v>
      </c>
      <c r="L58" s="35">
        <v>1.0</v>
      </c>
      <c r="M58" s="35" t="s">
        <v>515</v>
      </c>
      <c r="N58" s="35">
        <v>2.0</v>
      </c>
      <c r="O58" s="35" t="s">
        <v>501</v>
      </c>
      <c r="P58" s="35">
        <v>1.0</v>
      </c>
      <c r="Q58" s="35" t="s">
        <v>523</v>
      </c>
      <c r="R58" s="35">
        <v>1.0</v>
      </c>
      <c r="U58" s="35" t="s">
        <v>519</v>
      </c>
      <c r="V58" s="35">
        <v>1.0</v>
      </c>
      <c r="W58" s="35" t="s">
        <v>521</v>
      </c>
      <c r="X58" s="35">
        <v>1.0</v>
      </c>
      <c r="Y58" s="35" t="s">
        <v>526</v>
      </c>
      <c r="Z58" s="35">
        <v>1.0</v>
      </c>
      <c r="AA58" s="35" t="s">
        <v>513</v>
      </c>
      <c r="AB58" s="35">
        <v>2.0</v>
      </c>
      <c r="AC58" s="35" t="s">
        <v>504</v>
      </c>
      <c r="AD58" s="35">
        <v>1.0</v>
      </c>
      <c r="AE58" s="95"/>
      <c r="AF58" s="95"/>
      <c r="AG58" s="35" t="s">
        <v>503</v>
      </c>
      <c r="AH58" s="35">
        <v>1.0</v>
      </c>
      <c r="AI58" s="35" t="s">
        <v>471</v>
      </c>
      <c r="AJ58" s="35">
        <v>1.0</v>
      </c>
      <c r="AK58" s="35" t="s">
        <v>571</v>
      </c>
      <c r="AL58" s="35">
        <v>1.0</v>
      </c>
      <c r="AM58" s="35" t="s">
        <v>526</v>
      </c>
      <c r="AN58" s="35">
        <v>1.0</v>
      </c>
    </row>
    <row r="59">
      <c r="A59" s="35" t="s">
        <v>535</v>
      </c>
      <c r="B59" s="35">
        <v>1.0</v>
      </c>
      <c r="C59" s="35" t="s">
        <v>518</v>
      </c>
      <c r="D59" s="35">
        <v>2.0</v>
      </c>
      <c r="E59" s="35" t="s">
        <v>501</v>
      </c>
      <c r="F59" s="35">
        <v>1.0</v>
      </c>
      <c r="I59" s="35" t="s">
        <v>526</v>
      </c>
      <c r="J59" s="35">
        <v>1.0</v>
      </c>
      <c r="K59" s="35" t="s">
        <v>476</v>
      </c>
      <c r="L59" s="35">
        <v>1.0</v>
      </c>
      <c r="M59" s="35" t="s">
        <v>513</v>
      </c>
      <c r="N59" s="35">
        <v>4.0</v>
      </c>
      <c r="O59" s="35" t="s">
        <v>488</v>
      </c>
      <c r="P59" s="35">
        <v>1.0</v>
      </c>
      <c r="Q59" s="35" t="s">
        <v>515</v>
      </c>
      <c r="R59" s="35">
        <v>2.0</v>
      </c>
      <c r="U59" s="35" t="s">
        <v>518</v>
      </c>
      <c r="V59" s="35">
        <v>1.0</v>
      </c>
      <c r="W59" s="35" t="s">
        <v>532</v>
      </c>
      <c r="X59" s="35">
        <v>1.0</v>
      </c>
      <c r="Y59" s="35" t="s">
        <v>519</v>
      </c>
      <c r="Z59" s="35">
        <v>1.0</v>
      </c>
      <c r="AA59" s="35" t="s">
        <v>519</v>
      </c>
      <c r="AB59" s="35">
        <v>1.0</v>
      </c>
      <c r="AC59" s="35" t="s">
        <v>495</v>
      </c>
      <c r="AD59" s="35">
        <v>4.0</v>
      </c>
      <c r="AE59" s="95"/>
      <c r="AF59" s="95"/>
      <c r="AG59" s="35" t="s">
        <v>519</v>
      </c>
      <c r="AH59" s="35">
        <v>6.0</v>
      </c>
      <c r="AI59" s="35" t="s">
        <v>486</v>
      </c>
      <c r="AJ59" s="35">
        <v>2.0</v>
      </c>
      <c r="AK59" s="35" t="s">
        <v>539</v>
      </c>
      <c r="AL59" s="35">
        <v>1.0</v>
      </c>
      <c r="AM59" s="35" t="s">
        <v>519</v>
      </c>
      <c r="AN59" s="35">
        <v>1.0</v>
      </c>
    </row>
    <row r="60">
      <c r="A60" s="35" t="s">
        <v>571</v>
      </c>
      <c r="B60" s="35">
        <v>1.0</v>
      </c>
      <c r="C60" s="35" t="s">
        <v>521</v>
      </c>
      <c r="D60" s="35">
        <v>1.0</v>
      </c>
      <c r="E60" s="35" t="s">
        <v>500</v>
      </c>
      <c r="F60" s="35">
        <v>1.0</v>
      </c>
      <c r="I60" s="35" t="s">
        <v>519</v>
      </c>
      <c r="J60" s="35">
        <v>1.0</v>
      </c>
      <c r="K60" s="35" t="s">
        <v>472</v>
      </c>
      <c r="L60" s="35">
        <v>1.0</v>
      </c>
      <c r="M60" s="35" t="s">
        <v>519</v>
      </c>
      <c r="N60" s="35">
        <v>2.0</v>
      </c>
      <c r="O60" s="35" t="s">
        <v>495</v>
      </c>
      <c r="P60" s="35">
        <v>2.0</v>
      </c>
      <c r="Q60" s="35" t="s">
        <v>503</v>
      </c>
      <c r="R60" s="35">
        <v>2.0</v>
      </c>
      <c r="U60" s="35" t="s">
        <v>530</v>
      </c>
      <c r="V60" s="35">
        <v>1.0</v>
      </c>
      <c r="W60" s="35" t="s">
        <v>536</v>
      </c>
      <c r="X60" s="35">
        <v>2.0</v>
      </c>
      <c r="Y60" s="35" t="s">
        <v>518</v>
      </c>
      <c r="Z60" s="35">
        <v>1.0</v>
      </c>
      <c r="AA60" s="35" t="s">
        <v>531</v>
      </c>
      <c r="AB60" s="35">
        <v>3.0</v>
      </c>
      <c r="AC60" s="35" t="s">
        <v>523</v>
      </c>
      <c r="AD60" s="35">
        <v>1.0</v>
      </c>
      <c r="AE60" s="95"/>
      <c r="AF60" s="95"/>
      <c r="AG60" s="35" t="s">
        <v>518</v>
      </c>
      <c r="AH60" s="35">
        <v>1.0</v>
      </c>
      <c r="AI60" s="35" t="s">
        <v>514</v>
      </c>
      <c r="AJ60" s="35">
        <v>1.0</v>
      </c>
      <c r="AK60" s="35" t="s">
        <v>544</v>
      </c>
      <c r="AL60" s="35">
        <v>1.0</v>
      </c>
      <c r="AM60" s="35" t="s">
        <v>531</v>
      </c>
      <c r="AN60" s="35">
        <v>4.0</v>
      </c>
    </row>
    <row r="61">
      <c r="A61" s="35" t="s">
        <v>548</v>
      </c>
      <c r="B61" s="35">
        <v>2.0</v>
      </c>
      <c r="C61" s="35" t="s">
        <v>540</v>
      </c>
      <c r="D61" s="35">
        <v>1.0</v>
      </c>
      <c r="E61" s="35" t="s">
        <v>487</v>
      </c>
      <c r="F61" s="35">
        <v>1.0</v>
      </c>
      <c r="I61" s="35" t="s">
        <v>536</v>
      </c>
      <c r="J61" s="35">
        <v>1.0</v>
      </c>
      <c r="K61" s="35" t="s">
        <v>486</v>
      </c>
      <c r="L61" s="35">
        <v>1.0</v>
      </c>
      <c r="M61" s="35" t="s">
        <v>518</v>
      </c>
      <c r="N61" s="35">
        <v>2.0</v>
      </c>
      <c r="O61" s="35" t="s">
        <v>503</v>
      </c>
      <c r="P61" s="35">
        <v>3.0</v>
      </c>
      <c r="Q61" s="35" t="s">
        <v>513</v>
      </c>
      <c r="R61" s="35">
        <v>1.0</v>
      </c>
      <c r="U61" s="35" t="s">
        <v>571</v>
      </c>
      <c r="V61" s="35">
        <v>1.0</v>
      </c>
      <c r="W61" s="35" t="s">
        <v>541</v>
      </c>
      <c r="X61" s="35">
        <v>1.0</v>
      </c>
      <c r="Y61" s="35" t="s">
        <v>525</v>
      </c>
      <c r="Z61" s="35">
        <v>1.0</v>
      </c>
      <c r="AA61" s="35" t="s">
        <v>518</v>
      </c>
      <c r="AB61" s="35">
        <v>3.0</v>
      </c>
      <c r="AC61" s="35" t="s">
        <v>515</v>
      </c>
      <c r="AD61" s="35">
        <v>4.0</v>
      </c>
      <c r="AE61" s="95"/>
      <c r="AF61" s="95"/>
      <c r="AG61" s="35" t="s">
        <v>521</v>
      </c>
      <c r="AH61" s="35">
        <v>1.0</v>
      </c>
      <c r="AI61" s="35" t="s">
        <v>483</v>
      </c>
      <c r="AJ61" s="35">
        <v>1.0</v>
      </c>
      <c r="AK61" s="35" t="s">
        <v>559</v>
      </c>
      <c r="AL61" s="35">
        <v>1.0</v>
      </c>
      <c r="AM61" s="35" t="s">
        <v>518</v>
      </c>
      <c r="AN61" s="35">
        <v>2.0</v>
      </c>
    </row>
    <row r="62">
      <c r="A62" s="8"/>
      <c r="B62" s="8"/>
      <c r="C62" s="35" t="s">
        <v>532</v>
      </c>
      <c r="D62" s="35">
        <v>1.0</v>
      </c>
      <c r="E62" s="35" t="s">
        <v>495</v>
      </c>
      <c r="F62" s="35">
        <v>3.0</v>
      </c>
      <c r="I62" s="35" t="s">
        <v>530</v>
      </c>
      <c r="J62" s="35">
        <v>1.0</v>
      </c>
      <c r="K62" s="35" t="s">
        <v>501</v>
      </c>
      <c r="L62" s="35">
        <v>1.0</v>
      </c>
      <c r="M62" s="35" t="s">
        <v>530</v>
      </c>
      <c r="N62" s="35">
        <v>2.0</v>
      </c>
      <c r="O62" s="35" t="s">
        <v>513</v>
      </c>
      <c r="P62" s="35">
        <v>3.0</v>
      </c>
      <c r="Q62" s="35" t="s">
        <v>526</v>
      </c>
      <c r="R62" s="35">
        <v>1.0</v>
      </c>
      <c r="U62" s="35" t="s">
        <v>544</v>
      </c>
      <c r="V62" s="35">
        <v>1.0</v>
      </c>
      <c r="W62" s="35" t="s">
        <v>535</v>
      </c>
      <c r="X62" s="35">
        <v>1.0</v>
      </c>
      <c r="Y62" s="35" t="s">
        <v>537</v>
      </c>
      <c r="Z62" s="35">
        <v>1.0</v>
      </c>
      <c r="AA62" s="35" t="s">
        <v>525</v>
      </c>
      <c r="AB62" s="35">
        <v>1.0</v>
      </c>
      <c r="AC62" s="35" t="s">
        <v>503</v>
      </c>
      <c r="AD62" s="35">
        <v>1.0</v>
      </c>
      <c r="AE62" s="95"/>
      <c r="AF62" s="95"/>
      <c r="AG62" s="35" t="s">
        <v>525</v>
      </c>
      <c r="AH62" s="35">
        <v>1.0</v>
      </c>
      <c r="AI62" s="35" t="s">
        <v>533</v>
      </c>
      <c r="AJ62" s="35">
        <v>1.0</v>
      </c>
      <c r="AK62" s="35" t="s">
        <v>548</v>
      </c>
      <c r="AL62" s="35">
        <v>1.0</v>
      </c>
      <c r="AM62" s="35" t="s">
        <v>521</v>
      </c>
      <c r="AN62" s="35">
        <v>2.0</v>
      </c>
    </row>
    <row r="63">
      <c r="A63" s="8"/>
      <c r="B63" s="69">
        <v>76.0</v>
      </c>
      <c r="C63" s="35" t="s">
        <v>530</v>
      </c>
      <c r="D63" s="35">
        <v>1.0</v>
      </c>
      <c r="E63" s="35" t="s">
        <v>515</v>
      </c>
      <c r="F63" s="35">
        <v>2.0</v>
      </c>
      <c r="I63" s="35" t="s">
        <v>571</v>
      </c>
      <c r="J63" s="35">
        <v>1.0</v>
      </c>
      <c r="K63" s="87" t="s">
        <v>533</v>
      </c>
      <c r="L63" s="158">
        <v>2.0</v>
      </c>
      <c r="M63" s="35" t="s">
        <v>553</v>
      </c>
      <c r="N63" s="35">
        <v>1.0</v>
      </c>
      <c r="O63" s="35" t="s">
        <v>526</v>
      </c>
      <c r="P63" s="35">
        <v>1.0</v>
      </c>
      <c r="Q63" s="35" t="s">
        <v>519</v>
      </c>
      <c r="R63" s="35">
        <v>2.0</v>
      </c>
      <c r="U63" s="35" t="s">
        <v>676</v>
      </c>
      <c r="V63" s="35">
        <v>1.0</v>
      </c>
      <c r="W63" s="87" t="s">
        <v>539</v>
      </c>
      <c r="X63" s="158">
        <v>2.0</v>
      </c>
      <c r="Y63" s="35" t="s">
        <v>536</v>
      </c>
      <c r="Z63" s="35">
        <v>2.0</v>
      </c>
      <c r="AA63" s="35" t="s">
        <v>540</v>
      </c>
      <c r="AB63" s="35">
        <v>1.0</v>
      </c>
      <c r="AC63" s="35" t="s">
        <v>513</v>
      </c>
      <c r="AD63" s="35">
        <v>1.0</v>
      </c>
      <c r="AE63" s="95"/>
      <c r="AF63" s="95"/>
      <c r="AG63" s="35" t="s">
        <v>530</v>
      </c>
      <c r="AH63" s="35">
        <v>1.0</v>
      </c>
      <c r="AI63" s="35" t="s">
        <v>487</v>
      </c>
      <c r="AJ63" s="35">
        <v>1.0</v>
      </c>
      <c r="AK63" s="35" t="s">
        <v>562</v>
      </c>
      <c r="AL63" s="35">
        <v>1.0</v>
      </c>
      <c r="AM63" s="35" t="s">
        <v>525</v>
      </c>
      <c r="AN63" s="35">
        <v>1.0</v>
      </c>
    </row>
    <row r="64">
      <c r="C64" s="35" t="s">
        <v>541</v>
      </c>
      <c r="D64" s="35">
        <v>1.0</v>
      </c>
      <c r="E64" s="35" t="s">
        <v>503</v>
      </c>
      <c r="F64" s="35">
        <v>1.0</v>
      </c>
      <c r="I64" s="35" t="s">
        <v>548</v>
      </c>
      <c r="J64" s="35">
        <v>2.0</v>
      </c>
      <c r="K64" s="87" t="s">
        <v>508</v>
      </c>
      <c r="L64" s="158">
        <v>1.0</v>
      </c>
      <c r="M64" s="35" t="s">
        <v>544</v>
      </c>
      <c r="N64" s="35">
        <v>1.0</v>
      </c>
      <c r="O64" s="35" t="s">
        <v>519</v>
      </c>
      <c r="P64" s="35">
        <v>1.0</v>
      </c>
      <c r="Q64" s="35" t="s">
        <v>525</v>
      </c>
      <c r="R64" s="35">
        <v>4.0</v>
      </c>
      <c r="U64" s="35" t="s">
        <v>559</v>
      </c>
      <c r="V64" s="35">
        <v>1.0</v>
      </c>
      <c r="W64" s="87" t="s">
        <v>544</v>
      </c>
      <c r="X64" s="158">
        <v>1.0</v>
      </c>
      <c r="Y64" s="35" t="s">
        <v>530</v>
      </c>
      <c r="Z64" s="35">
        <v>2.0</v>
      </c>
      <c r="AA64" s="35" t="s">
        <v>532</v>
      </c>
      <c r="AB64" s="35">
        <v>1.0</v>
      </c>
      <c r="AC64" s="35" t="s">
        <v>526</v>
      </c>
      <c r="AD64" s="35">
        <v>1.0</v>
      </c>
      <c r="AE64" s="95"/>
      <c r="AF64" s="95"/>
      <c r="AG64" s="35" t="s">
        <v>535</v>
      </c>
      <c r="AH64" s="35">
        <v>1.0</v>
      </c>
      <c r="AI64" s="35" t="s">
        <v>497</v>
      </c>
      <c r="AJ64" s="35">
        <v>1.0</v>
      </c>
      <c r="AK64" s="35"/>
      <c r="AL64" s="35"/>
      <c r="AM64" s="35" t="s">
        <v>540</v>
      </c>
      <c r="AN64" s="35">
        <v>1.0</v>
      </c>
    </row>
    <row r="65">
      <c r="C65" s="35" t="s">
        <v>553</v>
      </c>
      <c r="D65" s="35">
        <v>1.0</v>
      </c>
      <c r="E65" s="35" t="s">
        <v>513</v>
      </c>
      <c r="F65" s="35">
        <v>3.0</v>
      </c>
      <c r="I65" s="35" t="s">
        <v>562</v>
      </c>
      <c r="J65" s="35">
        <v>1.0</v>
      </c>
      <c r="K65" s="87" t="s">
        <v>495</v>
      </c>
      <c r="L65" s="158">
        <v>1.0</v>
      </c>
      <c r="M65" s="35" t="s">
        <v>548</v>
      </c>
      <c r="N65" s="35">
        <v>1.0</v>
      </c>
      <c r="O65" s="35" t="s">
        <v>518</v>
      </c>
      <c r="P65" s="35">
        <v>1.0</v>
      </c>
      <c r="Q65" s="35" t="s">
        <v>540</v>
      </c>
      <c r="R65" s="35">
        <v>1.0</v>
      </c>
      <c r="U65" s="35" t="s">
        <v>548</v>
      </c>
      <c r="V65" s="35">
        <v>2.0</v>
      </c>
      <c r="W65" s="87" t="s">
        <v>559</v>
      </c>
      <c r="X65" s="158">
        <v>1.0</v>
      </c>
      <c r="Y65" s="35" t="s">
        <v>571</v>
      </c>
      <c r="Z65" s="35">
        <v>1.0</v>
      </c>
      <c r="AA65" s="35" t="s">
        <v>536</v>
      </c>
      <c r="AB65" s="35">
        <v>1.0</v>
      </c>
      <c r="AC65" s="35" t="s">
        <v>519</v>
      </c>
      <c r="AD65" s="35">
        <v>1.0</v>
      </c>
      <c r="AE65" s="95"/>
      <c r="AF65" s="95"/>
      <c r="AG65" s="35" t="s">
        <v>571</v>
      </c>
      <c r="AH65" s="35">
        <v>2.0</v>
      </c>
      <c r="AI65" s="35" t="s">
        <v>504</v>
      </c>
      <c r="AJ65" s="35">
        <v>1.0</v>
      </c>
      <c r="AK65" s="35"/>
      <c r="AL65" s="72">
        <v>77.0</v>
      </c>
      <c r="AM65" s="35" t="s">
        <v>532</v>
      </c>
      <c r="AN65" s="35">
        <v>2.0</v>
      </c>
    </row>
    <row r="66">
      <c r="C66" s="35" t="s">
        <v>539</v>
      </c>
      <c r="D66" s="35">
        <v>2.0</v>
      </c>
      <c r="E66" s="35" t="s">
        <v>526</v>
      </c>
      <c r="F66" s="35">
        <v>2.0</v>
      </c>
      <c r="I66" s="35" t="s">
        <v>569</v>
      </c>
      <c r="J66" s="35">
        <v>2.0</v>
      </c>
      <c r="K66" s="35" t="s">
        <v>503</v>
      </c>
      <c r="L66" s="35">
        <v>1.0</v>
      </c>
      <c r="M66" s="8"/>
      <c r="N66" s="8"/>
      <c r="O66" s="35" t="s">
        <v>525</v>
      </c>
      <c r="P66" s="35">
        <v>2.0</v>
      </c>
      <c r="Q66" s="35" t="s">
        <v>532</v>
      </c>
      <c r="R66" s="35">
        <v>1.0</v>
      </c>
      <c r="U66" s="8"/>
      <c r="V66" s="8"/>
      <c r="W66" s="35" t="s">
        <v>548</v>
      </c>
      <c r="X66" s="35">
        <v>1.0</v>
      </c>
      <c r="Y66" s="35" t="s">
        <v>544</v>
      </c>
      <c r="Z66" s="35">
        <v>1.0</v>
      </c>
      <c r="AA66" s="35" t="s">
        <v>530</v>
      </c>
      <c r="AB66" s="35">
        <v>1.0</v>
      </c>
      <c r="AC66" s="35" t="s">
        <v>525</v>
      </c>
      <c r="AD66" s="35">
        <v>4.0</v>
      </c>
      <c r="AE66" s="95"/>
      <c r="AF66" s="95"/>
      <c r="AG66" s="35" t="s">
        <v>562</v>
      </c>
      <c r="AH66" s="35">
        <v>2.0</v>
      </c>
      <c r="AI66" s="35" t="s">
        <v>495</v>
      </c>
      <c r="AJ66" s="35">
        <v>1.0</v>
      </c>
      <c r="AK66" s="95"/>
      <c r="AL66" s="95"/>
      <c r="AM66" s="35" t="s">
        <v>537</v>
      </c>
      <c r="AN66" s="35">
        <v>1.0</v>
      </c>
    </row>
    <row r="67">
      <c r="C67" s="35" t="s">
        <v>676</v>
      </c>
      <c r="D67" s="35">
        <v>2.0</v>
      </c>
      <c r="E67" s="35" t="s">
        <v>519</v>
      </c>
      <c r="F67" s="35">
        <v>1.0</v>
      </c>
      <c r="I67" s="8"/>
      <c r="J67" s="8"/>
      <c r="K67" s="35" t="s">
        <v>519</v>
      </c>
      <c r="L67" s="35">
        <v>2.0</v>
      </c>
      <c r="M67" s="8"/>
      <c r="N67" s="69">
        <v>76.0</v>
      </c>
      <c r="O67" s="35" t="s">
        <v>540</v>
      </c>
      <c r="P67" s="35">
        <v>2.0</v>
      </c>
      <c r="Q67" s="35" t="s">
        <v>536</v>
      </c>
      <c r="R67" s="35">
        <v>3.0</v>
      </c>
      <c r="U67" s="8"/>
      <c r="V67" s="69">
        <v>77.0</v>
      </c>
      <c r="W67" s="35" t="s">
        <v>552</v>
      </c>
      <c r="X67" s="35">
        <v>2.0</v>
      </c>
      <c r="Y67" s="35" t="s">
        <v>559</v>
      </c>
      <c r="Z67" s="35">
        <v>1.0</v>
      </c>
      <c r="AA67" s="35" t="s">
        <v>553</v>
      </c>
      <c r="AB67" s="35">
        <v>1.0</v>
      </c>
      <c r="AC67" s="35" t="s">
        <v>532</v>
      </c>
      <c r="AD67" s="35">
        <v>4.0</v>
      </c>
      <c r="AE67" s="95"/>
      <c r="AF67" s="95"/>
      <c r="AG67" s="35"/>
      <c r="AH67" s="35"/>
      <c r="AI67" s="87" t="s">
        <v>513</v>
      </c>
      <c r="AJ67" s="158">
        <v>2.0</v>
      </c>
      <c r="AK67" s="186"/>
      <c r="AL67" s="186"/>
      <c r="AM67" s="35" t="s">
        <v>536</v>
      </c>
      <c r="AN67" s="35">
        <v>1.0</v>
      </c>
    </row>
    <row r="68">
      <c r="C68" s="35" t="s">
        <v>548</v>
      </c>
      <c r="D68" s="35">
        <v>2.0</v>
      </c>
      <c r="E68" s="35" t="s">
        <v>518</v>
      </c>
      <c r="F68" s="35">
        <v>1.0</v>
      </c>
      <c r="I68" s="8"/>
      <c r="J68" s="69">
        <v>85.0</v>
      </c>
      <c r="K68" s="35" t="s">
        <v>537</v>
      </c>
      <c r="L68" s="35">
        <v>1.0</v>
      </c>
      <c r="O68" s="35" t="s">
        <v>532</v>
      </c>
      <c r="P68" s="35">
        <v>3.0</v>
      </c>
      <c r="Q68" s="35" t="s">
        <v>530</v>
      </c>
      <c r="R68" s="35">
        <v>1.0</v>
      </c>
      <c r="W68" s="8"/>
      <c r="X68" s="8"/>
      <c r="Y68" s="35" t="s">
        <v>548</v>
      </c>
      <c r="Z68" s="35">
        <v>2.0</v>
      </c>
      <c r="AA68" s="35" t="s">
        <v>571</v>
      </c>
      <c r="AB68" s="35">
        <v>1.0</v>
      </c>
      <c r="AC68" s="35" t="s">
        <v>536</v>
      </c>
      <c r="AD68" s="35">
        <v>1.0</v>
      </c>
      <c r="AE68" s="95"/>
      <c r="AF68" s="95"/>
      <c r="AG68" s="35"/>
      <c r="AH68" s="72">
        <v>81.0</v>
      </c>
      <c r="AI68" s="87" t="s">
        <v>518</v>
      </c>
      <c r="AJ68" s="158">
        <v>1.0</v>
      </c>
      <c r="AK68" s="186"/>
      <c r="AL68" s="186"/>
      <c r="AM68" s="35" t="s">
        <v>535</v>
      </c>
      <c r="AN68" s="35">
        <v>1.0</v>
      </c>
    </row>
    <row r="69">
      <c r="C69" s="35" t="s">
        <v>552</v>
      </c>
      <c r="D69" s="35">
        <v>2.0</v>
      </c>
      <c r="E69" s="35" t="s">
        <v>525</v>
      </c>
      <c r="F69" s="35">
        <v>5.0</v>
      </c>
      <c r="K69" s="35" t="s">
        <v>536</v>
      </c>
      <c r="L69" s="35">
        <v>1.0</v>
      </c>
      <c r="O69" s="35" t="s">
        <v>544</v>
      </c>
      <c r="P69" s="35">
        <v>1.0</v>
      </c>
      <c r="Q69" s="35" t="s">
        <v>535</v>
      </c>
      <c r="R69" s="35">
        <v>1.0</v>
      </c>
      <c r="W69" s="8"/>
      <c r="X69" s="69">
        <v>84.0</v>
      </c>
      <c r="Y69" s="35" t="s">
        <v>562</v>
      </c>
      <c r="Z69" s="35">
        <v>2.0</v>
      </c>
      <c r="AA69" s="35" t="s">
        <v>539</v>
      </c>
      <c r="AB69" s="35">
        <v>1.0</v>
      </c>
      <c r="AC69" s="35" t="s">
        <v>530</v>
      </c>
      <c r="AD69" s="35">
        <v>3.0</v>
      </c>
      <c r="AE69" s="95"/>
      <c r="AF69" s="95"/>
      <c r="AG69" s="95"/>
      <c r="AH69" s="95"/>
      <c r="AI69" s="87" t="s">
        <v>527</v>
      </c>
      <c r="AJ69" s="158">
        <v>1.0</v>
      </c>
      <c r="AK69" s="186"/>
      <c r="AL69" s="186"/>
      <c r="AM69" s="35" t="s">
        <v>539</v>
      </c>
      <c r="AN69" s="35">
        <v>1.0</v>
      </c>
    </row>
    <row r="70">
      <c r="C70" s="35" t="s">
        <v>562</v>
      </c>
      <c r="D70" s="35">
        <v>1.0</v>
      </c>
      <c r="E70" s="35" t="s">
        <v>540</v>
      </c>
      <c r="F70" s="35">
        <v>2.0</v>
      </c>
      <c r="K70" s="35" t="s">
        <v>530</v>
      </c>
      <c r="L70" s="35">
        <v>2.0</v>
      </c>
      <c r="O70" s="35" t="s">
        <v>676</v>
      </c>
      <c r="P70" s="35">
        <v>2.0</v>
      </c>
      <c r="Q70" s="35" t="s">
        <v>553</v>
      </c>
      <c r="R70" s="35">
        <v>1.0</v>
      </c>
      <c r="Y70" s="35" t="s">
        <v>555</v>
      </c>
      <c r="Z70" s="35">
        <v>1.0</v>
      </c>
      <c r="AA70" s="35" t="s">
        <v>548</v>
      </c>
      <c r="AB70" s="35">
        <v>1.0</v>
      </c>
      <c r="AC70" s="35" t="s">
        <v>541</v>
      </c>
      <c r="AD70" s="35">
        <v>1.0</v>
      </c>
      <c r="AE70" s="95"/>
      <c r="AF70" s="95"/>
      <c r="AG70" s="95"/>
      <c r="AH70" s="95"/>
      <c r="AI70" s="87" t="s">
        <v>525</v>
      </c>
      <c r="AJ70" s="158">
        <v>1.0</v>
      </c>
      <c r="AK70" s="186"/>
      <c r="AL70" s="186"/>
      <c r="AM70" s="35" t="s">
        <v>552</v>
      </c>
      <c r="AN70" s="35">
        <v>2.0</v>
      </c>
    </row>
    <row r="71">
      <c r="C71" s="8"/>
      <c r="D71" s="8"/>
      <c r="E71" s="35" t="s">
        <v>532</v>
      </c>
      <c r="F71" s="35">
        <v>2.0</v>
      </c>
      <c r="K71" s="35" t="s">
        <v>535</v>
      </c>
      <c r="L71" s="35">
        <v>2.0</v>
      </c>
      <c r="O71" s="35" t="s">
        <v>552</v>
      </c>
      <c r="P71" s="35">
        <v>1.0</v>
      </c>
      <c r="Q71" s="35" t="s">
        <v>571</v>
      </c>
      <c r="R71" s="35">
        <v>1.0</v>
      </c>
      <c r="Y71" s="8"/>
      <c r="Z71" s="8"/>
      <c r="AA71" s="35" t="s">
        <v>552</v>
      </c>
      <c r="AB71" s="35">
        <v>2.0</v>
      </c>
      <c r="AC71" s="35" t="s">
        <v>553</v>
      </c>
      <c r="AD71" s="35">
        <v>2.0</v>
      </c>
      <c r="AE71" s="95"/>
      <c r="AF71" s="95"/>
      <c r="AG71" s="95"/>
      <c r="AH71" s="95"/>
      <c r="AI71" s="35" t="s">
        <v>553</v>
      </c>
      <c r="AJ71" s="35">
        <v>1.0</v>
      </c>
      <c r="AK71" s="95"/>
      <c r="AL71" s="95"/>
      <c r="AM71" s="35" t="s">
        <v>562</v>
      </c>
      <c r="AN71" s="35">
        <v>1.0</v>
      </c>
    </row>
    <row r="72">
      <c r="C72" s="8"/>
      <c r="D72" s="69">
        <v>85.0</v>
      </c>
      <c r="E72" s="35" t="s">
        <v>537</v>
      </c>
      <c r="F72" s="35">
        <v>1.0</v>
      </c>
      <c r="K72" s="35" t="s">
        <v>571</v>
      </c>
      <c r="L72" s="35">
        <v>1.0</v>
      </c>
      <c r="O72" s="35" t="s">
        <v>569</v>
      </c>
      <c r="P72" s="35">
        <v>1.0</v>
      </c>
      <c r="Q72" s="35" t="s">
        <v>544</v>
      </c>
      <c r="R72" s="35">
        <v>2.0</v>
      </c>
      <c r="Y72" s="8"/>
      <c r="Z72" s="69">
        <v>79.0</v>
      </c>
      <c r="AA72" s="35" t="s">
        <v>562</v>
      </c>
      <c r="AB72" s="35">
        <v>1.0</v>
      </c>
      <c r="AC72" s="35" t="s">
        <v>571</v>
      </c>
      <c r="AD72" s="35">
        <v>1.0</v>
      </c>
      <c r="AE72" s="95"/>
      <c r="AF72" s="95"/>
      <c r="AG72" s="95"/>
      <c r="AH72" s="95"/>
      <c r="AI72" s="35" t="s">
        <v>571</v>
      </c>
      <c r="AJ72" s="35">
        <v>2.0</v>
      </c>
      <c r="AK72" s="95"/>
      <c r="AL72" s="95"/>
      <c r="AM72" s="35" t="s">
        <v>565</v>
      </c>
      <c r="AN72" s="35">
        <v>1.0</v>
      </c>
    </row>
    <row r="73">
      <c r="E73" s="35" t="s">
        <v>536</v>
      </c>
      <c r="F73" s="35">
        <v>2.0</v>
      </c>
      <c r="K73" s="35" t="s">
        <v>552</v>
      </c>
      <c r="L73" s="35">
        <v>1.0</v>
      </c>
      <c r="O73" s="8"/>
      <c r="P73" s="8"/>
      <c r="Q73" s="35" t="s">
        <v>559</v>
      </c>
      <c r="R73" s="35">
        <v>1.0</v>
      </c>
      <c r="AA73" s="35" t="s">
        <v>565</v>
      </c>
      <c r="AB73" s="35">
        <v>2.0</v>
      </c>
      <c r="AC73" s="35" t="s">
        <v>544</v>
      </c>
      <c r="AD73" s="35">
        <v>2.0</v>
      </c>
      <c r="AE73" s="95"/>
      <c r="AF73" s="95"/>
      <c r="AG73" s="95"/>
      <c r="AH73" s="95"/>
      <c r="AI73" s="35" t="s">
        <v>539</v>
      </c>
      <c r="AJ73" s="35">
        <v>1.0</v>
      </c>
      <c r="AK73" s="95"/>
      <c r="AL73" s="95"/>
      <c r="AM73" s="35" t="s">
        <v>569</v>
      </c>
      <c r="AN73" s="35">
        <v>1.0</v>
      </c>
    </row>
    <row r="74">
      <c r="E74" s="35" t="s">
        <v>530</v>
      </c>
      <c r="F74" s="35">
        <v>2.0</v>
      </c>
      <c r="K74" s="8"/>
      <c r="L74" s="8"/>
      <c r="O74" s="8"/>
      <c r="P74" s="69">
        <v>88.0</v>
      </c>
      <c r="Q74" s="35" t="s">
        <v>548</v>
      </c>
      <c r="R74" s="35">
        <v>2.0</v>
      </c>
      <c r="AA74" s="35" t="s">
        <v>569</v>
      </c>
      <c r="AB74" s="35">
        <v>2.0</v>
      </c>
      <c r="AC74" s="35" t="s">
        <v>552</v>
      </c>
      <c r="AD74" s="35">
        <v>2.0</v>
      </c>
      <c r="AE74" s="95"/>
      <c r="AF74" s="95"/>
      <c r="AG74" s="95"/>
      <c r="AH74" s="95"/>
      <c r="AI74" s="35" t="s">
        <v>544</v>
      </c>
      <c r="AJ74" s="35">
        <v>2.0</v>
      </c>
      <c r="AK74" s="95"/>
      <c r="AL74" s="95"/>
      <c r="AM74" s="35"/>
      <c r="AN74" s="35"/>
    </row>
    <row r="75">
      <c r="E75" s="35" t="s">
        <v>535</v>
      </c>
      <c r="F75" s="35">
        <v>1.0</v>
      </c>
      <c r="K75" s="8"/>
      <c r="L75" s="69">
        <v>84.0</v>
      </c>
      <c r="Q75" s="35" t="s">
        <v>552</v>
      </c>
      <c r="R75" s="35">
        <v>2.0</v>
      </c>
      <c r="AA75" s="8"/>
      <c r="AB75" s="8"/>
      <c r="AC75" s="35" t="s">
        <v>562</v>
      </c>
      <c r="AD75" s="35">
        <v>1.0</v>
      </c>
      <c r="AE75" s="95"/>
      <c r="AF75" s="95"/>
      <c r="AG75" s="95"/>
      <c r="AH75" s="95"/>
      <c r="AI75" s="35" t="s">
        <v>556</v>
      </c>
      <c r="AJ75" s="35">
        <v>1.0</v>
      </c>
      <c r="AK75" s="95"/>
      <c r="AL75" s="95"/>
      <c r="AM75" s="35"/>
      <c r="AN75" s="72">
        <v>83.0</v>
      </c>
    </row>
    <row r="76">
      <c r="E76" s="35" t="s">
        <v>553</v>
      </c>
      <c r="F76" s="35">
        <v>1.0</v>
      </c>
      <c r="Q76" s="35" t="s">
        <v>562</v>
      </c>
      <c r="R76" s="35">
        <v>1.0</v>
      </c>
      <c r="AA76" s="8"/>
      <c r="AB76" s="69">
        <v>86.0</v>
      </c>
      <c r="AC76" s="35" t="s">
        <v>569</v>
      </c>
      <c r="AD76" s="35">
        <v>1.0</v>
      </c>
      <c r="AE76" s="95"/>
      <c r="AF76" s="95"/>
      <c r="AG76" s="95"/>
      <c r="AH76" s="95"/>
      <c r="AI76" s="35" t="s">
        <v>548</v>
      </c>
      <c r="AJ76" s="35">
        <v>1.0</v>
      </c>
      <c r="AK76" s="95"/>
      <c r="AL76" s="95"/>
      <c r="AM76" s="95"/>
      <c r="AN76" s="95"/>
    </row>
    <row r="77">
      <c r="E77" s="35" t="s">
        <v>539</v>
      </c>
      <c r="F77" s="35">
        <v>1.0</v>
      </c>
      <c r="Q77" s="35" t="s">
        <v>569</v>
      </c>
      <c r="R77" s="35">
        <v>1.0</v>
      </c>
      <c r="AC77" s="35" t="s">
        <v>555</v>
      </c>
      <c r="AD77" s="35">
        <v>1.0</v>
      </c>
      <c r="AE77" s="95"/>
      <c r="AF77" s="95"/>
      <c r="AG77" s="95"/>
      <c r="AH77" s="95"/>
      <c r="AI77" s="35" t="s">
        <v>552</v>
      </c>
      <c r="AJ77" s="35">
        <v>3.0</v>
      </c>
      <c r="AK77" s="95"/>
      <c r="AL77" s="95"/>
      <c r="AM77" s="95"/>
      <c r="AN77" s="95"/>
    </row>
    <row r="78">
      <c r="E78" s="35" t="s">
        <v>548</v>
      </c>
      <c r="F78" s="35">
        <v>2.0</v>
      </c>
      <c r="Q78" s="8"/>
      <c r="R78" s="8"/>
      <c r="AC78" s="8"/>
      <c r="AD78" s="8"/>
      <c r="AE78" s="93"/>
      <c r="AF78" s="93"/>
      <c r="AG78" s="93"/>
      <c r="AH78" s="93"/>
      <c r="AI78" s="35" t="s">
        <v>562</v>
      </c>
      <c r="AJ78" s="35">
        <v>1.0</v>
      </c>
      <c r="AK78" s="95"/>
      <c r="AL78" s="95"/>
      <c r="AM78" s="95"/>
      <c r="AN78" s="95"/>
    </row>
    <row r="79">
      <c r="E79" s="35" t="s">
        <v>552</v>
      </c>
      <c r="F79" s="35">
        <v>1.0</v>
      </c>
      <c r="Q79" s="8"/>
      <c r="R79" s="69">
        <v>95.0</v>
      </c>
      <c r="AC79" s="8"/>
      <c r="AD79" s="69">
        <v>99.0</v>
      </c>
      <c r="AE79" s="92"/>
      <c r="AF79" s="92"/>
      <c r="AG79" s="92"/>
      <c r="AH79" s="92"/>
      <c r="AI79" s="69"/>
      <c r="AJ79" s="69"/>
      <c r="AK79" s="92"/>
      <c r="AL79" s="92"/>
      <c r="AM79" s="92"/>
      <c r="AN79" s="92"/>
    </row>
    <row r="80">
      <c r="E80" s="35" t="s">
        <v>555</v>
      </c>
      <c r="F80" s="35">
        <v>1.0</v>
      </c>
      <c r="AI80" s="8"/>
      <c r="AJ80" s="69">
        <v>90.0</v>
      </c>
      <c r="AK80" s="92"/>
      <c r="AL80" s="92"/>
      <c r="AM80" s="92"/>
      <c r="AN80" s="92"/>
    </row>
    <row r="81">
      <c r="E81" s="8"/>
      <c r="F81" s="8"/>
    </row>
    <row r="82">
      <c r="E82" s="8"/>
      <c r="F82" s="69">
        <v>101.0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6.63"/>
    <col hidden="1" min="2" max="2" width="12.63"/>
    <col customWidth="1" hidden="1" min="3" max="3" width="36.63"/>
    <col hidden="1" min="4" max="4" width="12.63"/>
    <col customWidth="1" hidden="1" min="5" max="5" width="36.63"/>
    <col hidden="1" min="6" max="6" width="12.63"/>
    <col customWidth="1" hidden="1" min="7" max="7" width="36.63"/>
    <col hidden="1" min="8" max="8" width="12.63"/>
    <col customWidth="1" hidden="1" min="9" max="9" width="36.63"/>
    <col hidden="1" min="10" max="10" width="12.63"/>
    <col customWidth="1" hidden="1" min="11" max="11" width="36.63"/>
    <col hidden="1" min="12" max="12" width="12.63"/>
    <col customWidth="1" hidden="1" min="13" max="13" width="36.63"/>
    <col hidden="1" min="14" max="14" width="12.63"/>
    <col customWidth="1" hidden="1" min="15" max="15" width="36.63"/>
    <col hidden="1" min="16" max="16" width="12.63"/>
    <col customWidth="1" hidden="1" min="17" max="17" width="36.63"/>
    <col hidden="1" min="18" max="18" width="12.63"/>
    <col customWidth="1" hidden="1" min="19" max="19" width="36.63"/>
    <col hidden="1" min="20" max="20" width="12.63"/>
    <col customWidth="1" hidden="1" min="21" max="21" width="36.63"/>
    <col hidden="1" min="22" max="22" width="12.63"/>
    <col customWidth="1" hidden="1" min="23" max="23" width="36.63"/>
    <col hidden="1" min="24" max="24" width="12.63"/>
    <col customWidth="1" hidden="1" min="25" max="25" width="36.63"/>
    <col hidden="1" min="26" max="26" width="12.63"/>
    <col customWidth="1" hidden="1" min="27" max="27" width="36.63"/>
    <col hidden="1" min="28" max="28" width="12.63"/>
    <col customWidth="1" hidden="1" min="29" max="29" width="36.63"/>
    <col hidden="1" min="30" max="30" width="12.63"/>
    <col customWidth="1" hidden="1" min="31" max="31" width="36.63"/>
    <col hidden="1" min="32" max="32" width="12.63"/>
    <col customWidth="1" hidden="1" min="33" max="33" width="36.63"/>
    <col hidden="1" min="34" max="34" width="12.63"/>
    <col customWidth="1" hidden="1" min="35" max="35" width="36.63"/>
    <col hidden="1" min="36" max="36" width="12.63"/>
    <col customWidth="1" hidden="1" min="37" max="37" width="36.63"/>
    <col hidden="1" min="38" max="38" width="12.63"/>
    <col customWidth="1" hidden="1" min="39" max="39" width="36.63"/>
    <col hidden="1" min="40" max="40" width="12.63"/>
    <col customWidth="1" hidden="1" min="41" max="41" width="36.63"/>
    <col hidden="1" min="42" max="42" width="12.63"/>
    <col customWidth="1" hidden="1" min="43" max="43" width="36.63"/>
    <col hidden="1" min="44" max="44" width="12.63"/>
    <col customWidth="1" min="45" max="45" width="36.63"/>
    <col customWidth="1" min="47" max="47" width="36.63"/>
    <col customWidth="1" min="49" max="49" width="36.63"/>
    <col customWidth="1" min="51" max="51" width="36.63"/>
  </cols>
  <sheetData>
    <row r="1">
      <c r="A1" s="11" t="s">
        <v>721</v>
      </c>
      <c r="B1" s="87"/>
      <c r="C1" s="11" t="s">
        <v>722</v>
      </c>
      <c r="D1" s="87"/>
      <c r="E1" s="11" t="s">
        <v>723</v>
      </c>
      <c r="F1" s="87"/>
      <c r="G1" s="11" t="s">
        <v>724</v>
      </c>
      <c r="H1" s="87"/>
      <c r="I1" s="11" t="s">
        <v>725</v>
      </c>
      <c r="J1" s="87"/>
      <c r="K1" s="11" t="s">
        <v>726</v>
      </c>
      <c r="L1" s="87"/>
      <c r="M1" s="11" t="s">
        <v>727</v>
      </c>
      <c r="N1" s="87"/>
      <c r="O1" s="11" t="s">
        <v>728</v>
      </c>
      <c r="P1" s="87"/>
      <c r="Q1" s="11" t="s">
        <v>729</v>
      </c>
      <c r="R1" s="87"/>
      <c r="S1" s="11" t="s">
        <v>730</v>
      </c>
      <c r="T1" s="87"/>
      <c r="U1" s="11" t="s">
        <v>731</v>
      </c>
      <c r="V1" s="87"/>
      <c r="W1" s="11" t="s">
        <v>732</v>
      </c>
      <c r="X1" s="87"/>
      <c r="Y1" s="11" t="s">
        <v>733</v>
      </c>
      <c r="Z1" s="87"/>
      <c r="AA1" s="11" t="s">
        <v>734</v>
      </c>
      <c r="AB1" s="87"/>
      <c r="AC1" s="11" t="s">
        <v>735</v>
      </c>
      <c r="AD1" s="87"/>
      <c r="AE1" s="11" t="s">
        <v>736</v>
      </c>
      <c r="AF1" s="87"/>
      <c r="AG1" s="11" t="s">
        <v>737</v>
      </c>
      <c r="AH1" s="87"/>
      <c r="AI1" s="11" t="s">
        <v>738</v>
      </c>
      <c r="AJ1" s="87"/>
      <c r="AK1" s="11" t="s">
        <v>739</v>
      </c>
      <c r="AL1" s="87"/>
      <c r="AM1" s="11" t="s">
        <v>740</v>
      </c>
      <c r="AN1" s="87"/>
      <c r="AO1" s="11" t="s">
        <v>741</v>
      </c>
      <c r="AP1" s="87"/>
      <c r="AQ1" s="11" t="s">
        <v>742</v>
      </c>
      <c r="AR1" s="87"/>
      <c r="AS1" s="11" t="s">
        <v>743</v>
      </c>
      <c r="AT1" s="87"/>
      <c r="AU1" s="11" t="s">
        <v>744</v>
      </c>
      <c r="AV1" s="87"/>
      <c r="AW1" s="11" t="s">
        <v>745</v>
      </c>
      <c r="AX1" s="87"/>
      <c r="AY1" s="11" t="s">
        <v>746</v>
      </c>
      <c r="AZ1" s="87"/>
    </row>
    <row r="2">
      <c r="A2" s="35" t="s">
        <v>12</v>
      </c>
      <c r="B2" s="35">
        <v>9.0</v>
      </c>
      <c r="C2" s="35" t="s">
        <v>54</v>
      </c>
      <c r="D2" s="35">
        <v>47.0</v>
      </c>
      <c r="E2" s="35" t="s">
        <v>12</v>
      </c>
      <c r="F2" s="35">
        <v>5.0</v>
      </c>
      <c r="G2" s="35" t="s">
        <v>12</v>
      </c>
      <c r="H2" s="35">
        <v>5.0</v>
      </c>
      <c r="I2" s="35" t="s">
        <v>12</v>
      </c>
      <c r="J2" s="35">
        <v>5.0</v>
      </c>
      <c r="K2" s="35" t="s">
        <v>12</v>
      </c>
      <c r="L2" s="35">
        <v>8.0</v>
      </c>
      <c r="M2" s="35" t="s">
        <v>12</v>
      </c>
      <c r="N2" s="35">
        <v>8.0</v>
      </c>
      <c r="O2" s="35" t="s">
        <v>54</v>
      </c>
      <c r="P2" s="35">
        <v>49.0</v>
      </c>
      <c r="Q2" s="35" t="s">
        <v>12</v>
      </c>
      <c r="R2" s="35">
        <v>2.0</v>
      </c>
      <c r="S2" s="35" t="s">
        <v>12</v>
      </c>
      <c r="T2" s="35">
        <v>6.0</v>
      </c>
      <c r="U2" s="35" t="s">
        <v>12</v>
      </c>
      <c r="V2" s="35">
        <v>3.0</v>
      </c>
      <c r="W2" s="35" t="s">
        <v>12</v>
      </c>
      <c r="X2" s="35">
        <v>7.0</v>
      </c>
      <c r="Y2" s="35" t="s">
        <v>12</v>
      </c>
      <c r="Z2" s="35">
        <v>5.0</v>
      </c>
      <c r="AA2" s="35" t="s">
        <v>54</v>
      </c>
      <c r="AB2" s="35">
        <v>48.0</v>
      </c>
      <c r="AC2" s="35" t="s">
        <v>12</v>
      </c>
      <c r="AD2" s="35">
        <v>2.0</v>
      </c>
      <c r="AE2" s="35" t="s">
        <v>12</v>
      </c>
      <c r="AF2" s="35">
        <v>5.0</v>
      </c>
      <c r="AG2" s="35" t="s">
        <v>12</v>
      </c>
      <c r="AH2" s="35">
        <v>3.0</v>
      </c>
      <c r="AI2" s="35" t="s">
        <v>12</v>
      </c>
      <c r="AJ2" s="35">
        <v>5.0</v>
      </c>
      <c r="AK2" s="35" t="s">
        <v>12</v>
      </c>
      <c r="AL2" s="35">
        <v>10.0</v>
      </c>
      <c r="AM2" s="35" t="s">
        <v>54</v>
      </c>
      <c r="AN2" s="35">
        <v>50.0</v>
      </c>
      <c r="AO2" s="35" t="s">
        <v>12</v>
      </c>
      <c r="AP2" s="35">
        <v>1.0</v>
      </c>
      <c r="AQ2" s="35" t="s">
        <v>12</v>
      </c>
      <c r="AR2" s="35">
        <v>4.0</v>
      </c>
      <c r="AS2" s="35" t="s">
        <v>12</v>
      </c>
      <c r="AT2" s="35">
        <v>2.0</v>
      </c>
      <c r="AU2" s="35" t="s">
        <v>12</v>
      </c>
      <c r="AV2" s="35">
        <v>8.0</v>
      </c>
      <c r="AW2" s="35" t="s">
        <v>12</v>
      </c>
      <c r="AX2" s="35">
        <v>9.0</v>
      </c>
      <c r="AY2" s="155" t="s">
        <v>54</v>
      </c>
      <c r="AZ2" s="155">
        <v>45.0</v>
      </c>
    </row>
    <row r="3">
      <c r="A3" s="35" t="s">
        <v>16</v>
      </c>
      <c r="B3" s="35">
        <v>12.0</v>
      </c>
      <c r="C3" s="35" t="s">
        <v>71</v>
      </c>
      <c r="D3" s="35">
        <v>22.0</v>
      </c>
      <c r="E3" s="35" t="s">
        <v>16</v>
      </c>
      <c r="F3" s="35">
        <v>21.0</v>
      </c>
      <c r="G3" s="35" t="s">
        <v>16</v>
      </c>
      <c r="H3" s="35">
        <v>20.0</v>
      </c>
      <c r="I3" s="35" t="s">
        <v>16</v>
      </c>
      <c r="J3" s="35">
        <v>12.0</v>
      </c>
      <c r="K3" s="35" t="s">
        <v>16</v>
      </c>
      <c r="L3" s="35">
        <v>18.0</v>
      </c>
      <c r="M3" s="35" t="s">
        <v>16</v>
      </c>
      <c r="N3" s="35">
        <v>21.0</v>
      </c>
      <c r="O3" s="35" t="s">
        <v>71</v>
      </c>
      <c r="P3" s="35">
        <v>21.0</v>
      </c>
      <c r="Q3" s="35" t="s">
        <v>16</v>
      </c>
      <c r="R3" s="35">
        <v>14.0</v>
      </c>
      <c r="S3" s="35" t="s">
        <v>16</v>
      </c>
      <c r="T3" s="35">
        <v>18.0</v>
      </c>
      <c r="U3" s="35" t="s">
        <v>16</v>
      </c>
      <c r="V3" s="35">
        <v>14.0</v>
      </c>
      <c r="W3" s="35" t="s">
        <v>16</v>
      </c>
      <c r="X3" s="35">
        <v>18.0</v>
      </c>
      <c r="Y3" s="35" t="s">
        <v>16</v>
      </c>
      <c r="Z3" s="35">
        <v>22.0</v>
      </c>
      <c r="AA3" s="35" t="s">
        <v>71</v>
      </c>
      <c r="AB3" s="35">
        <v>19.0</v>
      </c>
      <c r="AC3" s="35" t="s">
        <v>16</v>
      </c>
      <c r="AD3" s="35">
        <v>16.0</v>
      </c>
      <c r="AE3" s="35" t="s">
        <v>16</v>
      </c>
      <c r="AF3" s="35">
        <v>23.0</v>
      </c>
      <c r="AG3" s="35" t="s">
        <v>16</v>
      </c>
      <c r="AH3" s="35">
        <v>11.0</v>
      </c>
      <c r="AI3" s="35" t="s">
        <v>16</v>
      </c>
      <c r="AJ3" s="35">
        <v>25.0</v>
      </c>
      <c r="AK3" s="35" t="s">
        <v>16</v>
      </c>
      <c r="AL3" s="35">
        <v>19.0</v>
      </c>
      <c r="AM3" s="35" t="s">
        <v>71</v>
      </c>
      <c r="AN3" s="35">
        <v>20.0</v>
      </c>
      <c r="AO3" s="35" t="s">
        <v>16</v>
      </c>
      <c r="AP3" s="35">
        <v>19.0</v>
      </c>
      <c r="AQ3" s="35" t="s">
        <v>16</v>
      </c>
      <c r="AR3" s="35">
        <v>17.0</v>
      </c>
      <c r="AS3" s="35" t="s">
        <v>16</v>
      </c>
      <c r="AT3" s="35">
        <v>17.0</v>
      </c>
      <c r="AU3" s="35" t="s">
        <v>16</v>
      </c>
      <c r="AV3" s="35">
        <v>23.0</v>
      </c>
      <c r="AW3" s="35" t="s">
        <v>16</v>
      </c>
      <c r="AX3" s="35">
        <v>16.0</v>
      </c>
      <c r="AY3" s="155" t="s">
        <v>71</v>
      </c>
      <c r="AZ3" s="155">
        <v>19.0</v>
      </c>
    </row>
    <row r="4">
      <c r="A4" s="35" t="s">
        <v>23</v>
      </c>
      <c r="B4" s="35">
        <v>6.0</v>
      </c>
      <c r="C4" s="8"/>
      <c r="D4" s="8"/>
      <c r="E4" s="35" t="s">
        <v>23</v>
      </c>
      <c r="F4" s="35">
        <v>5.0</v>
      </c>
      <c r="G4" s="35" t="s">
        <v>23</v>
      </c>
      <c r="H4" s="35">
        <v>3.0</v>
      </c>
      <c r="I4" s="35" t="s">
        <v>23</v>
      </c>
      <c r="J4" s="35">
        <v>4.0</v>
      </c>
      <c r="K4" s="35" t="s">
        <v>23</v>
      </c>
      <c r="L4" s="35">
        <v>2.0</v>
      </c>
      <c r="M4" s="35" t="s">
        <v>23</v>
      </c>
      <c r="N4" s="35">
        <v>5.0</v>
      </c>
      <c r="O4" s="8"/>
      <c r="P4" s="8"/>
      <c r="Q4" s="35" t="s">
        <v>23</v>
      </c>
      <c r="R4" s="35">
        <v>4.0</v>
      </c>
      <c r="S4" s="35" t="s">
        <v>23</v>
      </c>
      <c r="T4" s="35">
        <v>5.0</v>
      </c>
      <c r="U4" s="35" t="s">
        <v>23</v>
      </c>
      <c r="V4" s="35">
        <v>7.0</v>
      </c>
      <c r="W4" s="35" t="s">
        <v>23</v>
      </c>
      <c r="X4" s="35">
        <v>6.0</v>
      </c>
      <c r="Y4" s="35" t="s">
        <v>23</v>
      </c>
      <c r="Z4" s="35">
        <v>6.0</v>
      </c>
      <c r="AA4" s="35"/>
      <c r="AB4" s="35"/>
      <c r="AC4" s="35" t="s">
        <v>23</v>
      </c>
      <c r="AD4" s="35">
        <v>2.0</v>
      </c>
      <c r="AE4" s="35" t="s">
        <v>23</v>
      </c>
      <c r="AF4" s="35">
        <v>4.0</v>
      </c>
      <c r="AG4" s="35" t="s">
        <v>23</v>
      </c>
      <c r="AH4" s="35">
        <v>5.0</v>
      </c>
      <c r="AI4" s="35" t="s">
        <v>23</v>
      </c>
      <c r="AJ4" s="35">
        <v>5.0</v>
      </c>
      <c r="AK4" s="35" t="s">
        <v>23</v>
      </c>
      <c r="AL4" s="35">
        <v>9.0</v>
      </c>
      <c r="AM4" s="35"/>
      <c r="AN4" s="35"/>
      <c r="AO4" s="35" t="s">
        <v>23</v>
      </c>
      <c r="AP4" s="35">
        <v>4.0</v>
      </c>
      <c r="AQ4" s="35" t="s">
        <v>23</v>
      </c>
      <c r="AR4" s="35">
        <v>4.0</v>
      </c>
      <c r="AS4" s="35" t="s">
        <v>23</v>
      </c>
      <c r="AT4" s="35">
        <v>5.0</v>
      </c>
      <c r="AU4" s="35" t="s">
        <v>23</v>
      </c>
      <c r="AV4" s="35">
        <v>3.0</v>
      </c>
      <c r="AW4" s="35" t="s">
        <v>23</v>
      </c>
      <c r="AX4" s="35">
        <v>8.0</v>
      </c>
      <c r="AY4" s="35"/>
      <c r="AZ4" s="35"/>
    </row>
    <row r="5">
      <c r="A5" s="35" t="s">
        <v>47</v>
      </c>
      <c r="B5" s="35">
        <v>7.0</v>
      </c>
      <c r="C5" s="8"/>
      <c r="D5" s="69">
        <v>69.0</v>
      </c>
      <c r="E5" s="35" t="s">
        <v>47</v>
      </c>
      <c r="F5" s="35">
        <v>9.0</v>
      </c>
      <c r="G5" s="35" t="s">
        <v>47</v>
      </c>
      <c r="H5" s="35">
        <v>3.0</v>
      </c>
      <c r="I5" s="35" t="s">
        <v>47</v>
      </c>
      <c r="J5" s="35">
        <v>6.0</v>
      </c>
      <c r="K5" s="35" t="s">
        <v>47</v>
      </c>
      <c r="L5" s="35">
        <v>3.0</v>
      </c>
      <c r="M5" s="35" t="s">
        <v>47</v>
      </c>
      <c r="N5" s="35">
        <v>8.0</v>
      </c>
      <c r="O5" s="8"/>
      <c r="P5" s="69">
        <v>70.0</v>
      </c>
      <c r="Q5" s="35" t="s">
        <v>47</v>
      </c>
      <c r="R5" s="35">
        <v>14.0</v>
      </c>
      <c r="S5" s="35" t="s">
        <v>47</v>
      </c>
      <c r="T5" s="35">
        <v>4.0</v>
      </c>
      <c r="U5" s="35" t="s">
        <v>47</v>
      </c>
      <c r="V5" s="35">
        <v>5.0</v>
      </c>
      <c r="W5" s="35" t="s">
        <v>47</v>
      </c>
      <c r="X5" s="35">
        <v>7.0</v>
      </c>
      <c r="Y5" s="35" t="s">
        <v>47</v>
      </c>
      <c r="Z5" s="35">
        <v>9.0</v>
      </c>
      <c r="AA5" s="35"/>
      <c r="AB5" s="72">
        <v>67.0</v>
      </c>
      <c r="AC5" s="35" t="s">
        <v>47</v>
      </c>
      <c r="AD5" s="35">
        <v>11.0</v>
      </c>
      <c r="AE5" s="35" t="s">
        <v>47</v>
      </c>
      <c r="AF5" s="35">
        <v>5.0</v>
      </c>
      <c r="AG5" s="35" t="s">
        <v>47</v>
      </c>
      <c r="AH5" s="35">
        <v>2.0</v>
      </c>
      <c r="AI5" s="35" t="s">
        <v>47</v>
      </c>
      <c r="AJ5" s="35">
        <v>4.0</v>
      </c>
      <c r="AK5" s="35" t="s">
        <v>47</v>
      </c>
      <c r="AL5" s="35">
        <v>5.0</v>
      </c>
      <c r="AM5" s="35"/>
      <c r="AN5" s="72">
        <v>70.0</v>
      </c>
      <c r="AO5" s="35" t="s">
        <v>47</v>
      </c>
      <c r="AP5" s="35">
        <v>7.0</v>
      </c>
      <c r="AQ5" s="35" t="s">
        <v>47</v>
      </c>
      <c r="AR5" s="35">
        <v>7.0</v>
      </c>
      <c r="AS5" s="35" t="s">
        <v>47</v>
      </c>
      <c r="AT5" s="35">
        <v>7.0</v>
      </c>
      <c r="AU5" s="35" t="s">
        <v>47</v>
      </c>
      <c r="AV5" s="35">
        <v>7.0</v>
      </c>
      <c r="AW5" s="35" t="s">
        <v>47</v>
      </c>
      <c r="AX5" s="35">
        <v>6.0</v>
      </c>
      <c r="AY5" s="35"/>
      <c r="AZ5" s="72">
        <v>64.0</v>
      </c>
    </row>
    <row r="6">
      <c r="A6" s="35" t="s">
        <v>55</v>
      </c>
      <c r="B6" s="35">
        <v>16.0</v>
      </c>
      <c r="C6" s="8"/>
      <c r="D6" s="8"/>
      <c r="E6" s="35" t="s">
        <v>55</v>
      </c>
      <c r="F6" s="35">
        <v>17.0</v>
      </c>
      <c r="G6" s="35" t="s">
        <v>55</v>
      </c>
      <c r="H6" s="35">
        <v>15.0</v>
      </c>
      <c r="I6" s="35" t="s">
        <v>55</v>
      </c>
      <c r="J6" s="35">
        <v>6.0</v>
      </c>
      <c r="K6" s="35" t="s">
        <v>55</v>
      </c>
      <c r="L6" s="35">
        <v>6.0</v>
      </c>
      <c r="M6" s="35" t="s">
        <v>55</v>
      </c>
      <c r="N6" s="35">
        <v>11.0</v>
      </c>
      <c r="O6" s="8"/>
      <c r="P6" s="8"/>
      <c r="Q6" s="35" t="s">
        <v>55</v>
      </c>
      <c r="R6" s="35">
        <v>17.0</v>
      </c>
      <c r="S6" s="35" t="s">
        <v>55</v>
      </c>
      <c r="T6" s="35">
        <v>13.0</v>
      </c>
      <c r="U6" s="35" t="s">
        <v>55</v>
      </c>
      <c r="V6" s="35">
        <v>8.0</v>
      </c>
      <c r="W6" s="35" t="s">
        <v>55</v>
      </c>
      <c r="X6" s="35">
        <v>8.0</v>
      </c>
      <c r="Y6" s="35" t="s">
        <v>55</v>
      </c>
      <c r="Z6" s="35">
        <v>15.0</v>
      </c>
      <c r="AA6" s="35"/>
      <c r="AB6" s="35"/>
      <c r="AC6" s="35" t="s">
        <v>55</v>
      </c>
      <c r="AD6" s="35">
        <v>16.0</v>
      </c>
      <c r="AE6" s="35" t="s">
        <v>55</v>
      </c>
      <c r="AF6" s="35">
        <v>12.0</v>
      </c>
      <c r="AG6" s="35" t="s">
        <v>55</v>
      </c>
      <c r="AH6" s="35">
        <v>14.0</v>
      </c>
      <c r="AI6" s="35" t="s">
        <v>55</v>
      </c>
      <c r="AJ6" s="35">
        <v>12.0</v>
      </c>
      <c r="AK6" s="35" t="s">
        <v>55</v>
      </c>
      <c r="AL6" s="35">
        <v>13.0</v>
      </c>
      <c r="AM6" s="35"/>
      <c r="AN6" s="35"/>
      <c r="AO6" s="35" t="s">
        <v>55</v>
      </c>
      <c r="AP6" s="35">
        <v>19.0</v>
      </c>
      <c r="AQ6" s="35" t="s">
        <v>55</v>
      </c>
      <c r="AR6" s="35">
        <v>14.0</v>
      </c>
      <c r="AS6" s="35" t="s">
        <v>55</v>
      </c>
      <c r="AT6" s="35">
        <v>10.0</v>
      </c>
      <c r="AU6" s="35" t="s">
        <v>55</v>
      </c>
      <c r="AV6" s="35">
        <v>9.0</v>
      </c>
      <c r="AW6" s="35" t="s">
        <v>55</v>
      </c>
      <c r="AX6" s="35">
        <v>12.0</v>
      </c>
      <c r="AY6" s="35"/>
      <c r="AZ6" s="35"/>
    </row>
    <row r="7">
      <c r="A7" s="35" t="s">
        <v>57</v>
      </c>
      <c r="B7" s="35">
        <v>16.0</v>
      </c>
      <c r="C7" s="35" t="s">
        <v>66</v>
      </c>
      <c r="D7" s="35">
        <v>19.0</v>
      </c>
      <c r="E7" s="35" t="s">
        <v>57</v>
      </c>
      <c r="F7" s="35">
        <v>11.0</v>
      </c>
      <c r="G7" s="35" t="s">
        <v>57</v>
      </c>
      <c r="H7" s="35">
        <v>8.0</v>
      </c>
      <c r="I7" s="35" t="s">
        <v>57</v>
      </c>
      <c r="J7" s="35">
        <v>17.0</v>
      </c>
      <c r="K7" s="35" t="s">
        <v>57</v>
      </c>
      <c r="L7" s="35">
        <v>17.0</v>
      </c>
      <c r="M7" s="35" t="s">
        <v>57</v>
      </c>
      <c r="N7" s="35">
        <v>12.0</v>
      </c>
      <c r="O7" s="35" t="s">
        <v>66</v>
      </c>
      <c r="P7" s="35">
        <v>19.0</v>
      </c>
      <c r="Q7" s="35" t="s">
        <v>57</v>
      </c>
      <c r="R7" s="35">
        <v>13.0</v>
      </c>
      <c r="S7" s="35" t="s">
        <v>57</v>
      </c>
      <c r="T7" s="35">
        <v>5.0</v>
      </c>
      <c r="U7" s="35" t="s">
        <v>57</v>
      </c>
      <c r="V7" s="35">
        <v>16.0</v>
      </c>
      <c r="W7" s="35" t="s">
        <v>57</v>
      </c>
      <c r="X7" s="35">
        <v>17.0</v>
      </c>
      <c r="Y7" s="35" t="s">
        <v>57</v>
      </c>
      <c r="Z7" s="35">
        <v>10.0</v>
      </c>
      <c r="AA7" s="35" t="s">
        <v>66</v>
      </c>
      <c r="AB7" s="35">
        <v>21.0</v>
      </c>
      <c r="AC7" s="35" t="s">
        <v>57</v>
      </c>
      <c r="AD7" s="35">
        <v>18.0</v>
      </c>
      <c r="AE7" s="35" t="s">
        <v>57</v>
      </c>
      <c r="AF7" s="35">
        <v>11.0</v>
      </c>
      <c r="AG7" s="35" t="s">
        <v>57</v>
      </c>
      <c r="AH7" s="35">
        <v>14.0</v>
      </c>
      <c r="AI7" s="35" t="s">
        <v>57</v>
      </c>
      <c r="AJ7" s="35">
        <v>15.0</v>
      </c>
      <c r="AK7" s="35" t="s">
        <v>57</v>
      </c>
      <c r="AL7" s="35">
        <v>10.0</v>
      </c>
      <c r="AM7" s="35" t="s">
        <v>66</v>
      </c>
      <c r="AN7" s="35">
        <v>19.0</v>
      </c>
      <c r="AO7" s="35" t="s">
        <v>57</v>
      </c>
      <c r="AP7" s="35">
        <v>16.0</v>
      </c>
      <c r="AQ7" s="35" t="s">
        <v>57</v>
      </c>
      <c r="AR7" s="35">
        <v>10.0</v>
      </c>
      <c r="AS7" s="35" t="s">
        <v>57</v>
      </c>
      <c r="AT7" s="35">
        <v>11.0</v>
      </c>
      <c r="AU7" s="35" t="s">
        <v>57</v>
      </c>
      <c r="AV7" s="35">
        <v>12.0</v>
      </c>
      <c r="AW7" s="35" t="s">
        <v>57</v>
      </c>
      <c r="AX7" s="35">
        <v>9.0</v>
      </c>
      <c r="AY7" s="155" t="s">
        <v>66</v>
      </c>
      <c r="AZ7" s="155">
        <v>17.0</v>
      </c>
    </row>
    <row r="8">
      <c r="A8" s="35" t="s">
        <v>62</v>
      </c>
      <c r="B8" s="35">
        <v>7.0</v>
      </c>
      <c r="C8" s="35" t="s">
        <v>76</v>
      </c>
      <c r="D8" s="35">
        <v>10.0</v>
      </c>
      <c r="E8" s="35" t="s">
        <v>62</v>
      </c>
      <c r="F8" s="35">
        <v>2.0</v>
      </c>
      <c r="G8" s="35" t="s">
        <v>62</v>
      </c>
      <c r="H8" s="35">
        <v>10.0</v>
      </c>
      <c r="I8" s="35" t="s">
        <v>62</v>
      </c>
      <c r="J8" s="35">
        <v>4.0</v>
      </c>
      <c r="K8" s="35" t="s">
        <v>62</v>
      </c>
      <c r="L8" s="35">
        <v>7.0</v>
      </c>
      <c r="M8" s="35" t="s">
        <v>62</v>
      </c>
      <c r="N8" s="35">
        <v>10.0</v>
      </c>
      <c r="O8" s="35" t="s">
        <v>76</v>
      </c>
      <c r="P8" s="35">
        <v>11.0</v>
      </c>
      <c r="Q8" s="35" t="s">
        <v>5</v>
      </c>
      <c r="R8" s="35">
        <v>8.0</v>
      </c>
      <c r="S8" s="35" t="s">
        <v>62</v>
      </c>
      <c r="T8" s="35">
        <v>10.0</v>
      </c>
      <c r="U8" s="35" t="s">
        <v>62</v>
      </c>
      <c r="V8" s="35">
        <v>6.0</v>
      </c>
      <c r="W8" s="35" t="s">
        <v>62</v>
      </c>
      <c r="X8" s="35">
        <v>7.0</v>
      </c>
      <c r="Y8" s="35" t="s">
        <v>62</v>
      </c>
      <c r="Z8" s="35">
        <v>6.0</v>
      </c>
      <c r="AA8" s="35" t="s">
        <v>76</v>
      </c>
      <c r="AB8" s="35">
        <v>10.0</v>
      </c>
      <c r="AC8" s="35" t="s">
        <v>62</v>
      </c>
      <c r="AD8" s="35">
        <v>1.0</v>
      </c>
      <c r="AE8" s="35" t="s">
        <v>62</v>
      </c>
      <c r="AF8" s="35">
        <v>6.0</v>
      </c>
      <c r="AG8" s="35" t="s">
        <v>62</v>
      </c>
      <c r="AH8" s="35">
        <v>6.0</v>
      </c>
      <c r="AI8" s="35" t="s">
        <v>62</v>
      </c>
      <c r="AJ8" s="35">
        <v>6.0</v>
      </c>
      <c r="AK8" s="35" t="s">
        <v>62</v>
      </c>
      <c r="AL8" s="35">
        <v>5.0</v>
      </c>
      <c r="AM8" s="35" t="s">
        <v>76</v>
      </c>
      <c r="AN8" s="35">
        <v>10.0</v>
      </c>
      <c r="AO8" s="35" t="s">
        <v>62</v>
      </c>
      <c r="AP8" s="35">
        <v>1.0</v>
      </c>
      <c r="AQ8" s="35" t="s">
        <v>62</v>
      </c>
      <c r="AR8" s="35">
        <v>10.0</v>
      </c>
      <c r="AS8" s="109" t="s">
        <v>62</v>
      </c>
      <c r="AT8" s="35">
        <v>2.0</v>
      </c>
      <c r="AU8" s="35" t="s">
        <v>62</v>
      </c>
      <c r="AV8" s="35">
        <v>8.0</v>
      </c>
      <c r="AW8" s="35" t="s">
        <v>62</v>
      </c>
      <c r="AX8" s="35">
        <v>10.0</v>
      </c>
      <c r="AY8" s="155" t="s">
        <v>76</v>
      </c>
      <c r="AZ8" s="155">
        <v>8.0</v>
      </c>
    </row>
    <row r="9">
      <c r="A9" s="35" t="s">
        <v>5</v>
      </c>
      <c r="B9" s="35">
        <v>13.0</v>
      </c>
      <c r="C9" s="35" t="s">
        <v>100</v>
      </c>
      <c r="D9" s="35">
        <v>40.0</v>
      </c>
      <c r="E9" s="35" t="s">
        <v>5</v>
      </c>
      <c r="F9" s="35">
        <v>4.0</v>
      </c>
      <c r="G9" s="35" t="s">
        <v>5</v>
      </c>
      <c r="H9" s="35">
        <v>7.0</v>
      </c>
      <c r="I9" s="35" t="s">
        <v>5</v>
      </c>
      <c r="J9" s="35">
        <v>11.0</v>
      </c>
      <c r="K9" s="35" t="s">
        <v>5</v>
      </c>
      <c r="L9" s="35">
        <v>15.0</v>
      </c>
      <c r="M9" s="35" t="s">
        <v>5</v>
      </c>
      <c r="N9" s="35">
        <v>8.0</v>
      </c>
      <c r="O9" s="35" t="s">
        <v>100</v>
      </c>
      <c r="P9" s="35">
        <v>40.0</v>
      </c>
      <c r="Q9" s="35" t="s">
        <v>32</v>
      </c>
      <c r="R9" s="35">
        <v>11.0</v>
      </c>
      <c r="S9" s="35" t="s">
        <v>5</v>
      </c>
      <c r="T9" s="35">
        <v>12.0</v>
      </c>
      <c r="U9" s="35" t="s">
        <v>5</v>
      </c>
      <c r="V9" s="35">
        <v>5.0</v>
      </c>
      <c r="W9" s="35" t="s">
        <v>5</v>
      </c>
      <c r="X9" s="35">
        <v>9.0</v>
      </c>
      <c r="Y9" s="35" t="s">
        <v>5</v>
      </c>
      <c r="Z9" s="35">
        <v>8.0</v>
      </c>
      <c r="AA9" s="35" t="s">
        <v>100</v>
      </c>
      <c r="AB9" s="35">
        <v>36.0</v>
      </c>
      <c r="AC9" s="35" t="s">
        <v>5</v>
      </c>
      <c r="AD9" s="35">
        <v>7.0</v>
      </c>
      <c r="AE9" s="35" t="s">
        <v>5</v>
      </c>
      <c r="AF9" s="35">
        <v>10.0</v>
      </c>
      <c r="AG9" s="35" t="s">
        <v>5</v>
      </c>
      <c r="AH9" s="35">
        <v>10.0</v>
      </c>
      <c r="AI9" s="35" t="s">
        <v>5</v>
      </c>
      <c r="AJ9" s="35">
        <v>8.0</v>
      </c>
      <c r="AK9" s="35" t="s">
        <v>5</v>
      </c>
      <c r="AL9" s="35">
        <v>11.0</v>
      </c>
      <c r="AM9" s="35" t="s">
        <v>100</v>
      </c>
      <c r="AN9" s="35">
        <v>41.0</v>
      </c>
      <c r="AO9" s="35" t="s">
        <v>5</v>
      </c>
      <c r="AP9" s="35">
        <v>5.0</v>
      </c>
      <c r="AQ9" s="35" t="s">
        <v>5</v>
      </c>
      <c r="AR9" s="35">
        <v>12.0</v>
      </c>
      <c r="AS9" s="109" t="s">
        <v>5</v>
      </c>
      <c r="AT9" s="35">
        <v>5.0</v>
      </c>
      <c r="AU9" s="35" t="s">
        <v>5</v>
      </c>
      <c r="AV9" s="35">
        <v>5.0</v>
      </c>
      <c r="AW9" s="35" t="s">
        <v>5</v>
      </c>
      <c r="AX9" s="35">
        <v>14.0</v>
      </c>
      <c r="AY9" s="155" t="s">
        <v>100</v>
      </c>
      <c r="AZ9" s="155">
        <v>39.0</v>
      </c>
    </row>
    <row r="10">
      <c r="A10" s="35" t="s">
        <v>32</v>
      </c>
      <c r="B10" s="35">
        <v>5.0</v>
      </c>
      <c r="C10" s="8"/>
      <c r="D10" s="8"/>
      <c r="E10" s="35" t="s">
        <v>32</v>
      </c>
      <c r="F10" s="35">
        <v>9.0</v>
      </c>
      <c r="G10" s="35" t="s">
        <v>32</v>
      </c>
      <c r="H10" s="35">
        <v>13.0</v>
      </c>
      <c r="I10" s="35" t="s">
        <v>32</v>
      </c>
      <c r="J10" s="35">
        <v>8.0</v>
      </c>
      <c r="K10" s="35" t="s">
        <v>32</v>
      </c>
      <c r="L10" s="35">
        <v>8.0</v>
      </c>
      <c r="M10" s="35" t="s">
        <v>32</v>
      </c>
      <c r="N10" s="35">
        <v>7.0</v>
      </c>
      <c r="O10" s="8"/>
      <c r="P10" s="8"/>
      <c r="Q10" s="8"/>
      <c r="R10" s="8"/>
      <c r="S10" s="35" t="s">
        <v>32</v>
      </c>
      <c r="T10" s="35">
        <v>6.0</v>
      </c>
      <c r="U10" s="109" t="s">
        <v>32</v>
      </c>
      <c r="V10" s="35">
        <v>7.0</v>
      </c>
      <c r="W10" s="35" t="s">
        <v>32</v>
      </c>
      <c r="X10" s="35">
        <v>7.0</v>
      </c>
      <c r="Y10" s="35" t="s">
        <v>32</v>
      </c>
      <c r="Z10" s="35">
        <v>8.0</v>
      </c>
      <c r="AA10" s="35"/>
      <c r="AB10" s="35"/>
      <c r="AC10" s="35" t="s">
        <v>32</v>
      </c>
      <c r="AD10" s="35">
        <v>8.0</v>
      </c>
      <c r="AE10" s="35" t="s">
        <v>32</v>
      </c>
      <c r="AF10" s="35">
        <v>7.0</v>
      </c>
      <c r="AG10" s="35" t="s">
        <v>32</v>
      </c>
      <c r="AH10" s="35">
        <v>8.0</v>
      </c>
      <c r="AI10" s="35" t="s">
        <v>32</v>
      </c>
      <c r="AJ10" s="35">
        <v>7.0</v>
      </c>
      <c r="AK10" s="35" t="s">
        <v>32</v>
      </c>
      <c r="AL10" s="35">
        <v>10.0</v>
      </c>
      <c r="AM10" s="35"/>
      <c r="AN10" s="35"/>
      <c r="AO10" s="87" t="s">
        <v>32</v>
      </c>
      <c r="AP10" s="35">
        <v>8.0</v>
      </c>
      <c r="AQ10" s="35" t="s">
        <v>32</v>
      </c>
      <c r="AR10" s="35">
        <v>8.0</v>
      </c>
      <c r="AS10" s="109" t="s">
        <v>32</v>
      </c>
      <c r="AT10" s="35">
        <v>8.0</v>
      </c>
      <c r="AU10" s="35" t="s">
        <v>32</v>
      </c>
      <c r="AV10" s="35">
        <v>7.0</v>
      </c>
      <c r="AW10" s="35" t="s">
        <v>32</v>
      </c>
      <c r="AX10" s="35">
        <v>10.0</v>
      </c>
      <c r="AY10" s="35"/>
      <c r="AZ10" s="35"/>
    </row>
    <row r="11">
      <c r="A11" s="8"/>
      <c r="B11" s="8"/>
      <c r="C11" s="8"/>
      <c r="D11" s="69">
        <v>69.0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69">
        <v>70.0</v>
      </c>
      <c r="Q11" s="8"/>
      <c r="R11" s="69">
        <v>83.0</v>
      </c>
      <c r="S11" s="8"/>
      <c r="T11" s="8"/>
      <c r="U11" s="8"/>
      <c r="V11" s="8"/>
      <c r="W11" s="8"/>
      <c r="X11" s="8"/>
      <c r="Y11" s="8"/>
      <c r="Z11" s="8"/>
      <c r="AA11" s="8"/>
      <c r="AB11" s="69">
        <v>67.0</v>
      </c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>
        <v>70.0</v>
      </c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>
        <v>64.0</v>
      </c>
    </row>
    <row r="12">
      <c r="A12" s="8"/>
      <c r="B12" s="69">
        <v>91.0</v>
      </c>
      <c r="E12" s="8"/>
      <c r="F12" s="69">
        <v>83.0</v>
      </c>
      <c r="G12" s="8"/>
      <c r="H12" s="69">
        <v>84.0</v>
      </c>
      <c r="I12" s="8"/>
      <c r="J12" s="69">
        <v>73.0</v>
      </c>
      <c r="K12" s="8"/>
      <c r="L12" s="69">
        <v>84.0</v>
      </c>
      <c r="M12" s="8"/>
      <c r="N12" s="69">
        <v>90.0</v>
      </c>
      <c r="Q12" s="8"/>
      <c r="R12" s="8"/>
      <c r="S12" s="8"/>
      <c r="T12" s="69">
        <v>79.0</v>
      </c>
      <c r="U12" s="8"/>
      <c r="V12" s="69">
        <v>71.0</v>
      </c>
      <c r="W12" s="8"/>
      <c r="X12" s="69">
        <v>86.0</v>
      </c>
      <c r="Y12" s="8"/>
      <c r="Z12" s="69">
        <v>89.0</v>
      </c>
      <c r="AA12" s="92"/>
      <c r="AB12" s="92"/>
      <c r="AC12" s="69"/>
      <c r="AD12" s="69">
        <v>81.0</v>
      </c>
      <c r="AE12" s="69"/>
      <c r="AF12" s="69">
        <v>83.0</v>
      </c>
      <c r="AG12" s="69"/>
      <c r="AH12" s="69">
        <v>73.0</v>
      </c>
      <c r="AI12" s="69"/>
      <c r="AJ12" s="69">
        <v>87.0</v>
      </c>
      <c r="AK12" s="69"/>
      <c r="AL12" s="69">
        <v>92.0</v>
      </c>
      <c r="AM12" s="92"/>
      <c r="AN12" s="92"/>
      <c r="AO12" s="69"/>
      <c r="AP12" s="69">
        <v>80.0</v>
      </c>
      <c r="AQ12" s="69"/>
      <c r="AR12" s="69">
        <v>86.0</v>
      </c>
      <c r="AS12" s="69"/>
      <c r="AT12" s="69">
        <v>67.0</v>
      </c>
      <c r="AU12" s="69"/>
      <c r="AV12" s="69">
        <v>82.0</v>
      </c>
      <c r="AW12" s="69"/>
      <c r="AX12" s="69">
        <v>94.0</v>
      </c>
      <c r="AY12" s="92"/>
      <c r="AZ12" s="92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N13" s="8"/>
      <c r="Q13" s="35" t="s">
        <v>78</v>
      </c>
      <c r="R13" s="35">
        <v>19.0</v>
      </c>
      <c r="S13" s="8"/>
      <c r="T13" s="8"/>
      <c r="U13" s="8"/>
      <c r="V13" s="8"/>
      <c r="W13" s="8"/>
      <c r="X13" s="8"/>
      <c r="Y13" s="8"/>
      <c r="Z13" s="8"/>
      <c r="AA13" s="93"/>
      <c r="AB13" s="93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93"/>
      <c r="AN13" s="93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93"/>
      <c r="AZ13" s="93"/>
    </row>
    <row r="14">
      <c r="A14" s="35" t="s">
        <v>78</v>
      </c>
      <c r="B14" s="35">
        <v>13.0</v>
      </c>
      <c r="E14" s="35" t="s">
        <v>78</v>
      </c>
      <c r="F14" s="35">
        <v>19.0</v>
      </c>
      <c r="G14" s="35" t="s">
        <v>78</v>
      </c>
      <c r="H14" s="35">
        <v>16.0</v>
      </c>
      <c r="I14" s="35" t="s">
        <v>78</v>
      </c>
      <c r="J14" s="35">
        <v>12.0</v>
      </c>
      <c r="K14" s="35" t="s">
        <v>78</v>
      </c>
      <c r="L14" s="35">
        <v>12.0</v>
      </c>
      <c r="M14" s="35" t="s">
        <v>78</v>
      </c>
      <c r="N14" s="35">
        <v>12.0</v>
      </c>
      <c r="Q14" s="35" t="s">
        <v>87</v>
      </c>
      <c r="R14" s="35">
        <v>21.0</v>
      </c>
      <c r="S14" s="35" t="s">
        <v>78</v>
      </c>
      <c r="T14" s="35">
        <v>21.0</v>
      </c>
      <c r="U14" s="35" t="s">
        <v>78</v>
      </c>
      <c r="V14" s="35">
        <v>8.0</v>
      </c>
      <c r="W14" s="35" t="s">
        <v>78</v>
      </c>
      <c r="X14" s="35">
        <v>14.0</v>
      </c>
      <c r="Y14" s="35" t="s">
        <v>78</v>
      </c>
      <c r="Z14" s="35">
        <v>8.0</v>
      </c>
      <c r="AA14" s="95"/>
      <c r="AB14" s="95"/>
      <c r="AC14" s="35" t="s">
        <v>78</v>
      </c>
      <c r="AD14" s="35">
        <v>11.0</v>
      </c>
      <c r="AE14" s="35" t="s">
        <v>78</v>
      </c>
      <c r="AF14" s="35">
        <v>23.0</v>
      </c>
      <c r="AG14" s="35" t="s">
        <v>78</v>
      </c>
      <c r="AH14" s="35">
        <v>12.0</v>
      </c>
      <c r="AI14" s="35" t="s">
        <v>78</v>
      </c>
      <c r="AJ14" s="35">
        <v>12.0</v>
      </c>
      <c r="AK14" s="35" t="s">
        <v>78</v>
      </c>
      <c r="AL14" s="35">
        <v>12.0</v>
      </c>
      <c r="AM14" s="95"/>
      <c r="AN14" s="95"/>
      <c r="AO14" s="35" t="s">
        <v>78</v>
      </c>
      <c r="AP14" s="35">
        <v>14.0</v>
      </c>
      <c r="AQ14" s="35" t="s">
        <v>78</v>
      </c>
      <c r="AR14" s="35">
        <v>24.0</v>
      </c>
      <c r="AS14" s="35" t="s">
        <v>78</v>
      </c>
      <c r="AT14" s="35">
        <v>10.0</v>
      </c>
      <c r="AU14" s="35" t="s">
        <v>78</v>
      </c>
      <c r="AV14" s="35">
        <v>13.0</v>
      </c>
      <c r="AW14" s="35" t="s">
        <v>78</v>
      </c>
      <c r="AX14" s="35">
        <v>17.0</v>
      </c>
      <c r="AY14" s="95"/>
      <c r="AZ14" s="95"/>
    </row>
    <row r="15">
      <c r="A15" s="35" t="s">
        <v>87</v>
      </c>
      <c r="B15" s="35">
        <v>27.0</v>
      </c>
      <c r="E15" s="35" t="s">
        <v>87</v>
      </c>
      <c r="F15" s="35">
        <v>22.0</v>
      </c>
      <c r="G15" s="35" t="s">
        <v>87</v>
      </c>
      <c r="H15" s="35">
        <v>23.0</v>
      </c>
      <c r="I15" s="35" t="s">
        <v>87</v>
      </c>
      <c r="J15" s="35">
        <v>17.0</v>
      </c>
      <c r="K15" s="35" t="s">
        <v>87</v>
      </c>
      <c r="L15" s="35">
        <v>16.0</v>
      </c>
      <c r="M15" s="35" t="s">
        <v>87</v>
      </c>
      <c r="N15" s="35">
        <v>23.0</v>
      </c>
      <c r="Q15" s="35" t="s">
        <v>65</v>
      </c>
      <c r="R15" s="35">
        <v>18.0</v>
      </c>
      <c r="S15" s="35" t="s">
        <v>87</v>
      </c>
      <c r="T15" s="35">
        <v>20.0</v>
      </c>
      <c r="U15" s="35" t="s">
        <v>87</v>
      </c>
      <c r="V15" s="35">
        <v>19.0</v>
      </c>
      <c r="W15" s="35" t="s">
        <v>87</v>
      </c>
      <c r="X15" s="35">
        <v>19.0</v>
      </c>
      <c r="Y15" s="35" t="s">
        <v>87</v>
      </c>
      <c r="Z15" s="35">
        <v>25.0</v>
      </c>
      <c r="AA15" s="95"/>
      <c r="AB15" s="95"/>
      <c r="AC15" s="35" t="s">
        <v>87</v>
      </c>
      <c r="AD15" s="35">
        <v>20.0</v>
      </c>
      <c r="AE15" s="35" t="s">
        <v>87</v>
      </c>
      <c r="AF15" s="35">
        <v>18.0</v>
      </c>
      <c r="AG15" s="35" t="s">
        <v>87</v>
      </c>
      <c r="AH15" s="35">
        <v>20.0</v>
      </c>
      <c r="AI15" s="35" t="s">
        <v>87</v>
      </c>
      <c r="AJ15" s="35">
        <v>21.0</v>
      </c>
      <c r="AK15" s="35" t="s">
        <v>87</v>
      </c>
      <c r="AL15" s="35">
        <v>22.0</v>
      </c>
      <c r="AM15" s="95"/>
      <c r="AN15" s="95"/>
      <c r="AO15" s="35" t="s">
        <v>87</v>
      </c>
      <c r="AP15" s="35">
        <v>19.0</v>
      </c>
      <c r="AQ15" s="35" t="s">
        <v>87</v>
      </c>
      <c r="AR15" s="35">
        <v>19.0</v>
      </c>
      <c r="AS15" s="35" t="s">
        <v>87</v>
      </c>
      <c r="AT15" s="35">
        <v>17.0</v>
      </c>
      <c r="AU15" s="35" t="s">
        <v>87</v>
      </c>
      <c r="AV15" s="35">
        <v>15.0</v>
      </c>
      <c r="AW15" s="35" t="s">
        <v>87</v>
      </c>
      <c r="AX15" s="35">
        <v>23.0</v>
      </c>
      <c r="AY15" s="95"/>
      <c r="AZ15" s="95"/>
    </row>
    <row r="16">
      <c r="A16" s="35" t="s">
        <v>65</v>
      </c>
      <c r="B16" s="35">
        <v>15.0</v>
      </c>
      <c r="E16" s="35" t="s">
        <v>65</v>
      </c>
      <c r="F16" s="35">
        <v>13.0</v>
      </c>
      <c r="G16" s="35" t="s">
        <v>65</v>
      </c>
      <c r="H16" s="35">
        <v>10.0</v>
      </c>
      <c r="I16" s="35" t="s">
        <v>65</v>
      </c>
      <c r="J16" s="35">
        <v>15.0</v>
      </c>
      <c r="K16" s="35" t="s">
        <v>65</v>
      </c>
      <c r="L16" s="35">
        <v>7.0</v>
      </c>
      <c r="M16" s="35" t="s">
        <v>65</v>
      </c>
      <c r="N16" s="35">
        <v>10.0</v>
      </c>
      <c r="Q16" s="35" t="s">
        <v>85</v>
      </c>
      <c r="R16" s="35">
        <v>3.0</v>
      </c>
      <c r="S16" s="35" t="s">
        <v>65</v>
      </c>
      <c r="T16" s="35">
        <v>9.0</v>
      </c>
      <c r="U16" s="35" t="s">
        <v>65</v>
      </c>
      <c r="V16" s="35">
        <v>9.0</v>
      </c>
      <c r="W16" s="35" t="s">
        <v>65</v>
      </c>
      <c r="X16" s="35">
        <v>9.0</v>
      </c>
      <c r="Y16" s="35" t="s">
        <v>65</v>
      </c>
      <c r="Z16" s="35">
        <v>16.0</v>
      </c>
      <c r="AA16" s="95"/>
      <c r="AB16" s="95"/>
      <c r="AC16" s="35" t="s">
        <v>65</v>
      </c>
      <c r="AD16" s="35">
        <v>17.0</v>
      </c>
      <c r="AE16" s="35" t="s">
        <v>65</v>
      </c>
      <c r="AF16" s="35">
        <v>11.0</v>
      </c>
      <c r="AG16" s="35" t="s">
        <v>65</v>
      </c>
      <c r="AH16" s="35">
        <v>15.0</v>
      </c>
      <c r="AI16" s="35" t="s">
        <v>65</v>
      </c>
      <c r="AJ16" s="35">
        <v>7.0</v>
      </c>
      <c r="AK16" s="35" t="s">
        <v>65</v>
      </c>
      <c r="AL16" s="35">
        <v>15.0</v>
      </c>
      <c r="AM16" s="95"/>
      <c r="AN16" s="95"/>
      <c r="AO16" s="35" t="s">
        <v>65</v>
      </c>
      <c r="AP16" s="35">
        <v>15.0</v>
      </c>
      <c r="AQ16" s="35" t="s">
        <v>65</v>
      </c>
      <c r="AR16" s="35">
        <v>11.0</v>
      </c>
      <c r="AS16" s="35" t="s">
        <v>65</v>
      </c>
      <c r="AT16" s="35">
        <v>11.0</v>
      </c>
      <c r="AU16" s="35" t="s">
        <v>65</v>
      </c>
      <c r="AV16" s="35">
        <v>9.0</v>
      </c>
      <c r="AW16" s="35" t="s">
        <v>65</v>
      </c>
      <c r="AX16" s="35">
        <v>16.0</v>
      </c>
      <c r="AY16" s="95"/>
      <c r="AZ16" s="95"/>
    </row>
    <row r="17">
      <c r="A17" s="35" t="s">
        <v>85</v>
      </c>
      <c r="B17" s="35">
        <v>5.0</v>
      </c>
      <c r="E17" s="35" t="s">
        <v>85</v>
      </c>
      <c r="F17" s="35">
        <v>4.0</v>
      </c>
      <c r="G17" s="35" t="s">
        <v>85</v>
      </c>
      <c r="H17" s="35">
        <v>7.0</v>
      </c>
      <c r="I17" s="35" t="s">
        <v>85</v>
      </c>
      <c r="J17" s="35">
        <v>4.0</v>
      </c>
      <c r="K17" s="35" t="s">
        <v>85</v>
      </c>
      <c r="L17" s="35">
        <v>5.0</v>
      </c>
      <c r="M17" s="35" t="s">
        <v>85</v>
      </c>
      <c r="N17" s="35">
        <v>4.0</v>
      </c>
      <c r="Q17" s="35" t="s">
        <v>105</v>
      </c>
      <c r="R17" s="35">
        <v>15.0</v>
      </c>
      <c r="S17" s="35" t="s">
        <v>85</v>
      </c>
      <c r="T17" s="35">
        <v>8.0</v>
      </c>
      <c r="U17" s="35" t="s">
        <v>85</v>
      </c>
      <c r="V17" s="35">
        <v>4.0</v>
      </c>
      <c r="W17" s="35" t="s">
        <v>85</v>
      </c>
      <c r="X17" s="35">
        <v>7.0</v>
      </c>
      <c r="Y17" s="35" t="s">
        <v>85</v>
      </c>
      <c r="Z17" s="35">
        <v>3.0</v>
      </c>
      <c r="AA17" s="95"/>
      <c r="AB17" s="95"/>
      <c r="AC17" s="35" t="s">
        <v>85</v>
      </c>
      <c r="AD17" s="35">
        <v>5.0</v>
      </c>
      <c r="AE17" s="35" t="s">
        <v>85</v>
      </c>
      <c r="AF17" s="35">
        <v>6.0</v>
      </c>
      <c r="AG17" s="35" t="s">
        <v>85</v>
      </c>
      <c r="AH17" s="35">
        <v>2.0</v>
      </c>
      <c r="AI17" s="35" t="s">
        <v>85</v>
      </c>
      <c r="AJ17" s="35">
        <v>7.0</v>
      </c>
      <c r="AK17" s="35" t="s">
        <v>85</v>
      </c>
      <c r="AL17" s="35">
        <v>5.0</v>
      </c>
      <c r="AM17" s="95"/>
      <c r="AN17" s="95"/>
      <c r="AO17" s="35" t="s">
        <v>85</v>
      </c>
      <c r="AP17" s="35">
        <v>6.0</v>
      </c>
      <c r="AQ17" s="35" t="s">
        <v>85</v>
      </c>
      <c r="AR17" s="35">
        <v>7.0</v>
      </c>
      <c r="AS17" s="35" t="s">
        <v>85</v>
      </c>
      <c r="AT17" s="35">
        <v>7.0</v>
      </c>
      <c r="AU17" s="35" t="s">
        <v>85</v>
      </c>
      <c r="AV17" s="35">
        <v>7.0</v>
      </c>
      <c r="AW17" s="35" t="s">
        <v>85</v>
      </c>
      <c r="AX17" s="35">
        <v>2.0</v>
      </c>
      <c r="AY17" s="95"/>
      <c r="AZ17" s="95"/>
    </row>
    <row r="18">
      <c r="A18" s="35" t="s">
        <v>105</v>
      </c>
      <c r="B18" s="35">
        <v>15.0</v>
      </c>
      <c r="E18" s="35" t="s">
        <v>105</v>
      </c>
      <c r="F18" s="35">
        <v>14.0</v>
      </c>
      <c r="G18" s="35" t="s">
        <v>105</v>
      </c>
      <c r="H18" s="35">
        <v>14.0</v>
      </c>
      <c r="I18" s="35" t="s">
        <v>105</v>
      </c>
      <c r="J18" s="35">
        <v>12.0</v>
      </c>
      <c r="K18" s="35" t="s">
        <v>105</v>
      </c>
      <c r="L18" s="35">
        <v>19.0</v>
      </c>
      <c r="M18" s="35" t="s">
        <v>105</v>
      </c>
      <c r="N18" s="35">
        <v>22.0</v>
      </c>
      <c r="Q18" s="35" t="s">
        <v>95</v>
      </c>
      <c r="R18" s="35">
        <v>4.0</v>
      </c>
      <c r="S18" s="35" t="s">
        <v>105</v>
      </c>
      <c r="T18" s="35">
        <v>9.0</v>
      </c>
      <c r="U18" s="35" t="s">
        <v>105</v>
      </c>
      <c r="V18" s="35">
        <v>13.0</v>
      </c>
      <c r="W18" s="35" t="s">
        <v>105</v>
      </c>
      <c r="X18" s="35">
        <v>19.0</v>
      </c>
      <c r="Y18" s="35" t="s">
        <v>105</v>
      </c>
      <c r="Z18" s="35">
        <v>21.0</v>
      </c>
      <c r="AA18" s="95"/>
      <c r="AB18" s="95"/>
      <c r="AC18" s="35" t="s">
        <v>105</v>
      </c>
      <c r="AD18" s="35">
        <v>14.0</v>
      </c>
      <c r="AE18" s="35" t="s">
        <v>105</v>
      </c>
      <c r="AF18" s="35">
        <v>15.0</v>
      </c>
      <c r="AG18" s="35" t="s">
        <v>105</v>
      </c>
      <c r="AH18" s="35">
        <v>11.0</v>
      </c>
      <c r="AI18" s="35" t="s">
        <v>105</v>
      </c>
      <c r="AJ18" s="35">
        <v>26.0</v>
      </c>
      <c r="AK18" s="35" t="s">
        <v>105</v>
      </c>
      <c r="AL18" s="35">
        <v>17.0</v>
      </c>
      <c r="AM18" s="95"/>
      <c r="AN18" s="95"/>
      <c r="AO18" s="35" t="s">
        <v>105</v>
      </c>
      <c r="AP18" s="35">
        <v>15.0</v>
      </c>
      <c r="AQ18" s="35" t="s">
        <v>105</v>
      </c>
      <c r="AR18" s="35">
        <v>18.0</v>
      </c>
      <c r="AS18" s="35" t="s">
        <v>105</v>
      </c>
      <c r="AT18" s="35">
        <v>12.0</v>
      </c>
      <c r="AU18" s="35" t="s">
        <v>105</v>
      </c>
      <c r="AV18" s="35">
        <v>24.0</v>
      </c>
      <c r="AW18" s="35" t="s">
        <v>105</v>
      </c>
      <c r="AX18" s="35">
        <v>18.0</v>
      </c>
      <c r="AY18" s="95"/>
      <c r="AZ18" s="95"/>
    </row>
    <row r="19">
      <c r="A19" s="35" t="s">
        <v>95</v>
      </c>
      <c r="B19" s="35">
        <v>9.0</v>
      </c>
      <c r="E19" s="35" t="s">
        <v>95</v>
      </c>
      <c r="F19" s="35">
        <v>5.0</v>
      </c>
      <c r="G19" s="35" t="s">
        <v>95</v>
      </c>
      <c r="H19" s="35">
        <v>9.0</v>
      </c>
      <c r="I19" s="35" t="s">
        <v>95</v>
      </c>
      <c r="J19" s="35">
        <v>5.0</v>
      </c>
      <c r="K19" s="35" t="s">
        <v>95</v>
      </c>
      <c r="L19" s="35">
        <v>13.0</v>
      </c>
      <c r="M19" s="35" t="s">
        <v>95</v>
      </c>
      <c r="N19" s="35">
        <v>10.0</v>
      </c>
      <c r="Q19" s="35" t="s">
        <v>117</v>
      </c>
      <c r="R19" s="35">
        <v>1.0</v>
      </c>
      <c r="S19" s="35" t="s">
        <v>95</v>
      </c>
      <c r="T19" s="35">
        <v>8.0</v>
      </c>
      <c r="U19" s="35" t="s">
        <v>95</v>
      </c>
      <c r="V19" s="35">
        <v>7.0</v>
      </c>
      <c r="W19" s="35" t="s">
        <v>95</v>
      </c>
      <c r="X19" s="35">
        <v>9.0</v>
      </c>
      <c r="Y19" s="35" t="s">
        <v>95</v>
      </c>
      <c r="Z19" s="35">
        <v>5.0</v>
      </c>
      <c r="AA19" s="95"/>
      <c r="AB19" s="95"/>
      <c r="AC19" s="35" t="s">
        <v>95</v>
      </c>
      <c r="AD19" s="35">
        <v>6.0</v>
      </c>
      <c r="AE19" s="35" t="s">
        <v>95</v>
      </c>
      <c r="AF19" s="35">
        <v>5.0</v>
      </c>
      <c r="AG19" s="35" t="s">
        <v>95</v>
      </c>
      <c r="AH19" s="35">
        <v>4.0</v>
      </c>
      <c r="AI19" s="35" t="s">
        <v>95</v>
      </c>
      <c r="AJ19" s="35">
        <v>6.0</v>
      </c>
      <c r="AK19" s="35" t="s">
        <v>95</v>
      </c>
      <c r="AL19" s="35">
        <v>10.0</v>
      </c>
      <c r="AM19" s="95"/>
      <c r="AN19" s="95"/>
      <c r="AO19" s="35" t="s">
        <v>95</v>
      </c>
      <c r="AP19" s="35">
        <v>7.0</v>
      </c>
      <c r="AQ19" s="35" t="s">
        <v>95</v>
      </c>
      <c r="AR19" s="35">
        <v>2.0</v>
      </c>
      <c r="AS19" s="35" t="s">
        <v>95</v>
      </c>
      <c r="AT19" s="35">
        <v>5.0</v>
      </c>
      <c r="AU19" s="35" t="s">
        <v>95</v>
      </c>
      <c r="AV19" s="35">
        <v>11.0</v>
      </c>
      <c r="AW19" s="35" t="s">
        <v>95</v>
      </c>
      <c r="AX19" s="35">
        <v>6.0</v>
      </c>
      <c r="AY19" s="95"/>
      <c r="AZ19" s="95"/>
    </row>
    <row r="20">
      <c r="A20" s="35" t="s">
        <v>117</v>
      </c>
      <c r="B20" s="35">
        <v>6.0</v>
      </c>
      <c r="E20" s="35" t="s">
        <v>117</v>
      </c>
      <c r="F20" s="35">
        <v>3.0</v>
      </c>
      <c r="G20" s="35" t="s">
        <v>117</v>
      </c>
      <c r="H20" s="35">
        <v>2.0</v>
      </c>
      <c r="I20" s="35" t="s">
        <v>117</v>
      </c>
      <c r="J20" s="35">
        <v>5.0</v>
      </c>
      <c r="K20" s="35" t="s">
        <v>117</v>
      </c>
      <c r="L20" s="35">
        <v>8.0</v>
      </c>
      <c r="M20" s="35" t="s">
        <v>117</v>
      </c>
      <c r="N20" s="35">
        <v>8.0</v>
      </c>
      <c r="Q20" s="8"/>
      <c r="R20" s="8"/>
      <c r="S20" s="35" t="s">
        <v>117</v>
      </c>
      <c r="T20" s="35">
        <v>5.0</v>
      </c>
      <c r="U20" s="35" t="s">
        <v>117</v>
      </c>
      <c r="V20" s="35">
        <v>9.0</v>
      </c>
      <c r="W20" s="35" t="s">
        <v>117</v>
      </c>
      <c r="X20" s="35">
        <v>8.0</v>
      </c>
      <c r="Y20" s="35" t="s">
        <v>117</v>
      </c>
      <c r="Z20" s="35">
        <v>10.0</v>
      </c>
      <c r="AA20" s="95"/>
      <c r="AB20" s="95"/>
      <c r="AC20" s="35" t="s">
        <v>117</v>
      </c>
      <c r="AD20" s="35">
        <v>4.0</v>
      </c>
      <c r="AE20" s="35" t="s">
        <v>117</v>
      </c>
      <c r="AF20" s="35">
        <v>4.0</v>
      </c>
      <c r="AG20" s="35" t="s">
        <v>117</v>
      </c>
      <c r="AH20" s="35">
        <v>6.0</v>
      </c>
      <c r="AI20" s="35" t="s">
        <v>117</v>
      </c>
      <c r="AJ20" s="35">
        <v>5.0</v>
      </c>
      <c r="AK20" s="35" t="s">
        <v>117</v>
      </c>
      <c r="AL20" s="35">
        <v>7.0</v>
      </c>
      <c r="AM20" s="95"/>
      <c r="AN20" s="95"/>
      <c r="AO20" s="35" t="s">
        <v>117</v>
      </c>
      <c r="AP20" s="35">
        <v>2.0</v>
      </c>
      <c r="AQ20" s="35" t="s">
        <v>117</v>
      </c>
      <c r="AR20" s="35">
        <v>4.0</v>
      </c>
      <c r="AS20" s="35" t="s">
        <v>117</v>
      </c>
      <c r="AT20" s="35">
        <v>4.0</v>
      </c>
      <c r="AU20" s="35" t="s">
        <v>117</v>
      </c>
      <c r="AV20" s="35">
        <v>3.0</v>
      </c>
      <c r="AW20" s="35" t="s">
        <v>117</v>
      </c>
      <c r="AX20" s="35">
        <v>9.0</v>
      </c>
      <c r="AY20" s="95"/>
      <c r="AZ20" s="95"/>
    </row>
    <row r="21">
      <c r="A21" s="8"/>
      <c r="B21" s="8"/>
      <c r="E21" s="8"/>
      <c r="F21" s="8"/>
      <c r="G21" s="8"/>
      <c r="H21" s="8"/>
      <c r="I21" s="8"/>
      <c r="J21" s="8"/>
      <c r="K21" s="8"/>
      <c r="L21" s="8"/>
      <c r="M21" s="8"/>
      <c r="N21" s="8"/>
      <c r="Q21" s="8"/>
      <c r="R21" s="69">
        <v>81.0</v>
      </c>
      <c r="S21" s="8"/>
      <c r="T21" s="8"/>
      <c r="U21" s="8"/>
      <c r="V21" s="8"/>
      <c r="W21" s="8"/>
      <c r="X21" s="8"/>
      <c r="Y21" s="8"/>
      <c r="Z21" s="8"/>
      <c r="AA21" s="93"/>
      <c r="AB21" s="93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3"/>
      <c r="AN21" s="93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93"/>
      <c r="AZ21" s="93"/>
    </row>
    <row r="22">
      <c r="A22" s="8"/>
      <c r="B22" s="69">
        <v>90.0</v>
      </c>
      <c r="E22" s="8"/>
      <c r="F22" s="69">
        <v>80.0</v>
      </c>
      <c r="G22" s="8"/>
      <c r="H22" s="69">
        <v>81.0</v>
      </c>
      <c r="I22" s="8"/>
      <c r="J22" s="69">
        <v>70.0</v>
      </c>
      <c r="K22" s="8"/>
      <c r="L22" s="69">
        <v>80.0</v>
      </c>
      <c r="M22" s="8"/>
      <c r="N22" s="69">
        <v>89.0</v>
      </c>
      <c r="Q22" s="8"/>
      <c r="R22" s="8"/>
      <c r="S22" s="8"/>
      <c r="T22" s="69">
        <v>80.0</v>
      </c>
      <c r="U22" s="8"/>
      <c r="V22" s="69">
        <v>69.0</v>
      </c>
      <c r="W22" s="8"/>
      <c r="X22" s="69">
        <v>85.0</v>
      </c>
      <c r="Y22" s="8"/>
      <c r="Z22" s="69">
        <v>88.0</v>
      </c>
      <c r="AA22" s="92"/>
      <c r="AB22" s="92"/>
      <c r="AC22" s="69"/>
      <c r="AD22" s="69">
        <v>77.0</v>
      </c>
      <c r="AE22" s="69"/>
      <c r="AF22" s="69">
        <v>82.0</v>
      </c>
      <c r="AG22" s="69"/>
      <c r="AH22" s="69">
        <v>70.0</v>
      </c>
      <c r="AI22" s="69"/>
      <c r="AJ22" s="69">
        <v>84.0</v>
      </c>
      <c r="AK22" s="69"/>
      <c r="AL22" s="69">
        <v>88.0</v>
      </c>
      <c r="AM22" s="92"/>
      <c r="AN22" s="92"/>
      <c r="AO22" s="69"/>
      <c r="AP22" s="69">
        <v>78.0</v>
      </c>
      <c r="AQ22" s="69"/>
      <c r="AR22" s="69">
        <v>85.0</v>
      </c>
      <c r="AS22" s="69"/>
      <c r="AT22" s="69">
        <v>66.0</v>
      </c>
      <c r="AU22" s="69"/>
      <c r="AV22" s="69">
        <v>82.0</v>
      </c>
      <c r="AW22" s="69"/>
      <c r="AX22" s="69">
        <v>91.0</v>
      </c>
      <c r="AY22" s="92"/>
      <c r="AZ22" s="92"/>
    </row>
    <row r="23">
      <c r="A23" s="8"/>
      <c r="B23" s="8"/>
      <c r="E23" s="8"/>
      <c r="F23" s="8"/>
      <c r="G23" s="8"/>
      <c r="H23" s="8"/>
      <c r="I23" s="8"/>
      <c r="J23" s="8"/>
      <c r="K23" s="8"/>
      <c r="L23" s="8"/>
      <c r="M23" s="8"/>
      <c r="N23" s="8"/>
      <c r="Q23" s="35" t="s">
        <v>336</v>
      </c>
      <c r="R23" s="35">
        <v>2.0</v>
      </c>
      <c r="S23" s="8"/>
      <c r="T23" s="8"/>
      <c r="U23" s="8"/>
      <c r="V23" s="8"/>
      <c r="W23" s="8"/>
      <c r="X23" s="8"/>
      <c r="Y23" s="8"/>
      <c r="Z23" s="8"/>
      <c r="AA23" s="93"/>
      <c r="AB23" s="93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3"/>
      <c r="AN23" s="93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93"/>
      <c r="AZ23" s="93"/>
    </row>
    <row r="24">
      <c r="A24" s="35" t="s">
        <v>335</v>
      </c>
      <c r="B24" s="35">
        <v>7.0</v>
      </c>
      <c r="E24" s="35" t="s">
        <v>335</v>
      </c>
      <c r="F24" s="35">
        <v>3.0</v>
      </c>
      <c r="G24" s="35" t="s">
        <v>336</v>
      </c>
      <c r="H24" s="35">
        <v>1.0</v>
      </c>
      <c r="I24" s="35" t="s">
        <v>336</v>
      </c>
      <c r="J24" s="35">
        <v>1.0</v>
      </c>
      <c r="K24" s="109" t="s">
        <v>337</v>
      </c>
      <c r="L24" s="35">
        <v>2.0</v>
      </c>
      <c r="M24" s="35" t="s">
        <v>337</v>
      </c>
      <c r="N24" s="35">
        <v>1.0</v>
      </c>
      <c r="Q24" s="35" t="s">
        <v>337</v>
      </c>
      <c r="R24" s="35">
        <v>2.0</v>
      </c>
      <c r="S24" s="35" t="s">
        <v>336</v>
      </c>
      <c r="T24" s="35">
        <v>1.0</v>
      </c>
      <c r="U24" s="35" t="s">
        <v>336</v>
      </c>
      <c r="V24" s="35">
        <v>2.0</v>
      </c>
      <c r="W24" s="109" t="s">
        <v>337</v>
      </c>
      <c r="X24" s="35">
        <v>1.0</v>
      </c>
      <c r="Y24" s="35" t="s">
        <v>335</v>
      </c>
      <c r="Z24" s="35">
        <v>3.0</v>
      </c>
      <c r="AA24" s="95"/>
      <c r="AB24" s="95"/>
      <c r="AC24" s="35" t="s">
        <v>336</v>
      </c>
      <c r="AD24" s="35">
        <v>1.0</v>
      </c>
      <c r="AE24" s="35" t="s">
        <v>336</v>
      </c>
      <c r="AF24" s="35">
        <v>2.0</v>
      </c>
      <c r="AG24" s="35" t="s">
        <v>336</v>
      </c>
      <c r="AH24" s="35">
        <v>2.0</v>
      </c>
      <c r="AI24" s="35" t="s">
        <v>337</v>
      </c>
      <c r="AJ24" s="35">
        <v>1.0</v>
      </c>
      <c r="AK24" s="35" t="s">
        <v>337</v>
      </c>
      <c r="AL24" s="35">
        <v>1.0</v>
      </c>
      <c r="AM24" s="95"/>
      <c r="AN24" s="95"/>
      <c r="AO24" s="35" t="s">
        <v>336</v>
      </c>
      <c r="AP24" s="35">
        <v>1.0</v>
      </c>
      <c r="AQ24" s="35" t="s">
        <v>336</v>
      </c>
      <c r="AR24" s="35">
        <v>2.0</v>
      </c>
      <c r="AS24" s="35" t="s">
        <v>337</v>
      </c>
      <c r="AT24" s="35">
        <v>3.0</v>
      </c>
      <c r="AU24" s="35" t="s">
        <v>335</v>
      </c>
      <c r="AV24" s="35">
        <v>5.0</v>
      </c>
      <c r="AW24" s="35" t="s">
        <v>335</v>
      </c>
      <c r="AX24" s="35">
        <v>5.0</v>
      </c>
      <c r="AY24" s="95"/>
      <c r="AZ24" s="95"/>
    </row>
    <row r="25">
      <c r="A25" s="35" t="s">
        <v>340</v>
      </c>
      <c r="B25" s="35">
        <v>5.0</v>
      </c>
      <c r="E25" s="35" t="s">
        <v>340</v>
      </c>
      <c r="F25" s="35">
        <v>3.0</v>
      </c>
      <c r="G25" s="35" t="s">
        <v>337</v>
      </c>
      <c r="H25" s="35">
        <v>1.0</v>
      </c>
      <c r="I25" s="35" t="s">
        <v>337</v>
      </c>
      <c r="J25" s="35">
        <v>1.0</v>
      </c>
      <c r="K25" s="109" t="s">
        <v>335</v>
      </c>
      <c r="L25" s="35">
        <v>4.0</v>
      </c>
      <c r="M25" s="35" t="s">
        <v>335</v>
      </c>
      <c r="N25" s="35">
        <v>2.0</v>
      </c>
      <c r="Q25" s="35" t="s">
        <v>335</v>
      </c>
      <c r="R25" s="35">
        <v>4.0</v>
      </c>
      <c r="S25" s="35" t="s">
        <v>335</v>
      </c>
      <c r="T25" s="35">
        <v>4.0</v>
      </c>
      <c r="U25" s="35" t="s">
        <v>335</v>
      </c>
      <c r="V25" s="35">
        <v>2.0</v>
      </c>
      <c r="W25" s="109" t="s">
        <v>335</v>
      </c>
      <c r="X25" s="35">
        <v>4.0</v>
      </c>
      <c r="Y25" s="35" t="s">
        <v>340</v>
      </c>
      <c r="Z25" s="35">
        <v>4.0</v>
      </c>
      <c r="AA25" s="95"/>
      <c r="AB25" s="95"/>
      <c r="AC25" s="35" t="s">
        <v>337</v>
      </c>
      <c r="AD25" s="35">
        <v>2.0</v>
      </c>
      <c r="AE25" s="35" t="s">
        <v>335</v>
      </c>
      <c r="AF25" s="35">
        <v>2.0</v>
      </c>
      <c r="AG25" s="35" t="s">
        <v>337</v>
      </c>
      <c r="AH25" s="35">
        <v>2.0</v>
      </c>
      <c r="AI25" s="35" t="s">
        <v>335</v>
      </c>
      <c r="AJ25" s="35">
        <v>9.0</v>
      </c>
      <c r="AK25" s="35" t="s">
        <v>335</v>
      </c>
      <c r="AL25" s="35">
        <v>3.0</v>
      </c>
      <c r="AM25" s="95"/>
      <c r="AN25" s="95"/>
      <c r="AO25" s="35" t="s">
        <v>335</v>
      </c>
      <c r="AP25" s="35">
        <v>7.0</v>
      </c>
      <c r="AQ25" s="35" t="s">
        <v>335</v>
      </c>
      <c r="AR25" s="35">
        <v>3.0</v>
      </c>
      <c r="AS25" s="35" t="s">
        <v>335</v>
      </c>
      <c r="AT25" s="35">
        <v>1.0</v>
      </c>
      <c r="AU25" s="35" t="s">
        <v>340</v>
      </c>
      <c r="AV25" s="35">
        <v>1.0</v>
      </c>
      <c r="AW25" s="35" t="s">
        <v>340</v>
      </c>
      <c r="AX25" s="35">
        <v>3.0</v>
      </c>
      <c r="AY25" s="95"/>
      <c r="AZ25" s="95"/>
    </row>
    <row r="26">
      <c r="A26" s="35" t="s">
        <v>348</v>
      </c>
      <c r="B26" s="35">
        <v>1.0</v>
      </c>
      <c r="E26" s="35" t="s">
        <v>343</v>
      </c>
      <c r="F26" s="35">
        <v>1.0</v>
      </c>
      <c r="G26" s="35" t="s">
        <v>335</v>
      </c>
      <c r="H26" s="35">
        <v>1.0</v>
      </c>
      <c r="I26" s="35" t="s">
        <v>340</v>
      </c>
      <c r="J26" s="35">
        <v>5.0</v>
      </c>
      <c r="K26" s="35" t="s">
        <v>340</v>
      </c>
      <c r="L26" s="35">
        <v>1.0</v>
      </c>
      <c r="M26" s="35" t="s">
        <v>340</v>
      </c>
      <c r="N26" s="35">
        <v>4.0</v>
      </c>
      <c r="Q26" s="35" t="s">
        <v>340</v>
      </c>
      <c r="R26" s="35">
        <v>3.0</v>
      </c>
      <c r="S26" s="35" t="s">
        <v>340</v>
      </c>
      <c r="T26" s="35">
        <v>2.0</v>
      </c>
      <c r="U26" s="35" t="s">
        <v>340</v>
      </c>
      <c r="V26" s="35">
        <v>5.0</v>
      </c>
      <c r="W26" s="35" t="s">
        <v>340</v>
      </c>
      <c r="X26" s="35">
        <v>1.0</v>
      </c>
      <c r="Y26" s="35" t="s">
        <v>343</v>
      </c>
      <c r="Z26" s="35">
        <v>3.0</v>
      </c>
      <c r="AA26" s="95"/>
      <c r="AB26" s="95"/>
      <c r="AC26" s="35" t="s">
        <v>335</v>
      </c>
      <c r="AD26" s="35">
        <v>3.0</v>
      </c>
      <c r="AE26" s="35" t="s">
        <v>340</v>
      </c>
      <c r="AF26" s="35">
        <v>3.0</v>
      </c>
      <c r="AG26" s="35" t="s">
        <v>335</v>
      </c>
      <c r="AH26" s="35">
        <v>3.0</v>
      </c>
      <c r="AI26" s="35" t="s">
        <v>340</v>
      </c>
      <c r="AJ26" s="35">
        <v>2.0</v>
      </c>
      <c r="AK26" s="35" t="s">
        <v>340</v>
      </c>
      <c r="AL26" s="35">
        <v>5.0</v>
      </c>
      <c r="AM26" s="95"/>
      <c r="AN26" s="95"/>
      <c r="AO26" s="35" t="s">
        <v>340</v>
      </c>
      <c r="AP26" s="35">
        <v>1.0</v>
      </c>
      <c r="AQ26" s="35" t="s">
        <v>340</v>
      </c>
      <c r="AR26" s="35">
        <v>3.0</v>
      </c>
      <c r="AS26" s="35" t="s">
        <v>340</v>
      </c>
      <c r="AT26" s="35">
        <v>4.0</v>
      </c>
      <c r="AU26" s="35" t="s">
        <v>343</v>
      </c>
      <c r="AV26" s="35">
        <v>6.0</v>
      </c>
      <c r="AW26" s="35" t="s">
        <v>343</v>
      </c>
      <c r="AX26" s="35">
        <v>6.0</v>
      </c>
      <c r="AY26" s="95"/>
      <c r="AZ26" s="95"/>
    </row>
    <row r="27">
      <c r="A27" s="35" t="s">
        <v>346</v>
      </c>
      <c r="B27" s="35">
        <v>4.0</v>
      </c>
      <c r="E27" s="35" t="s">
        <v>346</v>
      </c>
      <c r="F27" s="35">
        <v>2.0</v>
      </c>
      <c r="G27" s="35" t="s">
        <v>340</v>
      </c>
      <c r="H27" s="35">
        <v>3.0</v>
      </c>
      <c r="I27" s="35" t="s">
        <v>343</v>
      </c>
      <c r="J27" s="35">
        <v>1.0</v>
      </c>
      <c r="K27" s="35" t="s">
        <v>343</v>
      </c>
      <c r="L27" s="35">
        <v>2.0</v>
      </c>
      <c r="M27" s="35" t="s">
        <v>343</v>
      </c>
      <c r="N27" s="35">
        <v>5.0</v>
      </c>
      <c r="Q27" s="109" t="s">
        <v>343</v>
      </c>
      <c r="R27" s="35">
        <v>2.0</v>
      </c>
      <c r="S27" s="35" t="s">
        <v>343</v>
      </c>
      <c r="T27" s="35">
        <v>1.0</v>
      </c>
      <c r="U27" s="35" t="s">
        <v>343</v>
      </c>
      <c r="V27" s="35">
        <v>1.0</v>
      </c>
      <c r="W27" s="35" t="s">
        <v>343</v>
      </c>
      <c r="X27" s="35">
        <v>3.0</v>
      </c>
      <c r="Y27" s="35" t="s">
        <v>346</v>
      </c>
      <c r="Z27" s="35">
        <v>2.0</v>
      </c>
      <c r="AA27" s="95"/>
      <c r="AB27" s="95"/>
      <c r="AC27" s="35" t="s">
        <v>340</v>
      </c>
      <c r="AD27" s="35">
        <v>5.0</v>
      </c>
      <c r="AE27" s="35" t="s">
        <v>343</v>
      </c>
      <c r="AF27" s="35">
        <v>2.0</v>
      </c>
      <c r="AG27" s="35" t="s">
        <v>340</v>
      </c>
      <c r="AH27" s="35">
        <v>5.0</v>
      </c>
      <c r="AI27" s="35" t="s">
        <v>343</v>
      </c>
      <c r="AJ27" s="35">
        <v>2.0</v>
      </c>
      <c r="AK27" s="35" t="s">
        <v>343</v>
      </c>
      <c r="AL27" s="35">
        <v>3.0</v>
      </c>
      <c r="AM27" s="95"/>
      <c r="AN27" s="95"/>
      <c r="AO27" s="109" t="s">
        <v>343</v>
      </c>
      <c r="AP27" s="35">
        <v>2.0</v>
      </c>
      <c r="AQ27" s="35" t="s">
        <v>343</v>
      </c>
      <c r="AR27" s="35">
        <v>1.0</v>
      </c>
      <c r="AS27" s="35" t="s">
        <v>343</v>
      </c>
      <c r="AT27" s="35">
        <v>1.0</v>
      </c>
      <c r="AU27" s="35" t="s">
        <v>346</v>
      </c>
      <c r="AV27" s="35">
        <v>5.0</v>
      </c>
      <c r="AW27" s="35" t="s">
        <v>348</v>
      </c>
      <c r="AX27" s="35">
        <v>1.0</v>
      </c>
      <c r="AY27" s="95"/>
      <c r="AZ27" s="95"/>
    </row>
    <row r="28">
      <c r="A28" s="35" t="s">
        <v>359</v>
      </c>
      <c r="B28" s="35">
        <v>1.0</v>
      </c>
      <c r="E28" s="35" t="s">
        <v>352</v>
      </c>
      <c r="F28" s="35">
        <v>1.0</v>
      </c>
      <c r="G28" s="35" t="s">
        <v>348</v>
      </c>
      <c r="H28" s="35">
        <v>1.0</v>
      </c>
      <c r="I28" s="35" t="s">
        <v>346</v>
      </c>
      <c r="J28" s="35">
        <v>5.0</v>
      </c>
      <c r="K28" s="35" t="s">
        <v>346</v>
      </c>
      <c r="L28" s="35">
        <v>5.0</v>
      </c>
      <c r="M28" s="35" t="s">
        <v>348</v>
      </c>
      <c r="N28" s="35">
        <v>1.0</v>
      </c>
      <c r="Q28" s="109" t="s">
        <v>346</v>
      </c>
      <c r="R28" s="35">
        <v>1.0</v>
      </c>
      <c r="S28" s="35" t="s">
        <v>348</v>
      </c>
      <c r="T28" s="35">
        <v>1.0</v>
      </c>
      <c r="U28" s="35" t="s">
        <v>346</v>
      </c>
      <c r="V28" s="35">
        <v>2.0</v>
      </c>
      <c r="W28" s="35" t="s">
        <v>348</v>
      </c>
      <c r="X28" s="35">
        <v>2.0</v>
      </c>
      <c r="Y28" s="35" t="s">
        <v>352</v>
      </c>
      <c r="Z28" s="35">
        <v>3.0</v>
      </c>
      <c r="AA28" s="95"/>
      <c r="AB28" s="95"/>
      <c r="AC28" s="109" t="s">
        <v>346</v>
      </c>
      <c r="AD28" s="35">
        <v>3.0</v>
      </c>
      <c r="AE28" s="35" t="s">
        <v>348</v>
      </c>
      <c r="AF28" s="35">
        <v>1.0</v>
      </c>
      <c r="AG28" s="35" t="s">
        <v>346</v>
      </c>
      <c r="AH28" s="35">
        <v>2.0</v>
      </c>
      <c r="AI28" s="35" t="s">
        <v>348</v>
      </c>
      <c r="AJ28" s="35">
        <v>1.0</v>
      </c>
      <c r="AK28" s="35" t="s">
        <v>348</v>
      </c>
      <c r="AL28" s="35">
        <v>1.0</v>
      </c>
      <c r="AM28" s="95"/>
      <c r="AN28" s="95"/>
      <c r="AO28" s="109" t="s">
        <v>346</v>
      </c>
      <c r="AP28" s="35">
        <v>1.0</v>
      </c>
      <c r="AQ28" s="35" t="s">
        <v>348</v>
      </c>
      <c r="AR28" s="35">
        <v>1.0</v>
      </c>
      <c r="AS28" s="35" t="s">
        <v>346</v>
      </c>
      <c r="AT28" s="35">
        <v>1.0</v>
      </c>
      <c r="AU28" s="35" t="s">
        <v>352</v>
      </c>
      <c r="AV28" s="35">
        <v>4.0</v>
      </c>
      <c r="AW28" s="35" t="s">
        <v>346</v>
      </c>
      <c r="AX28" s="35">
        <v>4.0</v>
      </c>
      <c r="AY28" s="95"/>
      <c r="AZ28" s="95"/>
    </row>
    <row r="29">
      <c r="A29" s="35" t="s">
        <v>364</v>
      </c>
      <c r="B29" s="35">
        <v>2.0</v>
      </c>
      <c r="E29" s="35" t="s">
        <v>356</v>
      </c>
      <c r="F29" s="35">
        <v>3.0</v>
      </c>
      <c r="G29" s="35" t="s">
        <v>346</v>
      </c>
      <c r="H29" s="35">
        <v>3.0</v>
      </c>
      <c r="I29" s="35" t="s">
        <v>359</v>
      </c>
      <c r="J29" s="35">
        <v>1.0</v>
      </c>
      <c r="K29" s="35" t="s">
        <v>352</v>
      </c>
      <c r="L29" s="35">
        <v>4.0</v>
      </c>
      <c r="M29" s="35" t="s">
        <v>346</v>
      </c>
      <c r="N29" s="35">
        <v>3.0</v>
      </c>
      <c r="Q29" s="109" t="s">
        <v>352</v>
      </c>
      <c r="R29" s="35">
        <v>1.0</v>
      </c>
      <c r="S29" s="35" t="s">
        <v>346</v>
      </c>
      <c r="T29" s="35">
        <v>4.0</v>
      </c>
      <c r="U29" s="35" t="s">
        <v>352</v>
      </c>
      <c r="V29" s="35">
        <v>2.0</v>
      </c>
      <c r="W29" s="35" t="s">
        <v>346</v>
      </c>
      <c r="X29" s="35">
        <v>5.0</v>
      </c>
      <c r="Y29" s="35" t="s">
        <v>356</v>
      </c>
      <c r="Z29" s="35">
        <v>1.0</v>
      </c>
      <c r="AA29" s="95"/>
      <c r="AB29" s="95"/>
      <c r="AC29" s="109" t="s">
        <v>352</v>
      </c>
      <c r="AD29" s="35">
        <v>1.0</v>
      </c>
      <c r="AE29" s="35" t="s">
        <v>346</v>
      </c>
      <c r="AF29" s="35">
        <v>2.0</v>
      </c>
      <c r="AG29" s="35" t="s">
        <v>352</v>
      </c>
      <c r="AH29" s="35">
        <v>2.0</v>
      </c>
      <c r="AI29" s="35" t="s">
        <v>346</v>
      </c>
      <c r="AJ29" s="35">
        <v>6.0</v>
      </c>
      <c r="AK29" s="35" t="s">
        <v>346</v>
      </c>
      <c r="AL29" s="35">
        <v>1.0</v>
      </c>
      <c r="AM29" s="95"/>
      <c r="AN29" s="95"/>
      <c r="AO29" s="109" t="s">
        <v>352</v>
      </c>
      <c r="AP29" s="35">
        <v>3.0</v>
      </c>
      <c r="AQ29" s="35" t="s">
        <v>346</v>
      </c>
      <c r="AR29" s="35">
        <v>2.0</v>
      </c>
      <c r="AS29" s="35" t="s">
        <v>352</v>
      </c>
      <c r="AT29" s="35">
        <v>2.0</v>
      </c>
      <c r="AU29" s="35" t="s">
        <v>365</v>
      </c>
      <c r="AV29" s="35">
        <v>2.0</v>
      </c>
      <c r="AW29" s="35" t="s">
        <v>356</v>
      </c>
      <c r="AX29" s="35">
        <v>3.0</v>
      </c>
      <c r="AY29" s="95"/>
      <c r="AZ29" s="95"/>
    </row>
    <row r="30">
      <c r="A30" s="35" t="s">
        <v>367</v>
      </c>
      <c r="B30" s="35">
        <v>1.0</v>
      </c>
      <c r="E30" s="35" t="s">
        <v>361</v>
      </c>
      <c r="F30" s="35">
        <v>2.0</v>
      </c>
      <c r="G30" s="35" t="s">
        <v>352</v>
      </c>
      <c r="H30" s="35">
        <v>1.0</v>
      </c>
      <c r="I30" s="35" t="s">
        <v>364</v>
      </c>
      <c r="J30" s="35">
        <v>3.0</v>
      </c>
      <c r="K30" s="35" t="s">
        <v>361</v>
      </c>
      <c r="L30" s="35">
        <v>1.0</v>
      </c>
      <c r="M30" s="35" t="s">
        <v>365</v>
      </c>
      <c r="N30" s="35">
        <v>2.0</v>
      </c>
      <c r="Q30" s="35" t="s">
        <v>356</v>
      </c>
      <c r="R30" s="35">
        <v>2.0</v>
      </c>
      <c r="S30" s="35" t="s">
        <v>361</v>
      </c>
      <c r="T30" s="35">
        <v>3.0</v>
      </c>
      <c r="U30" s="35" t="s">
        <v>361</v>
      </c>
      <c r="V30" s="35">
        <v>1.0</v>
      </c>
      <c r="W30" s="35" t="s">
        <v>352</v>
      </c>
      <c r="X30" s="35">
        <v>5.0</v>
      </c>
      <c r="Y30" s="35" t="s">
        <v>365</v>
      </c>
      <c r="Z30" s="35">
        <v>2.0</v>
      </c>
      <c r="AA30" s="95"/>
      <c r="AB30" s="95"/>
      <c r="AC30" s="109" t="s">
        <v>356</v>
      </c>
      <c r="AD30" s="35">
        <v>2.0</v>
      </c>
      <c r="AE30" s="35" t="s">
        <v>352</v>
      </c>
      <c r="AF30" s="35">
        <v>1.0</v>
      </c>
      <c r="AG30" s="35" t="s">
        <v>356</v>
      </c>
      <c r="AH30" s="35">
        <v>1.0</v>
      </c>
      <c r="AI30" s="35" t="s">
        <v>352</v>
      </c>
      <c r="AJ30" s="35">
        <v>2.0</v>
      </c>
      <c r="AK30" s="35" t="s">
        <v>352</v>
      </c>
      <c r="AL30" s="35">
        <v>3.0</v>
      </c>
      <c r="AM30" s="95"/>
      <c r="AN30" s="95"/>
      <c r="AO30" s="35" t="s">
        <v>356</v>
      </c>
      <c r="AP30" s="35">
        <v>1.0</v>
      </c>
      <c r="AQ30" s="35" t="s">
        <v>352</v>
      </c>
      <c r="AR30" s="35">
        <v>1.0</v>
      </c>
      <c r="AS30" s="35" t="s">
        <v>359</v>
      </c>
      <c r="AT30" s="35">
        <v>1.0</v>
      </c>
      <c r="AU30" s="35" t="s">
        <v>364</v>
      </c>
      <c r="AV30" s="35">
        <v>1.0</v>
      </c>
      <c r="AW30" s="35" t="s">
        <v>365</v>
      </c>
      <c r="AX30" s="35">
        <v>1.0</v>
      </c>
      <c r="AY30" s="95"/>
      <c r="AZ30" s="95"/>
    </row>
    <row r="31">
      <c r="A31" s="109" t="s">
        <v>371</v>
      </c>
      <c r="B31" s="35">
        <v>3.0</v>
      </c>
      <c r="E31" s="35" t="s">
        <v>365</v>
      </c>
      <c r="F31" s="35">
        <v>1.0</v>
      </c>
      <c r="G31" s="35" t="s">
        <v>361</v>
      </c>
      <c r="H31" s="35">
        <v>2.0</v>
      </c>
      <c r="I31" s="35" t="s">
        <v>367</v>
      </c>
      <c r="J31" s="35">
        <v>4.0</v>
      </c>
      <c r="K31" s="35" t="s">
        <v>364</v>
      </c>
      <c r="L31" s="35">
        <v>1.0</v>
      </c>
      <c r="M31" s="109" t="s">
        <v>359</v>
      </c>
      <c r="N31" s="35">
        <v>2.0</v>
      </c>
      <c r="Q31" s="35" t="s">
        <v>361</v>
      </c>
      <c r="R31" s="35">
        <v>2.0</v>
      </c>
      <c r="S31" s="35" t="s">
        <v>365</v>
      </c>
      <c r="T31" s="35">
        <v>1.0</v>
      </c>
      <c r="U31" s="35" t="s">
        <v>359</v>
      </c>
      <c r="V31" s="35">
        <v>1.0</v>
      </c>
      <c r="W31" s="35" t="s">
        <v>356</v>
      </c>
      <c r="X31" s="35">
        <v>1.0</v>
      </c>
      <c r="Y31" s="109" t="s">
        <v>359</v>
      </c>
      <c r="Z31" s="35">
        <v>2.0</v>
      </c>
      <c r="AA31" s="95"/>
      <c r="AB31" s="95"/>
      <c r="AC31" s="35" t="s">
        <v>365</v>
      </c>
      <c r="AD31" s="35">
        <v>2.0</v>
      </c>
      <c r="AE31" s="35" t="s">
        <v>356</v>
      </c>
      <c r="AF31" s="35">
        <v>1.0</v>
      </c>
      <c r="AG31" s="35" t="s">
        <v>361</v>
      </c>
      <c r="AH31" s="35">
        <v>1.0</v>
      </c>
      <c r="AI31" s="35" t="s">
        <v>356</v>
      </c>
      <c r="AJ31" s="35">
        <v>1.0</v>
      </c>
      <c r="AK31" s="109" t="s">
        <v>365</v>
      </c>
      <c r="AL31" s="35">
        <v>1.0</v>
      </c>
      <c r="AM31" s="95"/>
      <c r="AN31" s="95"/>
      <c r="AO31" s="35" t="s">
        <v>365</v>
      </c>
      <c r="AP31" s="35">
        <v>2.0</v>
      </c>
      <c r="AQ31" s="35" t="s">
        <v>365</v>
      </c>
      <c r="AR31" s="35">
        <v>1.0</v>
      </c>
      <c r="AS31" s="35" t="s">
        <v>364</v>
      </c>
      <c r="AT31" s="35">
        <v>1.0</v>
      </c>
      <c r="AU31" s="109" t="s">
        <v>373</v>
      </c>
      <c r="AV31" s="35">
        <v>2.0</v>
      </c>
      <c r="AW31" s="109" t="s">
        <v>359</v>
      </c>
      <c r="AX31" s="35">
        <v>2.0</v>
      </c>
      <c r="AY31" s="95"/>
      <c r="AZ31" s="95"/>
    </row>
    <row r="32">
      <c r="A32" s="109" t="s">
        <v>376</v>
      </c>
      <c r="B32" s="35">
        <v>3.0</v>
      </c>
      <c r="E32" s="35" t="s">
        <v>359</v>
      </c>
      <c r="F32" s="35">
        <v>2.0</v>
      </c>
      <c r="G32" s="35" t="s">
        <v>359</v>
      </c>
      <c r="H32" s="35">
        <v>1.0</v>
      </c>
      <c r="I32" s="35" t="s">
        <v>371</v>
      </c>
      <c r="J32" s="35">
        <v>3.0</v>
      </c>
      <c r="K32" s="35" t="s">
        <v>367</v>
      </c>
      <c r="L32" s="35">
        <v>1.0</v>
      </c>
      <c r="M32" s="109" t="s">
        <v>371</v>
      </c>
      <c r="N32" s="35">
        <v>3.0</v>
      </c>
      <c r="Q32" s="35" t="s">
        <v>365</v>
      </c>
      <c r="R32" s="35">
        <v>4.0</v>
      </c>
      <c r="S32" s="35" t="s">
        <v>364</v>
      </c>
      <c r="T32" s="35">
        <v>1.0</v>
      </c>
      <c r="U32" s="35" t="s">
        <v>364</v>
      </c>
      <c r="V32" s="35">
        <v>2.0</v>
      </c>
      <c r="W32" s="35" t="s">
        <v>361</v>
      </c>
      <c r="X32" s="35">
        <v>1.0</v>
      </c>
      <c r="Y32" s="109" t="s">
        <v>370</v>
      </c>
      <c r="Z32" s="35">
        <v>1.0</v>
      </c>
      <c r="AA32" s="95"/>
      <c r="AB32" s="95"/>
      <c r="AC32" s="35" t="s">
        <v>359</v>
      </c>
      <c r="AD32" s="35">
        <v>2.0</v>
      </c>
      <c r="AE32" s="35" t="s">
        <v>361</v>
      </c>
      <c r="AF32" s="35">
        <v>2.0</v>
      </c>
      <c r="AG32" s="35" t="s">
        <v>359</v>
      </c>
      <c r="AH32" s="35">
        <v>1.0</v>
      </c>
      <c r="AI32" s="35" t="s">
        <v>364</v>
      </c>
      <c r="AJ32" s="35">
        <v>2.0</v>
      </c>
      <c r="AK32" s="109" t="s">
        <v>359</v>
      </c>
      <c r="AL32" s="35">
        <v>2.0</v>
      </c>
      <c r="AM32" s="95"/>
      <c r="AN32" s="95"/>
      <c r="AO32" s="35" t="s">
        <v>359</v>
      </c>
      <c r="AP32" s="35">
        <v>2.0</v>
      </c>
      <c r="AQ32" s="35" t="s">
        <v>364</v>
      </c>
      <c r="AR32" s="35">
        <v>1.0</v>
      </c>
      <c r="AS32" s="35" t="s">
        <v>367</v>
      </c>
      <c r="AT32" s="35">
        <v>5.0</v>
      </c>
      <c r="AU32" s="109" t="s">
        <v>371</v>
      </c>
      <c r="AV32" s="35">
        <v>3.0</v>
      </c>
      <c r="AW32" s="109" t="s">
        <v>364</v>
      </c>
      <c r="AX32" s="35">
        <v>2.0</v>
      </c>
      <c r="AY32" s="95"/>
      <c r="AZ32" s="95"/>
    </row>
    <row r="33">
      <c r="A33" s="109" t="s">
        <v>382</v>
      </c>
      <c r="B33" s="35">
        <v>4.0</v>
      </c>
      <c r="E33" s="35" t="s">
        <v>367</v>
      </c>
      <c r="F33" s="35">
        <v>4.0</v>
      </c>
      <c r="G33" s="35" t="s">
        <v>370</v>
      </c>
      <c r="H33" s="35">
        <v>2.0</v>
      </c>
      <c r="I33" s="35" t="s">
        <v>376</v>
      </c>
      <c r="J33" s="35">
        <v>4.0</v>
      </c>
      <c r="K33" s="35" t="s">
        <v>371</v>
      </c>
      <c r="L33" s="35">
        <v>3.0</v>
      </c>
      <c r="M33" s="109" t="s">
        <v>376</v>
      </c>
      <c r="N33" s="35">
        <v>4.0</v>
      </c>
      <c r="Q33" s="35" t="s">
        <v>359</v>
      </c>
      <c r="R33" s="35">
        <v>2.0</v>
      </c>
      <c r="S33" s="35" t="s">
        <v>370</v>
      </c>
      <c r="T33" s="35">
        <v>1.0</v>
      </c>
      <c r="U33" s="35" t="s">
        <v>367</v>
      </c>
      <c r="V33" s="35">
        <v>4.0</v>
      </c>
      <c r="W33" s="35" t="s">
        <v>365</v>
      </c>
      <c r="X33" s="35">
        <v>1.0</v>
      </c>
      <c r="Y33" s="109" t="s">
        <v>371</v>
      </c>
      <c r="Z33" s="35">
        <v>3.0</v>
      </c>
      <c r="AA33" s="95"/>
      <c r="AB33" s="95"/>
      <c r="AC33" s="35" t="s">
        <v>364</v>
      </c>
      <c r="AD33" s="35">
        <v>2.0</v>
      </c>
      <c r="AE33" s="35" t="s">
        <v>365</v>
      </c>
      <c r="AF33" s="35">
        <v>1.0</v>
      </c>
      <c r="AG33" s="35" t="s">
        <v>364</v>
      </c>
      <c r="AH33" s="35">
        <v>3.0</v>
      </c>
      <c r="AI33" s="35" t="s">
        <v>367</v>
      </c>
      <c r="AJ33" s="35">
        <v>1.0</v>
      </c>
      <c r="AK33" s="109" t="s">
        <v>371</v>
      </c>
      <c r="AL33" s="35">
        <v>2.0</v>
      </c>
      <c r="AM33" s="95"/>
      <c r="AN33" s="95"/>
      <c r="AO33" s="35" t="s">
        <v>364</v>
      </c>
      <c r="AP33" s="35">
        <v>2.0</v>
      </c>
      <c r="AQ33" s="35" t="s">
        <v>370</v>
      </c>
      <c r="AR33" s="35">
        <v>1.0</v>
      </c>
      <c r="AS33" s="35" t="s">
        <v>371</v>
      </c>
      <c r="AT33" s="35">
        <v>1.0</v>
      </c>
      <c r="AU33" s="109" t="s">
        <v>382</v>
      </c>
      <c r="AV33" s="35">
        <v>4.0</v>
      </c>
      <c r="AW33" s="109" t="s">
        <v>367</v>
      </c>
      <c r="AX33" s="35">
        <v>1.0</v>
      </c>
      <c r="AY33" s="95"/>
      <c r="AZ33" s="95"/>
    </row>
    <row r="34">
      <c r="A34" s="109" t="s">
        <v>413</v>
      </c>
      <c r="B34" s="35">
        <v>1.0</v>
      </c>
      <c r="E34" s="35" t="s">
        <v>373</v>
      </c>
      <c r="F34" s="35">
        <v>1.0</v>
      </c>
      <c r="G34" s="35" t="s">
        <v>367</v>
      </c>
      <c r="H34" s="35">
        <v>3.0</v>
      </c>
      <c r="I34" s="35" t="s">
        <v>382</v>
      </c>
      <c r="J34" s="35">
        <v>6.0</v>
      </c>
      <c r="K34" s="35" t="s">
        <v>773</v>
      </c>
      <c r="L34" s="35">
        <v>1.0</v>
      </c>
      <c r="M34" s="109" t="s">
        <v>382</v>
      </c>
      <c r="N34" s="35">
        <v>3.0</v>
      </c>
      <c r="Q34" s="35" t="s">
        <v>367</v>
      </c>
      <c r="R34" s="35">
        <v>2.0</v>
      </c>
      <c r="S34" s="35" t="s">
        <v>367</v>
      </c>
      <c r="T34" s="35">
        <v>4.0</v>
      </c>
      <c r="U34" s="35" t="s">
        <v>371</v>
      </c>
      <c r="V34" s="35">
        <v>1.0</v>
      </c>
      <c r="W34" s="35" t="s">
        <v>364</v>
      </c>
      <c r="X34" s="35">
        <v>2.0</v>
      </c>
      <c r="Y34" s="109" t="s">
        <v>376</v>
      </c>
      <c r="Z34" s="35">
        <v>4.0</v>
      </c>
      <c r="AA34" s="95"/>
      <c r="AB34" s="95"/>
      <c r="AC34" s="35" t="s">
        <v>367</v>
      </c>
      <c r="AD34" s="35">
        <v>2.0</v>
      </c>
      <c r="AE34" s="35" t="s">
        <v>359</v>
      </c>
      <c r="AF34" s="35">
        <v>1.0</v>
      </c>
      <c r="AG34" s="35" t="s">
        <v>367</v>
      </c>
      <c r="AH34" s="35">
        <v>3.0</v>
      </c>
      <c r="AI34" s="35" t="s">
        <v>371</v>
      </c>
      <c r="AJ34" s="35">
        <v>3.0</v>
      </c>
      <c r="AK34" s="109" t="s">
        <v>376</v>
      </c>
      <c r="AL34" s="35">
        <v>1.0</v>
      </c>
      <c r="AM34" s="95"/>
      <c r="AN34" s="95"/>
      <c r="AO34" s="35" t="s">
        <v>367</v>
      </c>
      <c r="AP34" s="35">
        <v>4.0</v>
      </c>
      <c r="AQ34" s="35" t="s">
        <v>367</v>
      </c>
      <c r="AR34" s="35">
        <v>3.0</v>
      </c>
      <c r="AS34" s="35" t="s">
        <v>376</v>
      </c>
      <c r="AT34" s="35">
        <v>1.0</v>
      </c>
      <c r="AU34" s="109" t="s">
        <v>401</v>
      </c>
      <c r="AV34" s="35">
        <v>2.0</v>
      </c>
      <c r="AW34" s="109" t="s">
        <v>373</v>
      </c>
      <c r="AX34" s="35">
        <v>1.0</v>
      </c>
      <c r="AY34" s="95"/>
      <c r="AZ34" s="95"/>
    </row>
    <row r="35">
      <c r="A35" s="109" t="s">
        <v>400</v>
      </c>
      <c r="B35" s="35">
        <v>1.0</v>
      </c>
      <c r="E35" s="35" t="s">
        <v>371</v>
      </c>
      <c r="F35" s="35">
        <v>6.0</v>
      </c>
      <c r="G35" s="35" t="s">
        <v>371</v>
      </c>
      <c r="H35" s="35">
        <v>3.0</v>
      </c>
      <c r="I35" s="35" t="s">
        <v>401</v>
      </c>
      <c r="J35" s="35">
        <v>2.0</v>
      </c>
      <c r="K35" s="35" t="s">
        <v>376</v>
      </c>
      <c r="L35" s="35">
        <v>1.0</v>
      </c>
      <c r="M35" s="109" t="s">
        <v>401</v>
      </c>
      <c r="N35" s="35">
        <v>1.0</v>
      </c>
      <c r="Q35" s="35" t="s">
        <v>371</v>
      </c>
      <c r="R35" s="35">
        <v>3.0</v>
      </c>
      <c r="S35" s="35" t="s">
        <v>373</v>
      </c>
      <c r="T35" s="35">
        <v>1.0</v>
      </c>
      <c r="U35" s="35" t="s">
        <v>376</v>
      </c>
      <c r="V35" s="35">
        <v>3.0</v>
      </c>
      <c r="W35" s="35" t="s">
        <v>371</v>
      </c>
      <c r="X35" s="35">
        <v>1.0</v>
      </c>
      <c r="Y35" s="109" t="s">
        <v>382</v>
      </c>
      <c r="Z35" s="35">
        <v>2.0</v>
      </c>
      <c r="AA35" s="95"/>
      <c r="AB35" s="95"/>
      <c r="AC35" s="35" t="s">
        <v>371</v>
      </c>
      <c r="AD35" s="35">
        <v>7.0</v>
      </c>
      <c r="AE35" s="35" t="s">
        <v>364</v>
      </c>
      <c r="AF35" s="35">
        <v>4.0</v>
      </c>
      <c r="AG35" s="35" t="s">
        <v>371</v>
      </c>
      <c r="AH35" s="35">
        <v>2.0</v>
      </c>
      <c r="AI35" s="109" t="s">
        <v>382</v>
      </c>
      <c r="AJ35" s="35">
        <v>4.0</v>
      </c>
      <c r="AK35" s="109" t="s">
        <v>382</v>
      </c>
      <c r="AL35" s="35">
        <v>2.0</v>
      </c>
      <c r="AM35" s="95"/>
      <c r="AN35" s="95"/>
      <c r="AO35" s="35" t="s">
        <v>371</v>
      </c>
      <c r="AP35" s="35">
        <v>5.0</v>
      </c>
      <c r="AQ35" s="35" t="s">
        <v>371</v>
      </c>
      <c r="AR35" s="35">
        <v>6.0</v>
      </c>
      <c r="AS35" s="35" t="s">
        <v>382</v>
      </c>
      <c r="AT35" s="35">
        <v>6.0</v>
      </c>
      <c r="AU35" s="109" t="s">
        <v>400</v>
      </c>
      <c r="AV35" s="35">
        <v>1.0</v>
      </c>
      <c r="AW35" s="109" t="s">
        <v>371</v>
      </c>
      <c r="AX35" s="35">
        <v>3.0</v>
      </c>
      <c r="AY35" s="95"/>
      <c r="AZ35" s="95"/>
    </row>
    <row r="36">
      <c r="A36" s="109" t="s">
        <v>672</v>
      </c>
      <c r="B36" s="35">
        <v>1.0</v>
      </c>
      <c r="E36" s="35" t="s">
        <v>376</v>
      </c>
      <c r="F36" s="35">
        <v>6.0</v>
      </c>
      <c r="G36" s="35" t="s">
        <v>376</v>
      </c>
      <c r="H36" s="35">
        <v>3.0</v>
      </c>
      <c r="I36" s="35" t="s">
        <v>403</v>
      </c>
      <c r="J36" s="35">
        <v>1.0</v>
      </c>
      <c r="K36" s="35" t="s">
        <v>382</v>
      </c>
      <c r="L36" s="35">
        <v>6.0</v>
      </c>
      <c r="M36" s="109" t="s">
        <v>391</v>
      </c>
      <c r="N36" s="35">
        <v>1.0</v>
      </c>
      <c r="Q36" s="35" t="s">
        <v>376</v>
      </c>
      <c r="R36" s="35">
        <v>3.0</v>
      </c>
      <c r="S36" s="35" t="s">
        <v>371</v>
      </c>
      <c r="T36" s="35">
        <v>6.0</v>
      </c>
      <c r="U36" s="35" t="s">
        <v>382</v>
      </c>
      <c r="V36" s="35">
        <v>4.0</v>
      </c>
      <c r="W36" s="35" t="s">
        <v>382</v>
      </c>
      <c r="X36" s="35">
        <v>7.0</v>
      </c>
      <c r="Y36" s="109" t="s">
        <v>401</v>
      </c>
      <c r="Z36" s="35">
        <v>1.0</v>
      </c>
      <c r="AA36" s="95"/>
      <c r="AB36" s="95"/>
      <c r="AC36" s="35" t="s">
        <v>376</v>
      </c>
      <c r="AD36" s="35">
        <v>2.0</v>
      </c>
      <c r="AE36" s="35" t="s">
        <v>367</v>
      </c>
      <c r="AF36" s="35">
        <v>2.0</v>
      </c>
      <c r="AG36" s="35" t="s">
        <v>376</v>
      </c>
      <c r="AH36" s="35">
        <v>5.0</v>
      </c>
      <c r="AI36" s="109" t="s">
        <v>413</v>
      </c>
      <c r="AJ36" s="35">
        <v>1.0</v>
      </c>
      <c r="AK36" s="109" t="s">
        <v>391</v>
      </c>
      <c r="AL36" s="35">
        <v>1.0</v>
      </c>
      <c r="AM36" s="95"/>
      <c r="AN36" s="95"/>
      <c r="AO36" s="35" t="s">
        <v>376</v>
      </c>
      <c r="AP36" s="35">
        <v>5.0</v>
      </c>
      <c r="AQ36" s="35" t="s">
        <v>376</v>
      </c>
      <c r="AR36" s="35">
        <v>3.0</v>
      </c>
      <c r="AS36" s="35" t="s">
        <v>400</v>
      </c>
      <c r="AT36" s="35">
        <v>1.0</v>
      </c>
      <c r="AU36" s="109" t="s">
        <v>445</v>
      </c>
      <c r="AV36" s="35">
        <v>1.0</v>
      </c>
      <c r="AW36" s="109" t="s">
        <v>774</v>
      </c>
      <c r="AX36" s="35">
        <v>1.0</v>
      </c>
      <c r="AY36" s="95"/>
      <c r="AZ36" s="95"/>
    </row>
    <row r="37">
      <c r="A37" s="109" t="s">
        <v>421</v>
      </c>
      <c r="B37" s="35">
        <v>1.0</v>
      </c>
      <c r="E37" s="35" t="s">
        <v>382</v>
      </c>
      <c r="F37" s="35">
        <v>4.0</v>
      </c>
      <c r="G37" s="35" t="s">
        <v>382</v>
      </c>
      <c r="H37" s="35">
        <v>6.0</v>
      </c>
      <c r="I37" s="35" t="s">
        <v>408</v>
      </c>
      <c r="J37" s="35">
        <v>1.0</v>
      </c>
      <c r="K37" s="109" t="s">
        <v>401</v>
      </c>
      <c r="L37" s="35">
        <v>2.0</v>
      </c>
      <c r="M37" s="109" t="s">
        <v>400</v>
      </c>
      <c r="N37" s="35">
        <v>2.0</v>
      </c>
      <c r="Q37" s="35" t="s">
        <v>382</v>
      </c>
      <c r="R37" s="35">
        <v>4.0</v>
      </c>
      <c r="S37" s="35" t="s">
        <v>376</v>
      </c>
      <c r="T37" s="35">
        <v>2.0</v>
      </c>
      <c r="U37" s="35" t="s">
        <v>401</v>
      </c>
      <c r="V37" s="35">
        <v>1.0</v>
      </c>
      <c r="W37" s="35" t="s">
        <v>675</v>
      </c>
      <c r="X37" s="35">
        <v>1.0</v>
      </c>
      <c r="Y37" s="109" t="s">
        <v>391</v>
      </c>
      <c r="Z37" s="35">
        <v>1.0</v>
      </c>
      <c r="AA37" s="95"/>
      <c r="AB37" s="95"/>
      <c r="AC37" s="35" t="s">
        <v>382</v>
      </c>
      <c r="AD37" s="35">
        <v>2.0</v>
      </c>
      <c r="AE37" s="35" t="s">
        <v>371</v>
      </c>
      <c r="AF37" s="35">
        <v>7.0</v>
      </c>
      <c r="AG37" s="35" t="s">
        <v>382</v>
      </c>
      <c r="AH37" s="35">
        <v>6.0</v>
      </c>
      <c r="AI37" s="109" t="s">
        <v>428</v>
      </c>
      <c r="AJ37" s="35">
        <v>1.0</v>
      </c>
      <c r="AK37" s="109" t="s">
        <v>400</v>
      </c>
      <c r="AL37" s="35">
        <v>1.0</v>
      </c>
      <c r="AM37" s="95"/>
      <c r="AN37" s="95"/>
      <c r="AO37" s="35" t="s">
        <v>382</v>
      </c>
      <c r="AP37" s="35">
        <v>6.0</v>
      </c>
      <c r="AQ37" s="35" t="s">
        <v>382</v>
      </c>
      <c r="AR37" s="35">
        <v>5.0</v>
      </c>
      <c r="AS37" s="35" t="s">
        <v>409</v>
      </c>
      <c r="AT37" s="35">
        <v>1.0</v>
      </c>
      <c r="AU37" s="109" t="s">
        <v>403</v>
      </c>
      <c r="AV37" s="35">
        <v>1.0</v>
      </c>
      <c r="AW37" s="109" t="s">
        <v>382</v>
      </c>
      <c r="AX37" s="35">
        <v>2.0</v>
      </c>
      <c r="AY37" s="95"/>
      <c r="AZ37" s="95"/>
    </row>
    <row r="38">
      <c r="A38" s="109" t="s">
        <v>440</v>
      </c>
      <c r="B38" s="35">
        <v>1.0</v>
      </c>
      <c r="E38" s="35" t="s">
        <v>401</v>
      </c>
      <c r="F38" s="35">
        <v>3.0</v>
      </c>
      <c r="G38" s="35" t="s">
        <v>394</v>
      </c>
      <c r="H38" s="35">
        <v>1.0</v>
      </c>
      <c r="I38" s="35" t="s">
        <v>426</v>
      </c>
      <c r="J38" s="35">
        <v>1.0</v>
      </c>
      <c r="K38" s="109" t="s">
        <v>445</v>
      </c>
      <c r="L38" s="35">
        <v>1.0</v>
      </c>
      <c r="M38" s="109" t="s">
        <v>438</v>
      </c>
      <c r="N38" s="35">
        <v>3.0</v>
      </c>
      <c r="Q38" s="35" t="s">
        <v>401</v>
      </c>
      <c r="R38" s="35">
        <v>2.0</v>
      </c>
      <c r="S38" s="35" t="s">
        <v>382</v>
      </c>
      <c r="T38" s="35">
        <v>5.0</v>
      </c>
      <c r="U38" s="35" t="s">
        <v>408</v>
      </c>
      <c r="V38" s="35">
        <v>1.0</v>
      </c>
      <c r="W38" s="109" t="s">
        <v>400</v>
      </c>
      <c r="X38" s="35">
        <v>1.0</v>
      </c>
      <c r="Y38" s="109" t="s">
        <v>672</v>
      </c>
      <c r="Z38" s="35">
        <v>1.0</v>
      </c>
      <c r="AA38" s="95"/>
      <c r="AB38" s="95"/>
      <c r="AC38" s="35" t="s">
        <v>401</v>
      </c>
      <c r="AD38" s="35">
        <v>3.0</v>
      </c>
      <c r="AE38" s="35" t="s">
        <v>376</v>
      </c>
      <c r="AF38" s="35">
        <v>3.0</v>
      </c>
      <c r="AG38" s="35" t="s">
        <v>401</v>
      </c>
      <c r="AH38" s="35">
        <v>1.0</v>
      </c>
      <c r="AI38" s="109" t="s">
        <v>448</v>
      </c>
      <c r="AJ38" s="35">
        <v>1.0</v>
      </c>
      <c r="AK38" s="35" t="s">
        <v>421</v>
      </c>
      <c r="AL38" s="35">
        <v>1.0</v>
      </c>
      <c r="AM38" s="95"/>
      <c r="AN38" s="95"/>
      <c r="AO38" s="35" t="s">
        <v>401</v>
      </c>
      <c r="AP38" s="35">
        <v>2.0</v>
      </c>
      <c r="AQ38" s="35" t="s">
        <v>401</v>
      </c>
      <c r="AR38" s="35">
        <v>1.0</v>
      </c>
      <c r="AS38" s="35" t="s">
        <v>438</v>
      </c>
      <c r="AT38" s="35">
        <v>1.0</v>
      </c>
      <c r="AU38" s="35" t="s">
        <v>419</v>
      </c>
      <c r="AV38" s="35">
        <v>1.0</v>
      </c>
      <c r="AW38" s="109" t="s">
        <v>412</v>
      </c>
      <c r="AX38" s="35">
        <v>1.0</v>
      </c>
      <c r="AY38" s="95"/>
      <c r="AZ38" s="95"/>
    </row>
    <row r="39">
      <c r="A39" s="35" t="s">
        <v>443</v>
      </c>
      <c r="B39" s="35">
        <v>1.0</v>
      </c>
      <c r="E39" s="35" t="s">
        <v>394</v>
      </c>
      <c r="F39" s="35">
        <v>2.0</v>
      </c>
      <c r="G39" s="35" t="s">
        <v>428</v>
      </c>
      <c r="H39" s="35">
        <v>2.0</v>
      </c>
      <c r="I39" s="35" t="s">
        <v>443</v>
      </c>
      <c r="J39" s="35">
        <v>2.0</v>
      </c>
      <c r="K39" s="109" t="s">
        <v>419</v>
      </c>
      <c r="L39" s="35">
        <v>1.0</v>
      </c>
      <c r="M39" s="109" t="s">
        <v>421</v>
      </c>
      <c r="N39" s="35">
        <v>1.0</v>
      </c>
      <c r="Q39" s="35" t="s">
        <v>391</v>
      </c>
      <c r="R39" s="35">
        <v>2.0</v>
      </c>
      <c r="S39" s="35" t="s">
        <v>428</v>
      </c>
      <c r="T39" s="35">
        <v>1.0</v>
      </c>
      <c r="U39" s="35" t="s">
        <v>421</v>
      </c>
      <c r="V39" s="35">
        <v>1.0</v>
      </c>
      <c r="W39" s="109" t="s">
        <v>448</v>
      </c>
      <c r="X39" s="35">
        <v>1.0</v>
      </c>
      <c r="Y39" s="109" t="s">
        <v>421</v>
      </c>
      <c r="Z39" s="35">
        <v>1.0</v>
      </c>
      <c r="AA39" s="95"/>
      <c r="AB39" s="95"/>
      <c r="AC39" s="35" t="s">
        <v>408</v>
      </c>
      <c r="AD39" s="35">
        <v>1.0</v>
      </c>
      <c r="AE39" s="35" t="s">
        <v>382</v>
      </c>
      <c r="AF39" s="35">
        <v>3.0</v>
      </c>
      <c r="AG39" s="35" t="s">
        <v>400</v>
      </c>
      <c r="AH39" s="35">
        <v>1.0</v>
      </c>
      <c r="AI39" s="109" t="s">
        <v>408</v>
      </c>
      <c r="AJ39" s="35">
        <v>3.0</v>
      </c>
      <c r="AK39" s="35" t="s">
        <v>431</v>
      </c>
      <c r="AL39" s="35">
        <v>1.0</v>
      </c>
      <c r="AM39" s="95"/>
      <c r="AN39" s="95"/>
      <c r="AO39" s="35" t="s">
        <v>669</v>
      </c>
      <c r="AP39" s="35">
        <v>1.0</v>
      </c>
      <c r="AQ39" s="35" t="s">
        <v>413</v>
      </c>
      <c r="AR39" s="35">
        <v>2.0</v>
      </c>
      <c r="AS39" s="35" t="s">
        <v>408</v>
      </c>
      <c r="AT39" s="35">
        <v>1.0</v>
      </c>
      <c r="AU39" s="35" t="s">
        <v>408</v>
      </c>
      <c r="AV39" s="35">
        <v>1.0</v>
      </c>
      <c r="AW39" s="109" t="s">
        <v>409</v>
      </c>
      <c r="AX39" s="35">
        <v>1.0</v>
      </c>
      <c r="AY39" s="95"/>
      <c r="AZ39" s="95"/>
    </row>
    <row r="40">
      <c r="A40" s="35" t="s">
        <v>436</v>
      </c>
      <c r="B40" s="35">
        <v>1.0</v>
      </c>
      <c r="E40" s="35" t="s">
        <v>408</v>
      </c>
      <c r="F40" s="35">
        <v>2.0</v>
      </c>
      <c r="G40" s="35" t="s">
        <v>400</v>
      </c>
      <c r="H40" s="35">
        <v>1.0</v>
      </c>
      <c r="I40" s="35" t="s">
        <v>442</v>
      </c>
      <c r="J40" s="35">
        <v>1.0</v>
      </c>
      <c r="K40" s="109" t="s">
        <v>408</v>
      </c>
      <c r="L40" s="35">
        <v>2.0</v>
      </c>
      <c r="M40" s="35" t="s">
        <v>447</v>
      </c>
      <c r="N40" s="35">
        <v>1.0</v>
      </c>
      <c r="Q40" s="35" t="s">
        <v>409</v>
      </c>
      <c r="R40" s="35">
        <v>1.0</v>
      </c>
      <c r="S40" s="35" t="s">
        <v>445</v>
      </c>
      <c r="T40" s="35">
        <v>2.0</v>
      </c>
      <c r="U40" s="35" t="s">
        <v>443</v>
      </c>
      <c r="V40" s="35">
        <v>1.0</v>
      </c>
      <c r="W40" s="109" t="s">
        <v>408</v>
      </c>
      <c r="X40" s="35">
        <v>4.0</v>
      </c>
      <c r="Y40" s="35" t="s">
        <v>443</v>
      </c>
      <c r="Z40" s="35">
        <v>1.0</v>
      </c>
      <c r="AA40" s="95"/>
      <c r="AB40" s="95"/>
      <c r="AC40" s="35" t="s">
        <v>421</v>
      </c>
      <c r="AD40" s="35">
        <v>1.0</v>
      </c>
      <c r="AE40" s="35" t="s">
        <v>401</v>
      </c>
      <c r="AF40" s="35">
        <v>1.0</v>
      </c>
      <c r="AG40" s="35" t="s">
        <v>408</v>
      </c>
      <c r="AH40" s="35">
        <v>1.0</v>
      </c>
      <c r="AI40" s="109" t="s">
        <v>417</v>
      </c>
      <c r="AJ40" s="35">
        <v>1.0</v>
      </c>
      <c r="AK40" s="35" t="s">
        <v>440</v>
      </c>
      <c r="AL40" s="35">
        <v>1.0</v>
      </c>
      <c r="AM40" s="95"/>
      <c r="AN40" s="95"/>
      <c r="AO40" s="35" t="s">
        <v>394</v>
      </c>
      <c r="AP40" s="35">
        <v>1.0</v>
      </c>
      <c r="AQ40" s="35" t="s">
        <v>394</v>
      </c>
      <c r="AR40" s="35">
        <v>1.0</v>
      </c>
      <c r="AS40" s="35" t="s">
        <v>443</v>
      </c>
      <c r="AT40" s="35">
        <v>1.0</v>
      </c>
      <c r="AU40" s="35" t="s">
        <v>417</v>
      </c>
      <c r="AV40" s="35">
        <v>2.0</v>
      </c>
      <c r="AW40" s="109" t="s">
        <v>403</v>
      </c>
      <c r="AX40" s="35">
        <v>1.0</v>
      </c>
      <c r="AY40" s="95"/>
      <c r="AZ40" s="95"/>
    </row>
    <row r="41">
      <c r="A41" s="35" t="s">
        <v>442</v>
      </c>
      <c r="B41" s="35">
        <v>4.0</v>
      </c>
      <c r="E41" s="35" t="s">
        <v>421</v>
      </c>
      <c r="F41" s="35">
        <v>1.0</v>
      </c>
      <c r="G41" s="35" t="s">
        <v>445</v>
      </c>
      <c r="H41" s="35">
        <v>1.0</v>
      </c>
      <c r="I41" s="35" t="s">
        <v>446</v>
      </c>
      <c r="J41" s="35">
        <v>1.0</v>
      </c>
      <c r="K41" s="109" t="s">
        <v>431</v>
      </c>
      <c r="L41" s="35">
        <v>1.0</v>
      </c>
      <c r="M41" s="35" t="s">
        <v>436</v>
      </c>
      <c r="N41" s="35">
        <v>1.0</v>
      </c>
      <c r="Q41" s="35" t="s">
        <v>408</v>
      </c>
      <c r="R41" s="35">
        <v>2.0</v>
      </c>
      <c r="S41" s="35" t="s">
        <v>409</v>
      </c>
      <c r="T41" s="35">
        <v>3.0</v>
      </c>
      <c r="U41" s="35" t="s">
        <v>447</v>
      </c>
      <c r="V41" s="35">
        <v>1.0</v>
      </c>
      <c r="W41" s="109" t="s">
        <v>417</v>
      </c>
      <c r="X41" s="35">
        <v>1.0</v>
      </c>
      <c r="Y41" s="35" t="s">
        <v>447</v>
      </c>
      <c r="Z41" s="35">
        <v>1.0</v>
      </c>
      <c r="AA41" s="95"/>
      <c r="AB41" s="95"/>
      <c r="AC41" s="35" t="s">
        <v>475</v>
      </c>
      <c r="AD41" s="35">
        <v>1.0</v>
      </c>
      <c r="AE41" s="35" t="s">
        <v>413</v>
      </c>
      <c r="AF41" s="35">
        <v>1.0</v>
      </c>
      <c r="AG41" s="35" t="s">
        <v>421</v>
      </c>
      <c r="AH41" s="35">
        <v>1.0</v>
      </c>
      <c r="AI41" s="35" t="s">
        <v>449</v>
      </c>
      <c r="AJ41" s="35">
        <v>1.0</v>
      </c>
      <c r="AK41" s="35" t="s">
        <v>449</v>
      </c>
      <c r="AL41" s="35">
        <v>1.0</v>
      </c>
      <c r="AM41" s="95"/>
      <c r="AN41" s="95"/>
      <c r="AO41" s="35" t="s">
        <v>672</v>
      </c>
      <c r="AP41" s="35">
        <v>1.0</v>
      </c>
      <c r="AQ41" s="35" t="s">
        <v>400</v>
      </c>
      <c r="AR41" s="35">
        <v>1.0</v>
      </c>
      <c r="AS41" s="35" t="s">
        <v>447</v>
      </c>
      <c r="AT41" s="35">
        <v>1.0</v>
      </c>
      <c r="AU41" s="35" t="s">
        <v>449</v>
      </c>
      <c r="AV41" s="35">
        <v>1.0</v>
      </c>
      <c r="AW41" s="109" t="s">
        <v>438</v>
      </c>
      <c r="AX41" s="35">
        <v>1.0</v>
      </c>
      <c r="AY41" s="95"/>
      <c r="AZ41" s="95"/>
    </row>
    <row r="42">
      <c r="A42" s="35" t="s">
        <v>453</v>
      </c>
      <c r="B42" s="35">
        <v>3.0</v>
      </c>
      <c r="E42" s="35" t="s">
        <v>431</v>
      </c>
      <c r="F42" s="35">
        <v>1.0</v>
      </c>
      <c r="G42" s="35" t="s">
        <v>409</v>
      </c>
      <c r="H42" s="35">
        <v>2.0</v>
      </c>
      <c r="I42" s="35" t="s">
        <v>453</v>
      </c>
      <c r="J42" s="35">
        <v>1.0</v>
      </c>
      <c r="K42" s="109" t="s">
        <v>442</v>
      </c>
      <c r="L42" s="35">
        <v>2.0</v>
      </c>
      <c r="M42" s="35" t="s">
        <v>442</v>
      </c>
      <c r="N42" s="35">
        <v>3.0</v>
      </c>
      <c r="Q42" s="35" t="s">
        <v>431</v>
      </c>
      <c r="R42" s="35">
        <v>1.0</v>
      </c>
      <c r="S42" s="87" t="s">
        <v>438</v>
      </c>
      <c r="T42" s="87">
        <v>1.0</v>
      </c>
      <c r="U42" s="35" t="s">
        <v>442</v>
      </c>
      <c r="V42" s="35">
        <v>3.0</v>
      </c>
      <c r="W42" s="109" t="s">
        <v>421</v>
      </c>
      <c r="X42" s="35">
        <v>1.0</v>
      </c>
      <c r="Y42" s="35" t="s">
        <v>436</v>
      </c>
      <c r="Z42" s="35">
        <v>1.0</v>
      </c>
      <c r="AA42" s="95"/>
      <c r="AB42" s="95"/>
      <c r="AC42" s="35" t="s">
        <v>453</v>
      </c>
      <c r="AD42" s="35">
        <v>2.0</v>
      </c>
      <c r="AE42" s="35" t="s">
        <v>394</v>
      </c>
      <c r="AF42" s="35">
        <v>1.0</v>
      </c>
      <c r="AG42" s="35" t="s">
        <v>443</v>
      </c>
      <c r="AH42" s="35">
        <v>1.0</v>
      </c>
      <c r="AI42" s="35" t="s">
        <v>673</v>
      </c>
      <c r="AJ42" s="35">
        <v>1.0</v>
      </c>
      <c r="AK42" s="35" t="s">
        <v>436</v>
      </c>
      <c r="AL42" s="35">
        <v>1.0</v>
      </c>
      <c r="AM42" s="95"/>
      <c r="AN42" s="95"/>
      <c r="AO42" s="35" t="s">
        <v>396</v>
      </c>
      <c r="AP42" s="35">
        <v>1.0</v>
      </c>
      <c r="AQ42" s="35" t="s">
        <v>445</v>
      </c>
      <c r="AR42" s="35">
        <v>1.0</v>
      </c>
      <c r="AS42" s="35" t="s">
        <v>442</v>
      </c>
      <c r="AT42" s="35">
        <v>3.0</v>
      </c>
      <c r="AU42" s="35" t="s">
        <v>673</v>
      </c>
      <c r="AV42" s="35">
        <v>1.0</v>
      </c>
      <c r="AW42" s="35" t="s">
        <v>419</v>
      </c>
      <c r="AX42" s="35">
        <v>1.0</v>
      </c>
      <c r="AY42" s="95"/>
      <c r="AZ42" s="95"/>
    </row>
    <row r="43">
      <c r="A43" s="35" t="s">
        <v>457</v>
      </c>
      <c r="B43" s="35">
        <v>5.0</v>
      </c>
      <c r="E43" s="35" t="s">
        <v>440</v>
      </c>
      <c r="F43" s="35">
        <v>1.0</v>
      </c>
      <c r="G43" s="87" t="s">
        <v>396</v>
      </c>
      <c r="H43" s="87">
        <v>1.0</v>
      </c>
      <c r="I43" s="35" t="s">
        <v>457</v>
      </c>
      <c r="J43" s="35">
        <v>1.0</v>
      </c>
      <c r="K43" s="35" t="s">
        <v>446</v>
      </c>
      <c r="L43" s="35">
        <v>1.0</v>
      </c>
      <c r="M43" s="35" t="s">
        <v>453</v>
      </c>
      <c r="N43" s="35">
        <v>1.0</v>
      </c>
      <c r="Q43" s="35" t="s">
        <v>440</v>
      </c>
      <c r="R43" s="35">
        <v>1.0</v>
      </c>
      <c r="S43" s="87" t="s">
        <v>408</v>
      </c>
      <c r="T43" s="87">
        <v>2.0</v>
      </c>
      <c r="U43" s="35" t="s">
        <v>446</v>
      </c>
      <c r="V43" s="35">
        <v>3.0</v>
      </c>
      <c r="W43" s="109" t="s">
        <v>440</v>
      </c>
      <c r="X43" s="35">
        <v>1.0</v>
      </c>
      <c r="Y43" s="35" t="s">
        <v>442</v>
      </c>
      <c r="Z43" s="35">
        <v>1.0</v>
      </c>
      <c r="AA43" s="95"/>
      <c r="AB43" s="95"/>
      <c r="AC43" s="35" t="s">
        <v>457</v>
      </c>
      <c r="AD43" s="35">
        <v>2.0</v>
      </c>
      <c r="AE43" s="87" t="s">
        <v>428</v>
      </c>
      <c r="AF43" s="87">
        <v>1.0</v>
      </c>
      <c r="AG43" s="35" t="s">
        <v>442</v>
      </c>
      <c r="AH43" s="35">
        <v>1.0</v>
      </c>
      <c r="AI43" s="35" t="s">
        <v>436</v>
      </c>
      <c r="AJ43" s="35">
        <v>1.0</v>
      </c>
      <c r="AK43" s="35" t="s">
        <v>442</v>
      </c>
      <c r="AL43" s="35">
        <v>3.0</v>
      </c>
      <c r="AM43" s="95"/>
      <c r="AN43" s="95"/>
      <c r="AO43" s="35" t="s">
        <v>448</v>
      </c>
      <c r="AP43" s="35">
        <v>1.0</v>
      </c>
      <c r="AQ43" s="35" t="s">
        <v>409</v>
      </c>
      <c r="AR43" s="35">
        <v>2.0</v>
      </c>
      <c r="AS43" s="35" t="s">
        <v>453</v>
      </c>
      <c r="AT43" s="35">
        <v>1.0</v>
      </c>
      <c r="AU43" s="35" t="s">
        <v>442</v>
      </c>
      <c r="AV43" s="35">
        <v>1.0</v>
      </c>
      <c r="AW43" s="35" t="s">
        <v>421</v>
      </c>
      <c r="AX43" s="35">
        <v>1.0</v>
      </c>
      <c r="AY43" s="95"/>
      <c r="AZ43" s="95"/>
    </row>
    <row r="44">
      <c r="A44" s="35" t="s">
        <v>462</v>
      </c>
      <c r="B44" s="35">
        <v>2.0</v>
      </c>
      <c r="E44" s="35" t="s">
        <v>453</v>
      </c>
      <c r="F44" s="35">
        <v>1.0</v>
      </c>
      <c r="G44" s="87" t="s">
        <v>419</v>
      </c>
      <c r="H44" s="87">
        <v>1.0</v>
      </c>
      <c r="I44" s="35" t="s">
        <v>460</v>
      </c>
      <c r="J44" s="35">
        <v>1.0</v>
      </c>
      <c r="K44" s="35" t="s">
        <v>453</v>
      </c>
      <c r="L44" s="35">
        <v>1.0</v>
      </c>
      <c r="M44" s="35" t="s">
        <v>457</v>
      </c>
      <c r="N44" s="35">
        <v>3.0</v>
      </c>
      <c r="Q44" s="35" t="s">
        <v>443</v>
      </c>
      <c r="R44" s="35">
        <v>1.0</v>
      </c>
      <c r="S44" s="87" t="s">
        <v>453</v>
      </c>
      <c r="T44" s="87">
        <v>3.0</v>
      </c>
      <c r="U44" s="35" t="s">
        <v>453</v>
      </c>
      <c r="V44" s="35">
        <v>1.0</v>
      </c>
      <c r="W44" s="35" t="s">
        <v>447</v>
      </c>
      <c r="X44" s="35">
        <v>1.0</v>
      </c>
      <c r="Y44" s="35" t="s">
        <v>446</v>
      </c>
      <c r="Z44" s="35">
        <v>1.0</v>
      </c>
      <c r="AA44" s="95"/>
      <c r="AB44" s="95"/>
      <c r="AC44" s="35" t="s">
        <v>465</v>
      </c>
      <c r="AD44" s="35">
        <v>1.0</v>
      </c>
      <c r="AE44" s="87" t="s">
        <v>445</v>
      </c>
      <c r="AF44" s="87">
        <v>1.0</v>
      </c>
      <c r="AG44" s="35" t="s">
        <v>457</v>
      </c>
      <c r="AH44" s="35">
        <v>1.0</v>
      </c>
      <c r="AI44" s="35" t="s">
        <v>442</v>
      </c>
      <c r="AJ44" s="35">
        <v>1.0</v>
      </c>
      <c r="AK44" s="35" t="s">
        <v>446</v>
      </c>
      <c r="AL44" s="35">
        <v>1.0</v>
      </c>
      <c r="AM44" s="95"/>
      <c r="AN44" s="95"/>
      <c r="AO44" s="35" t="s">
        <v>408</v>
      </c>
      <c r="AP44" s="35">
        <v>4.0</v>
      </c>
      <c r="AQ44" s="35" t="s">
        <v>438</v>
      </c>
      <c r="AR44" s="35">
        <v>1.0</v>
      </c>
      <c r="AS44" s="35" t="s">
        <v>457</v>
      </c>
      <c r="AT44" s="35">
        <v>3.0</v>
      </c>
      <c r="AU44" s="35" t="s">
        <v>453</v>
      </c>
      <c r="AV44" s="35">
        <v>2.0</v>
      </c>
      <c r="AW44" s="35" t="s">
        <v>440</v>
      </c>
      <c r="AX44" s="35">
        <v>1.0</v>
      </c>
      <c r="AY44" s="95"/>
      <c r="AZ44" s="95"/>
    </row>
    <row r="45">
      <c r="A45" s="35" t="s">
        <v>468</v>
      </c>
      <c r="B45" s="35">
        <v>2.0</v>
      </c>
      <c r="E45" s="35" t="s">
        <v>457</v>
      </c>
      <c r="F45" s="35">
        <v>3.0</v>
      </c>
      <c r="G45" s="87" t="s">
        <v>408</v>
      </c>
      <c r="H45" s="87">
        <v>1.0</v>
      </c>
      <c r="I45" s="35" t="s">
        <v>463</v>
      </c>
      <c r="J45" s="35">
        <v>1.0</v>
      </c>
      <c r="K45" s="35" t="s">
        <v>457</v>
      </c>
      <c r="L45" s="35">
        <v>1.0</v>
      </c>
      <c r="M45" s="35" t="s">
        <v>465</v>
      </c>
      <c r="N45" s="35">
        <v>1.0</v>
      </c>
      <c r="Q45" s="35" t="s">
        <v>453</v>
      </c>
      <c r="R45" s="35">
        <v>2.0</v>
      </c>
      <c r="S45" s="87" t="s">
        <v>457</v>
      </c>
      <c r="T45" s="87">
        <v>1.0</v>
      </c>
      <c r="U45" s="35" t="s">
        <v>457</v>
      </c>
      <c r="V45" s="35">
        <v>2.0</v>
      </c>
      <c r="W45" s="35" t="s">
        <v>442</v>
      </c>
      <c r="X45" s="35">
        <v>2.0</v>
      </c>
      <c r="Y45" s="35" t="s">
        <v>453</v>
      </c>
      <c r="Z45" s="35">
        <v>2.0</v>
      </c>
      <c r="AA45" s="95"/>
      <c r="AB45" s="95"/>
      <c r="AC45" s="35" t="s">
        <v>460</v>
      </c>
      <c r="AD45" s="35">
        <v>1.0</v>
      </c>
      <c r="AE45" s="87" t="s">
        <v>409</v>
      </c>
      <c r="AF45" s="87">
        <v>2.0</v>
      </c>
      <c r="AG45" s="35" t="s">
        <v>465</v>
      </c>
      <c r="AH45" s="35">
        <v>1.0</v>
      </c>
      <c r="AI45" s="35" t="s">
        <v>446</v>
      </c>
      <c r="AJ45" s="35">
        <v>1.0</v>
      </c>
      <c r="AK45" s="35" t="s">
        <v>453</v>
      </c>
      <c r="AL45" s="35">
        <v>3.0</v>
      </c>
      <c r="AM45" s="95"/>
      <c r="AN45" s="95"/>
      <c r="AO45" s="35" t="s">
        <v>417</v>
      </c>
      <c r="AP45" s="35">
        <v>2.0</v>
      </c>
      <c r="AQ45" s="87" t="s">
        <v>419</v>
      </c>
      <c r="AR45" s="87">
        <v>1.0</v>
      </c>
      <c r="AS45" s="35" t="s">
        <v>465</v>
      </c>
      <c r="AT45" s="35">
        <v>2.0</v>
      </c>
      <c r="AU45" s="35" t="s">
        <v>457</v>
      </c>
      <c r="AV45" s="35">
        <v>3.0</v>
      </c>
      <c r="AW45" s="35" t="s">
        <v>475</v>
      </c>
      <c r="AX45" s="35">
        <v>1.0</v>
      </c>
      <c r="AY45" s="95"/>
      <c r="AZ45" s="95"/>
    </row>
    <row r="46">
      <c r="A46" s="35" t="s">
        <v>472</v>
      </c>
      <c r="B46" s="35">
        <v>2.0</v>
      </c>
      <c r="E46" s="35" t="s">
        <v>460</v>
      </c>
      <c r="F46" s="35">
        <v>2.0</v>
      </c>
      <c r="G46" s="87" t="s">
        <v>417</v>
      </c>
      <c r="H46" s="87">
        <v>2.0</v>
      </c>
      <c r="I46" s="35" t="s">
        <v>468</v>
      </c>
      <c r="J46" s="35">
        <v>3.0</v>
      </c>
      <c r="K46" s="35" t="s">
        <v>460</v>
      </c>
      <c r="L46" s="35">
        <v>1.0</v>
      </c>
      <c r="M46" s="35" t="s">
        <v>468</v>
      </c>
      <c r="N46" s="35">
        <v>1.0</v>
      </c>
      <c r="Q46" s="35" t="s">
        <v>457</v>
      </c>
      <c r="R46" s="35">
        <v>4.0</v>
      </c>
      <c r="S46" s="87" t="s">
        <v>465</v>
      </c>
      <c r="T46" s="87">
        <v>1.0</v>
      </c>
      <c r="U46" s="35" t="s">
        <v>465</v>
      </c>
      <c r="V46" s="35">
        <v>1.0</v>
      </c>
      <c r="W46" s="35" t="s">
        <v>453</v>
      </c>
      <c r="X46" s="35">
        <v>4.0</v>
      </c>
      <c r="Y46" s="35" t="s">
        <v>457</v>
      </c>
      <c r="Z46" s="35">
        <v>1.0</v>
      </c>
      <c r="AA46" s="95"/>
      <c r="AB46" s="95"/>
      <c r="AC46" s="35" t="s">
        <v>462</v>
      </c>
      <c r="AD46" s="35">
        <v>1.0</v>
      </c>
      <c r="AE46" s="87" t="s">
        <v>396</v>
      </c>
      <c r="AF46" s="87">
        <v>2.0</v>
      </c>
      <c r="AG46" s="35" t="s">
        <v>468</v>
      </c>
      <c r="AH46" s="35">
        <v>3.0</v>
      </c>
      <c r="AI46" s="35" t="s">
        <v>453</v>
      </c>
      <c r="AJ46" s="35">
        <v>1.0</v>
      </c>
      <c r="AK46" s="35" t="s">
        <v>457</v>
      </c>
      <c r="AL46" s="35">
        <v>1.0</v>
      </c>
      <c r="AM46" s="95"/>
      <c r="AN46" s="95"/>
      <c r="AO46" s="35" t="s">
        <v>426</v>
      </c>
      <c r="AP46" s="35">
        <v>1.0</v>
      </c>
      <c r="AQ46" s="87" t="s">
        <v>408</v>
      </c>
      <c r="AR46" s="87">
        <v>2.0</v>
      </c>
      <c r="AS46" s="35" t="s">
        <v>460</v>
      </c>
      <c r="AT46" s="35">
        <v>1.0</v>
      </c>
      <c r="AU46" s="35" t="s">
        <v>465</v>
      </c>
      <c r="AV46" s="35">
        <v>2.0</v>
      </c>
      <c r="AW46" s="35" t="s">
        <v>442</v>
      </c>
      <c r="AX46" s="35">
        <v>3.0</v>
      </c>
      <c r="AY46" s="95"/>
      <c r="AZ46" s="95"/>
    </row>
    <row r="47">
      <c r="A47" s="35" t="s">
        <v>471</v>
      </c>
      <c r="B47" s="35">
        <v>1.0</v>
      </c>
      <c r="E47" s="35" t="s">
        <v>462</v>
      </c>
      <c r="F47" s="35">
        <v>3.0</v>
      </c>
      <c r="G47" s="87" t="s">
        <v>431</v>
      </c>
      <c r="H47" s="87">
        <v>2.0</v>
      </c>
      <c r="I47" s="35" t="s">
        <v>471</v>
      </c>
      <c r="J47" s="35">
        <v>1.0</v>
      </c>
      <c r="K47" s="35" t="s">
        <v>462</v>
      </c>
      <c r="L47" s="35">
        <v>1.0</v>
      </c>
      <c r="M47" s="35" t="s">
        <v>476</v>
      </c>
      <c r="N47" s="35">
        <v>1.0</v>
      </c>
      <c r="Q47" s="35" t="s">
        <v>465</v>
      </c>
      <c r="R47" s="35">
        <v>1.0</v>
      </c>
      <c r="S47" s="87" t="s">
        <v>468</v>
      </c>
      <c r="T47" s="87">
        <v>2.0</v>
      </c>
      <c r="U47" s="35" t="s">
        <v>460</v>
      </c>
      <c r="V47" s="35">
        <v>1.0</v>
      </c>
      <c r="W47" s="35" t="s">
        <v>465</v>
      </c>
      <c r="X47" s="35">
        <v>1.0</v>
      </c>
      <c r="Y47" s="35" t="s">
        <v>465</v>
      </c>
      <c r="Z47" s="35">
        <v>3.0</v>
      </c>
      <c r="AA47" s="95"/>
      <c r="AB47" s="95"/>
      <c r="AC47" s="35" t="s">
        <v>468</v>
      </c>
      <c r="AD47" s="35">
        <v>3.0</v>
      </c>
      <c r="AE47" s="87" t="s">
        <v>408</v>
      </c>
      <c r="AF47" s="87">
        <v>2.0</v>
      </c>
      <c r="AG47" s="35" t="s">
        <v>486</v>
      </c>
      <c r="AH47" s="35">
        <v>1.0</v>
      </c>
      <c r="AI47" s="35" t="s">
        <v>462</v>
      </c>
      <c r="AJ47" s="35">
        <v>2.0</v>
      </c>
      <c r="AK47" s="35" t="s">
        <v>465</v>
      </c>
      <c r="AL47" s="35">
        <v>1.0</v>
      </c>
      <c r="AM47" s="95"/>
      <c r="AN47" s="95"/>
      <c r="AO47" s="35" t="s">
        <v>440</v>
      </c>
      <c r="AP47" s="35">
        <v>1.0</v>
      </c>
      <c r="AQ47" s="87" t="s">
        <v>421</v>
      </c>
      <c r="AR47" s="87">
        <v>1.0</v>
      </c>
      <c r="AS47" s="35" t="s">
        <v>462</v>
      </c>
      <c r="AT47" s="35">
        <v>1.0</v>
      </c>
      <c r="AU47" s="35" t="s">
        <v>460</v>
      </c>
      <c r="AV47" s="35">
        <v>1.0</v>
      </c>
      <c r="AW47" s="35" t="s">
        <v>446</v>
      </c>
      <c r="AX47" s="35">
        <v>1.0</v>
      </c>
      <c r="AY47" s="95"/>
      <c r="AZ47" s="95"/>
    </row>
    <row r="48">
      <c r="A48" s="35" t="s">
        <v>488</v>
      </c>
      <c r="B48" s="35">
        <v>1.0</v>
      </c>
      <c r="E48" s="35" t="s">
        <v>468</v>
      </c>
      <c r="F48" s="35">
        <v>3.0</v>
      </c>
      <c r="G48" s="87" t="s">
        <v>673</v>
      </c>
      <c r="H48" s="87">
        <v>1.0</v>
      </c>
      <c r="I48" s="35" t="s">
        <v>486</v>
      </c>
      <c r="J48" s="35">
        <v>1.0</v>
      </c>
      <c r="K48" s="35" t="s">
        <v>463</v>
      </c>
      <c r="L48" s="35">
        <v>1.0</v>
      </c>
      <c r="M48" s="35" t="s">
        <v>472</v>
      </c>
      <c r="N48" s="35">
        <v>1.0</v>
      </c>
      <c r="Q48" s="35" t="s">
        <v>462</v>
      </c>
      <c r="R48" s="35">
        <v>1.0</v>
      </c>
      <c r="S48" s="87" t="s">
        <v>476</v>
      </c>
      <c r="T48" s="87">
        <v>1.0</v>
      </c>
      <c r="U48" s="35" t="s">
        <v>468</v>
      </c>
      <c r="V48" s="35">
        <v>1.0</v>
      </c>
      <c r="W48" s="35" t="s">
        <v>462</v>
      </c>
      <c r="X48" s="35">
        <v>1.0</v>
      </c>
      <c r="Y48" s="35" t="s">
        <v>462</v>
      </c>
      <c r="Z48" s="35">
        <v>1.0</v>
      </c>
      <c r="AA48" s="95"/>
      <c r="AB48" s="95"/>
      <c r="AC48" s="35" t="s">
        <v>517</v>
      </c>
      <c r="AD48" s="35">
        <v>1.0</v>
      </c>
      <c r="AE48" s="87" t="s">
        <v>421</v>
      </c>
      <c r="AF48" s="87">
        <v>1.0</v>
      </c>
      <c r="AG48" s="35" t="s">
        <v>495</v>
      </c>
      <c r="AH48" s="35">
        <v>1.0</v>
      </c>
      <c r="AI48" s="35" t="s">
        <v>463</v>
      </c>
      <c r="AJ48" s="35">
        <v>1.0</v>
      </c>
      <c r="AK48" s="35" t="s">
        <v>460</v>
      </c>
      <c r="AL48" s="35">
        <v>1.0</v>
      </c>
      <c r="AM48" s="95"/>
      <c r="AN48" s="95"/>
      <c r="AO48" s="35" t="s">
        <v>443</v>
      </c>
      <c r="AP48" s="35">
        <v>1.0</v>
      </c>
      <c r="AQ48" s="87" t="s">
        <v>431</v>
      </c>
      <c r="AR48" s="87">
        <v>1.0</v>
      </c>
      <c r="AS48" s="35" t="s">
        <v>463</v>
      </c>
      <c r="AT48" s="35">
        <v>1.0</v>
      </c>
      <c r="AU48" s="35" t="s">
        <v>462</v>
      </c>
      <c r="AV48" s="35">
        <v>2.0</v>
      </c>
      <c r="AW48" s="35" t="s">
        <v>453</v>
      </c>
      <c r="AX48" s="35">
        <v>3.0</v>
      </c>
      <c r="AY48" s="95"/>
      <c r="AZ48" s="95"/>
    </row>
    <row r="49">
      <c r="A49" s="35" t="s">
        <v>495</v>
      </c>
      <c r="B49" s="35">
        <v>4.0</v>
      </c>
      <c r="E49" s="35" t="s">
        <v>476</v>
      </c>
      <c r="F49" s="35">
        <v>1.0</v>
      </c>
      <c r="G49" s="87" t="s">
        <v>446</v>
      </c>
      <c r="H49" s="87">
        <v>1.0</v>
      </c>
      <c r="I49" s="35" t="s">
        <v>479</v>
      </c>
      <c r="J49" s="35">
        <v>1.0</v>
      </c>
      <c r="K49" s="35" t="s">
        <v>468</v>
      </c>
      <c r="L49" s="35">
        <v>1.0</v>
      </c>
      <c r="M49" s="35" t="s">
        <v>481</v>
      </c>
      <c r="N49" s="35">
        <v>1.0</v>
      </c>
      <c r="Q49" s="35" t="s">
        <v>468</v>
      </c>
      <c r="R49" s="35">
        <v>4.0</v>
      </c>
      <c r="S49" s="87" t="s">
        <v>477</v>
      </c>
      <c r="T49" s="87">
        <v>1.0</v>
      </c>
      <c r="U49" s="35" t="s">
        <v>486</v>
      </c>
      <c r="V49" s="35">
        <v>1.0</v>
      </c>
      <c r="W49" s="35" t="s">
        <v>463</v>
      </c>
      <c r="X49" s="35">
        <v>2.0</v>
      </c>
      <c r="Y49" s="35" t="s">
        <v>463</v>
      </c>
      <c r="Z49" s="35">
        <v>1.0</v>
      </c>
      <c r="AA49" s="95"/>
      <c r="AB49" s="95"/>
      <c r="AC49" s="35" t="s">
        <v>472</v>
      </c>
      <c r="AD49" s="35">
        <v>1.0</v>
      </c>
      <c r="AE49" s="87" t="s">
        <v>673</v>
      </c>
      <c r="AF49" s="87">
        <v>1.0</v>
      </c>
      <c r="AG49" s="35" t="s">
        <v>515</v>
      </c>
      <c r="AH49" s="35">
        <v>1.0</v>
      </c>
      <c r="AI49" s="35" t="s">
        <v>468</v>
      </c>
      <c r="AJ49" s="35">
        <v>2.0</v>
      </c>
      <c r="AK49" s="35" t="s">
        <v>462</v>
      </c>
      <c r="AL49" s="35">
        <v>1.0</v>
      </c>
      <c r="AM49" s="95"/>
      <c r="AN49" s="95"/>
      <c r="AO49" s="35" t="s">
        <v>449</v>
      </c>
      <c r="AP49" s="35">
        <v>1.0</v>
      </c>
      <c r="AQ49" s="87" t="s">
        <v>443</v>
      </c>
      <c r="AR49" s="87">
        <v>1.0</v>
      </c>
      <c r="AS49" s="35" t="s">
        <v>468</v>
      </c>
      <c r="AT49" s="35">
        <v>4.0</v>
      </c>
      <c r="AU49" s="35" t="s">
        <v>463</v>
      </c>
      <c r="AV49" s="35">
        <v>1.0</v>
      </c>
      <c r="AW49" s="35" t="s">
        <v>457</v>
      </c>
      <c r="AX49" s="35">
        <v>1.0</v>
      </c>
      <c r="AY49" s="95"/>
      <c r="AZ49" s="95"/>
    </row>
    <row r="50">
      <c r="A50" s="35" t="s">
        <v>515</v>
      </c>
      <c r="B50" s="35">
        <v>2.0</v>
      </c>
      <c r="E50" s="35" t="s">
        <v>479</v>
      </c>
      <c r="F50" s="35">
        <v>1.0</v>
      </c>
      <c r="G50" s="87" t="s">
        <v>453</v>
      </c>
      <c r="H50" s="87">
        <v>4.0</v>
      </c>
      <c r="I50" s="35" t="s">
        <v>497</v>
      </c>
      <c r="J50" s="35">
        <v>1.0</v>
      </c>
      <c r="K50" s="35" t="s">
        <v>472</v>
      </c>
      <c r="L50" s="35">
        <v>3.0</v>
      </c>
      <c r="M50" s="35" t="s">
        <v>477</v>
      </c>
      <c r="N50" s="35">
        <v>1.0</v>
      </c>
      <c r="Q50" s="35" t="s">
        <v>481</v>
      </c>
      <c r="R50" s="35">
        <v>1.0</v>
      </c>
      <c r="S50" s="87" t="s">
        <v>486</v>
      </c>
      <c r="T50" s="87">
        <v>2.0</v>
      </c>
      <c r="U50" s="35" t="s">
        <v>483</v>
      </c>
      <c r="V50" s="35">
        <v>1.0</v>
      </c>
      <c r="W50" s="35" t="s">
        <v>468</v>
      </c>
      <c r="X50" s="35">
        <v>1.0</v>
      </c>
      <c r="Y50" s="35" t="s">
        <v>468</v>
      </c>
      <c r="Z50" s="35">
        <v>4.0</v>
      </c>
      <c r="AA50" s="95"/>
      <c r="AB50" s="95"/>
      <c r="AC50" s="35" t="s">
        <v>481</v>
      </c>
      <c r="AD50" s="35">
        <v>1.0</v>
      </c>
      <c r="AE50" s="87" t="s">
        <v>442</v>
      </c>
      <c r="AF50" s="87">
        <v>1.0</v>
      </c>
      <c r="AG50" s="35" t="s">
        <v>513</v>
      </c>
      <c r="AH50" s="35">
        <v>1.0</v>
      </c>
      <c r="AI50" s="35" t="s">
        <v>517</v>
      </c>
      <c r="AJ50" s="35">
        <v>1.0</v>
      </c>
      <c r="AK50" s="35" t="s">
        <v>463</v>
      </c>
      <c r="AL50" s="35">
        <v>3.0</v>
      </c>
      <c r="AM50" s="95"/>
      <c r="AN50" s="95"/>
      <c r="AO50" s="35" t="s">
        <v>442</v>
      </c>
      <c r="AP50" s="35">
        <v>1.0</v>
      </c>
      <c r="AQ50" s="87" t="s">
        <v>449</v>
      </c>
      <c r="AR50" s="87">
        <v>1.0</v>
      </c>
      <c r="AS50" s="35" t="s">
        <v>517</v>
      </c>
      <c r="AT50" s="35">
        <v>1.0</v>
      </c>
      <c r="AU50" s="35" t="s">
        <v>468</v>
      </c>
      <c r="AV50" s="35">
        <v>2.0</v>
      </c>
      <c r="AW50" s="35" t="s">
        <v>462</v>
      </c>
      <c r="AX50" s="35">
        <v>2.0</v>
      </c>
      <c r="AY50" s="95"/>
      <c r="AZ50" s="95"/>
    </row>
    <row r="51">
      <c r="A51" s="35" t="s">
        <v>503</v>
      </c>
      <c r="B51" s="35">
        <v>2.0</v>
      </c>
      <c r="E51" s="35" t="s">
        <v>507</v>
      </c>
      <c r="F51" s="35">
        <v>2.0</v>
      </c>
      <c r="G51" s="87" t="s">
        <v>465</v>
      </c>
      <c r="H51" s="87">
        <v>1.0</v>
      </c>
      <c r="I51" s="35" t="s">
        <v>504</v>
      </c>
      <c r="J51" s="35">
        <v>1.0</v>
      </c>
      <c r="K51" s="35" t="s">
        <v>486</v>
      </c>
      <c r="L51" s="35">
        <v>1.0</v>
      </c>
      <c r="M51" s="35" t="s">
        <v>514</v>
      </c>
      <c r="N51" s="35">
        <v>1.0</v>
      </c>
      <c r="Q51" s="35" t="s">
        <v>486</v>
      </c>
      <c r="R51" s="35">
        <v>1.0</v>
      </c>
      <c r="S51" s="87" t="s">
        <v>483</v>
      </c>
      <c r="T51" s="87">
        <v>1.0</v>
      </c>
      <c r="U51" s="35" t="s">
        <v>533</v>
      </c>
      <c r="V51" s="35">
        <v>1.0</v>
      </c>
      <c r="W51" s="35" t="s">
        <v>472</v>
      </c>
      <c r="X51" s="35">
        <v>1.0</v>
      </c>
      <c r="Y51" s="35" t="s">
        <v>472</v>
      </c>
      <c r="Z51" s="35">
        <v>1.0</v>
      </c>
      <c r="AA51" s="95"/>
      <c r="AB51" s="95"/>
      <c r="AC51" s="35" t="s">
        <v>486</v>
      </c>
      <c r="AD51" s="35">
        <v>2.0</v>
      </c>
      <c r="AE51" s="87" t="s">
        <v>453</v>
      </c>
      <c r="AF51" s="87">
        <v>2.0</v>
      </c>
      <c r="AG51" s="35" t="s">
        <v>519</v>
      </c>
      <c r="AH51" s="35">
        <v>3.0</v>
      </c>
      <c r="AI51" s="35" t="s">
        <v>481</v>
      </c>
      <c r="AJ51" s="35">
        <v>1.0</v>
      </c>
      <c r="AK51" s="109" t="s">
        <v>468</v>
      </c>
      <c r="AL51" s="35">
        <v>2.0</v>
      </c>
      <c r="AM51" s="95"/>
      <c r="AN51" s="95"/>
      <c r="AO51" s="35" t="s">
        <v>462</v>
      </c>
      <c r="AP51" s="35">
        <v>3.0</v>
      </c>
      <c r="AQ51" s="87" t="s">
        <v>442</v>
      </c>
      <c r="AR51" s="87">
        <v>1.0</v>
      </c>
      <c r="AS51" s="35" t="s">
        <v>476</v>
      </c>
      <c r="AT51" s="35">
        <v>1.0</v>
      </c>
      <c r="AU51" s="35" t="s">
        <v>517</v>
      </c>
      <c r="AV51" s="35">
        <v>1.0</v>
      </c>
      <c r="AW51" s="35" t="s">
        <v>463</v>
      </c>
      <c r="AX51" s="35">
        <v>1.0</v>
      </c>
      <c r="AY51" s="95"/>
      <c r="AZ51" s="95"/>
    </row>
    <row r="52">
      <c r="A52" s="35" t="s">
        <v>513</v>
      </c>
      <c r="B52" s="35">
        <v>2.0</v>
      </c>
      <c r="E52" s="35" t="s">
        <v>495</v>
      </c>
      <c r="F52" s="35">
        <v>2.0</v>
      </c>
      <c r="G52" s="87" t="s">
        <v>460</v>
      </c>
      <c r="H52" s="87">
        <v>1.0</v>
      </c>
      <c r="I52" s="35" t="s">
        <v>495</v>
      </c>
      <c r="J52" s="35">
        <v>1.0</v>
      </c>
      <c r="K52" s="35" t="s">
        <v>506</v>
      </c>
      <c r="L52" s="35">
        <v>1.0</v>
      </c>
      <c r="M52" s="35" t="s">
        <v>495</v>
      </c>
      <c r="N52" s="35">
        <v>4.0</v>
      </c>
      <c r="Q52" s="35" t="s">
        <v>484</v>
      </c>
      <c r="R52" s="35">
        <v>1.0</v>
      </c>
      <c r="S52" s="87" t="s">
        <v>501</v>
      </c>
      <c r="T52" s="87">
        <v>1.0</v>
      </c>
      <c r="U52" s="35" t="s">
        <v>500</v>
      </c>
      <c r="V52" s="35">
        <v>1.0</v>
      </c>
      <c r="W52" s="35" t="s">
        <v>506</v>
      </c>
      <c r="X52" s="35">
        <v>1.0</v>
      </c>
      <c r="Y52" s="109" t="s">
        <v>471</v>
      </c>
      <c r="Z52" s="35">
        <v>1.0</v>
      </c>
      <c r="AA52" s="95"/>
      <c r="AB52" s="95"/>
      <c r="AC52" s="35" t="s">
        <v>479</v>
      </c>
      <c r="AD52" s="35">
        <v>1.0</v>
      </c>
      <c r="AE52" s="87" t="s">
        <v>468</v>
      </c>
      <c r="AF52" s="87">
        <v>3.0</v>
      </c>
      <c r="AG52" s="35" t="s">
        <v>518</v>
      </c>
      <c r="AH52" s="35">
        <v>1.0</v>
      </c>
      <c r="AI52" s="35" t="s">
        <v>506</v>
      </c>
      <c r="AJ52" s="35">
        <v>1.0</v>
      </c>
      <c r="AK52" s="109" t="s">
        <v>472</v>
      </c>
      <c r="AL52" s="35">
        <v>1.0</v>
      </c>
      <c r="AM52" s="95"/>
      <c r="AN52" s="95"/>
      <c r="AO52" s="35" t="s">
        <v>468</v>
      </c>
      <c r="AP52" s="35">
        <v>1.0</v>
      </c>
      <c r="AQ52" s="87" t="s">
        <v>453</v>
      </c>
      <c r="AR52" s="87">
        <v>2.0</v>
      </c>
      <c r="AS52" s="35" t="s">
        <v>483</v>
      </c>
      <c r="AT52" s="35">
        <v>1.0</v>
      </c>
      <c r="AU52" s="35" t="s">
        <v>477</v>
      </c>
      <c r="AV52" s="35">
        <v>1.0</v>
      </c>
      <c r="AW52" s="35" t="s">
        <v>468</v>
      </c>
      <c r="AX52" s="35">
        <v>4.0</v>
      </c>
      <c r="AY52" s="95"/>
      <c r="AZ52" s="95"/>
    </row>
    <row r="53">
      <c r="A53" s="35" t="s">
        <v>526</v>
      </c>
      <c r="B53" s="35">
        <v>1.0</v>
      </c>
      <c r="E53" s="35" t="s">
        <v>515</v>
      </c>
      <c r="F53" s="35">
        <v>2.0</v>
      </c>
      <c r="G53" s="87" t="s">
        <v>462</v>
      </c>
      <c r="H53" s="87">
        <v>1.0</v>
      </c>
      <c r="I53" s="35" t="s">
        <v>515</v>
      </c>
      <c r="J53" s="35">
        <v>1.0</v>
      </c>
      <c r="K53" s="35" t="s">
        <v>479</v>
      </c>
      <c r="L53" s="35">
        <v>1.0</v>
      </c>
      <c r="M53" s="35" t="s">
        <v>523</v>
      </c>
      <c r="N53" s="35">
        <v>1.0</v>
      </c>
      <c r="Q53" s="35" t="s">
        <v>488</v>
      </c>
      <c r="R53" s="35">
        <v>1.0</v>
      </c>
      <c r="S53" s="35" t="s">
        <v>497</v>
      </c>
      <c r="T53" s="35">
        <v>1.0</v>
      </c>
      <c r="U53" s="35" t="s">
        <v>508</v>
      </c>
      <c r="V53" s="35">
        <v>1.0</v>
      </c>
      <c r="W53" s="35" t="s">
        <v>674</v>
      </c>
      <c r="X53" s="35">
        <v>1.0</v>
      </c>
      <c r="Y53" s="35" t="s">
        <v>477</v>
      </c>
      <c r="Z53" s="35">
        <v>1.0</v>
      </c>
      <c r="AA53" s="95"/>
      <c r="AB53" s="95"/>
      <c r="AC53" s="35" t="s">
        <v>483</v>
      </c>
      <c r="AD53" s="35">
        <v>1.0</v>
      </c>
      <c r="AE53" s="87" t="s">
        <v>514</v>
      </c>
      <c r="AF53" s="87">
        <v>1.0</v>
      </c>
      <c r="AG53" s="35" t="s">
        <v>775</v>
      </c>
      <c r="AH53" s="35">
        <v>1.0</v>
      </c>
      <c r="AI53" s="35" t="s">
        <v>479</v>
      </c>
      <c r="AJ53" s="35">
        <v>1.0</v>
      </c>
      <c r="AK53" s="35" t="s">
        <v>471</v>
      </c>
      <c r="AL53" s="35">
        <v>2.0</v>
      </c>
      <c r="AM53" s="95"/>
      <c r="AN53" s="95"/>
      <c r="AO53" s="35" t="s">
        <v>517</v>
      </c>
      <c r="AP53" s="35">
        <v>1.0</v>
      </c>
      <c r="AQ53" s="87" t="s">
        <v>457</v>
      </c>
      <c r="AR53" s="87">
        <v>1.0</v>
      </c>
      <c r="AS53" s="35" t="s">
        <v>674</v>
      </c>
      <c r="AT53" s="35">
        <v>1.0</v>
      </c>
      <c r="AU53" s="35" t="s">
        <v>506</v>
      </c>
      <c r="AV53" s="35">
        <v>1.0</v>
      </c>
      <c r="AW53" s="35" t="s">
        <v>471</v>
      </c>
      <c r="AX53" s="35">
        <v>1.0</v>
      </c>
      <c r="AY53" s="95"/>
      <c r="AZ53" s="95"/>
    </row>
    <row r="54">
      <c r="A54" s="109" t="s">
        <v>519</v>
      </c>
      <c r="B54" s="35">
        <v>3.0</v>
      </c>
      <c r="E54" s="35" t="s">
        <v>519</v>
      </c>
      <c r="F54" s="35">
        <v>1.0</v>
      </c>
      <c r="G54" s="35" t="s">
        <v>468</v>
      </c>
      <c r="H54" s="35">
        <v>4.0</v>
      </c>
      <c r="I54" s="35" t="s">
        <v>503</v>
      </c>
      <c r="J54" s="35">
        <v>1.0</v>
      </c>
      <c r="K54" s="35" t="s">
        <v>508</v>
      </c>
      <c r="L54" s="35">
        <v>1.0</v>
      </c>
      <c r="M54" s="109" t="s">
        <v>515</v>
      </c>
      <c r="N54" s="35">
        <v>3.0</v>
      </c>
      <c r="Q54" s="35" t="s">
        <v>719</v>
      </c>
      <c r="R54" s="35">
        <v>2.0</v>
      </c>
      <c r="S54" s="35" t="s">
        <v>507</v>
      </c>
      <c r="T54" s="35">
        <v>1.0</v>
      </c>
      <c r="U54" s="35" t="s">
        <v>495</v>
      </c>
      <c r="V54" s="35">
        <v>1.0</v>
      </c>
      <c r="W54" s="35" t="s">
        <v>488</v>
      </c>
      <c r="X54" s="35">
        <v>1.0</v>
      </c>
      <c r="Y54" s="35" t="s">
        <v>486</v>
      </c>
      <c r="Z54" s="35">
        <v>1.0</v>
      </c>
      <c r="AA54" s="95"/>
      <c r="AB54" s="95"/>
      <c r="AC54" s="35" t="s">
        <v>488</v>
      </c>
      <c r="AD54" s="35">
        <v>1.0</v>
      </c>
      <c r="AE54" s="35" t="s">
        <v>483</v>
      </c>
      <c r="AF54" s="35">
        <v>1.0</v>
      </c>
      <c r="AG54" s="35" t="s">
        <v>525</v>
      </c>
      <c r="AH54" s="35">
        <v>1.0</v>
      </c>
      <c r="AI54" s="35" t="s">
        <v>484</v>
      </c>
      <c r="AJ54" s="35">
        <v>1.0</v>
      </c>
      <c r="AK54" s="35" t="s">
        <v>486</v>
      </c>
      <c r="AL54" s="35">
        <v>1.0</v>
      </c>
      <c r="AM54" s="95"/>
      <c r="AN54" s="95"/>
      <c r="AO54" s="35" t="s">
        <v>481</v>
      </c>
      <c r="AP54" s="35">
        <v>1.0</v>
      </c>
      <c r="AQ54" s="87" t="s">
        <v>460</v>
      </c>
      <c r="AR54" s="87">
        <v>1.0</v>
      </c>
      <c r="AS54" s="35" t="s">
        <v>719</v>
      </c>
      <c r="AT54" s="35">
        <v>2.0</v>
      </c>
      <c r="AU54" s="35" t="s">
        <v>501</v>
      </c>
      <c r="AV54" s="35">
        <v>1.0</v>
      </c>
      <c r="AW54" s="35" t="s">
        <v>506</v>
      </c>
      <c r="AX54" s="35">
        <v>1.0</v>
      </c>
      <c r="AY54" s="95"/>
      <c r="AZ54" s="95"/>
    </row>
    <row r="55">
      <c r="A55" s="35" t="s">
        <v>518</v>
      </c>
      <c r="B55" s="35">
        <v>1.0</v>
      </c>
      <c r="E55" s="35" t="s">
        <v>518</v>
      </c>
      <c r="F55" s="35">
        <v>1.0</v>
      </c>
      <c r="G55" s="35" t="s">
        <v>483</v>
      </c>
      <c r="H55" s="35">
        <v>1.0</v>
      </c>
      <c r="I55" s="35" t="s">
        <v>513</v>
      </c>
      <c r="J55" s="35">
        <v>3.0</v>
      </c>
      <c r="K55" s="35" t="s">
        <v>495</v>
      </c>
      <c r="L55" s="35">
        <v>4.0</v>
      </c>
      <c r="M55" s="35" t="s">
        <v>503</v>
      </c>
      <c r="N55" s="35">
        <v>2.0</v>
      </c>
      <c r="Q55" s="35" t="s">
        <v>500</v>
      </c>
      <c r="R55" s="35">
        <v>1.0</v>
      </c>
      <c r="S55" s="35" t="s">
        <v>495</v>
      </c>
      <c r="T55" s="35">
        <v>3.0</v>
      </c>
      <c r="U55" s="35" t="s">
        <v>523</v>
      </c>
      <c r="V55" s="35">
        <v>2.0</v>
      </c>
      <c r="W55" s="35" t="s">
        <v>495</v>
      </c>
      <c r="X55" s="35">
        <v>5.0</v>
      </c>
      <c r="Y55" s="35" t="s">
        <v>479</v>
      </c>
      <c r="Z55" s="35">
        <v>1.0</v>
      </c>
      <c r="AA55" s="95"/>
      <c r="AB55" s="95"/>
      <c r="AC55" s="35" t="s">
        <v>719</v>
      </c>
      <c r="AD55" s="35">
        <v>1.0</v>
      </c>
      <c r="AE55" s="35" t="s">
        <v>484</v>
      </c>
      <c r="AF55" s="35">
        <v>1.0</v>
      </c>
      <c r="AG55" s="35" t="s">
        <v>540</v>
      </c>
      <c r="AH55" s="35">
        <v>3.0</v>
      </c>
      <c r="AI55" s="35" t="s">
        <v>501</v>
      </c>
      <c r="AJ55" s="35">
        <v>1.0</v>
      </c>
      <c r="AK55" s="35" t="s">
        <v>514</v>
      </c>
      <c r="AL55" s="35">
        <v>1.0</v>
      </c>
      <c r="AM55" s="95"/>
      <c r="AN55" s="95"/>
      <c r="AO55" s="35" t="s">
        <v>507</v>
      </c>
      <c r="AP55" s="35">
        <v>1.0</v>
      </c>
      <c r="AQ55" s="35" t="s">
        <v>463</v>
      </c>
      <c r="AR55" s="35">
        <v>1.0</v>
      </c>
      <c r="AS55" s="35" t="s">
        <v>497</v>
      </c>
      <c r="AT55" s="35">
        <v>1.0</v>
      </c>
      <c r="AU55" s="35" t="s">
        <v>488</v>
      </c>
      <c r="AV55" s="35">
        <v>3.0</v>
      </c>
      <c r="AW55" s="109" t="s">
        <v>514</v>
      </c>
      <c r="AX55" s="35">
        <v>2.0</v>
      </c>
      <c r="AY55" s="95"/>
      <c r="AZ55" s="95"/>
    </row>
    <row r="56">
      <c r="A56" s="35" t="s">
        <v>521</v>
      </c>
      <c r="B56" s="35">
        <v>1.0</v>
      </c>
      <c r="E56" s="35" t="s">
        <v>525</v>
      </c>
      <c r="F56" s="35">
        <v>1.0</v>
      </c>
      <c r="G56" s="35" t="s">
        <v>501</v>
      </c>
      <c r="H56" s="35">
        <v>2.0</v>
      </c>
      <c r="I56" s="35" t="s">
        <v>519</v>
      </c>
      <c r="J56" s="35">
        <v>1.0</v>
      </c>
      <c r="K56" s="35" t="s">
        <v>515</v>
      </c>
      <c r="L56" s="35">
        <v>2.0</v>
      </c>
      <c r="M56" s="35" t="s">
        <v>513</v>
      </c>
      <c r="N56" s="35">
        <v>1.0</v>
      </c>
      <c r="Q56" s="35" t="s">
        <v>507</v>
      </c>
      <c r="R56" s="35">
        <v>1.0</v>
      </c>
      <c r="S56" s="35" t="s">
        <v>523</v>
      </c>
      <c r="T56" s="35">
        <v>1.0</v>
      </c>
      <c r="U56" s="35" t="s">
        <v>513</v>
      </c>
      <c r="V56" s="35">
        <v>2.0</v>
      </c>
      <c r="W56" s="35" t="s">
        <v>523</v>
      </c>
      <c r="X56" s="35">
        <v>1.0</v>
      </c>
      <c r="Y56" s="35" t="s">
        <v>501</v>
      </c>
      <c r="Z56" s="35">
        <v>1.0</v>
      </c>
      <c r="AA56" s="95"/>
      <c r="AB56" s="95"/>
      <c r="AC56" s="35" t="s">
        <v>507</v>
      </c>
      <c r="AD56" s="35">
        <v>2.0</v>
      </c>
      <c r="AE56" s="35" t="s">
        <v>501</v>
      </c>
      <c r="AF56" s="35">
        <v>1.0</v>
      </c>
      <c r="AG56" s="35" t="s">
        <v>536</v>
      </c>
      <c r="AH56" s="35">
        <v>1.0</v>
      </c>
      <c r="AI56" s="35" t="s">
        <v>488</v>
      </c>
      <c r="AJ56" s="35">
        <v>3.0</v>
      </c>
      <c r="AK56" s="35" t="s">
        <v>479</v>
      </c>
      <c r="AL56" s="35">
        <v>1.0</v>
      </c>
      <c r="AM56" s="95"/>
      <c r="AN56" s="95"/>
      <c r="AO56" s="35" t="s">
        <v>508</v>
      </c>
      <c r="AP56" s="35">
        <v>1.0</v>
      </c>
      <c r="AQ56" s="35" t="s">
        <v>468</v>
      </c>
      <c r="AR56" s="35">
        <v>2.0</v>
      </c>
      <c r="AS56" s="35" t="s">
        <v>504</v>
      </c>
      <c r="AT56" s="35">
        <v>3.0</v>
      </c>
      <c r="AU56" s="35" t="s">
        <v>496</v>
      </c>
      <c r="AV56" s="35">
        <v>1.0</v>
      </c>
      <c r="AW56" s="35" t="s">
        <v>484</v>
      </c>
      <c r="AX56" s="35">
        <v>1.0</v>
      </c>
      <c r="AY56" s="95"/>
      <c r="AZ56" s="95"/>
    </row>
    <row r="57">
      <c r="A57" s="35" t="s">
        <v>525</v>
      </c>
      <c r="B57" s="35">
        <v>5.0</v>
      </c>
      <c r="E57" s="35" t="s">
        <v>540</v>
      </c>
      <c r="F57" s="35">
        <v>1.0</v>
      </c>
      <c r="G57" s="35" t="s">
        <v>500</v>
      </c>
      <c r="H57" s="35">
        <v>1.0</v>
      </c>
      <c r="I57" s="35" t="s">
        <v>518</v>
      </c>
      <c r="J57" s="35">
        <v>2.0</v>
      </c>
      <c r="K57" s="35" t="s">
        <v>513</v>
      </c>
      <c r="L57" s="35">
        <v>1.0</v>
      </c>
      <c r="M57" s="35" t="s">
        <v>519</v>
      </c>
      <c r="N57" s="35">
        <v>1.0</v>
      </c>
      <c r="Q57" s="35" t="s">
        <v>508</v>
      </c>
      <c r="R57" s="35">
        <v>2.0</v>
      </c>
      <c r="S57" s="35" t="s">
        <v>515</v>
      </c>
      <c r="T57" s="35">
        <v>1.0</v>
      </c>
      <c r="U57" s="35" t="s">
        <v>526</v>
      </c>
      <c r="V57" s="35">
        <v>1.0</v>
      </c>
      <c r="W57" s="35" t="s">
        <v>503</v>
      </c>
      <c r="X57" s="35">
        <v>3.0</v>
      </c>
      <c r="Y57" s="35" t="s">
        <v>507</v>
      </c>
      <c r="Z57" s="35">
        <v>1.0</v>
      </c>
      <c r="AA57" s="95"/>
      <c r="AB57" s="95"/>
      <c r="AC57" s="35" t="s">
        <v>508</v>
      </c>
      <c r="AD57" s="35">
        <v>1.0</v>
      </c>
      <c r="AE57" s="35" t="s">
        <v>497</v>
      </c>
      <c r="AF57" s="35">
        <v>1.0</v>
      </c>
      <c r="AG57" s="35" t="s">
        <v>530</v>
      </c>
      <c r="AH57" s="35">
        <v>2.0</v>
      </c>
      <c r="AI57" s="35" t="s">
        <v>495</v>
      </c>
      <c r="AJ57" s="35">
        <v>2.0</v>
      </c>
      <c r="AK57" s="35" t="s">
        <v>674</v>
      </c>
      <c r="AL57" s="35">
        <v>1.0</v>
      </c>
      <c r="AM57" s="95"/>
      <c r="AN57" s="95"/>
      <c r="AO57" s="35" t="s">
        <v>495</v>
      </c>
      <c r="AP57" s="35">
        <v>1.0</v>
      </c>
      <c r="AQ57" s="35" t="s">
        <v>486</v>
      </c>
      <c r="AR57" s="35">
        <v>1.0</v>
      </c>
      <c r="AS57" s="35" t="s">
        <v>495</v>
      </c>
      <c r="AT57" s="35">
        <v>1.0</v>
      </c>
      <c r="AU57" s="35" t="s">
        <v>495</v>
      </c>
      <c r="AV57" s="35">
        <v>4.0</v>
      </c>
      <c r="AW57" s="35" t="s">
        <v>674</v>
      </c>
      <c r="AX57" s="35">
        <v>2.0</v>
      </c>
      <c r="AY57" s="95"/>
      <c r="AZ57" s="95"/>
    </row>
    <row r="58">
      <c r="A58" s="35" t="s">
        <v>532</v>
      </c>
      <c r="B58" s="35">
        <v>1.0</v>
      </c>
      <c r="E58" s="35" t="s">
        <v>536</v>
      </c>
      <c r="F58" s="35">
        <v>1.0</v>
      </c>
      <c r="G58" s="35" t="s">
        <v>487</v>
      </c>
      <c r="H58" s="35">
        <v>1.0</v>
      </c>
      <c r="I58" s="35" t="s">
        <v>537</v>
      </c>
      <c r="J58" s="35">
        <v>2.0</v>
      </c>
      <c r="K58" s="35" t="s">
        <v>531</v>
      </c>
      <c r="L58" s="35">
        <v>5.0</v>
      </c>
      <c r="M58" s="35" t="s">
        <v>531</v>
      </c>
      <c r="N58" s="35">
        <v>1.0</v>
      </c>
      <c r="Q58" s="35" t="s">
        <v>495</v>
      </c>
      <c r="R58" s="35">
        <v>2.0</v>
      </c>
      <c r="S58" s="35" t="s">
        <v>503</v>
      </c>
      <c r="T58" s="35">
        <v>1.0</v>
      </c>
      <c r="U58" s="35" t="s">
        <v>518</v>
      </c>
      <c r="V58" s="35">
        <v>1.0</v>
      </c>
      <c r="W58" s="35" t="s">
        <v>513</v>
      </c>
      <c r="X58" s="35">
        <v>1.0</v>
      </c>
      <c r="Y58" s="35" t="s">
        <v>495</v>
      </c>
      <c r="Z58" s="35">
        <v>4.0</v>
      </c>
      <c r="AA58" s="95"/>
      <c r="AB58" s="95"/>
      <c r="AC58" s="35" t="s">
        <v>495</v>
      </c>
      <c r="AD58" s="35">
        <v>1.0</v>
      </c>
      <c r="AE58" s="35" t="s">
        <v>507</v>
      </c>
      <c r="AF58" s="35">
        <v>2.0</v>
      </c>
      <c r="AG58" s="35" t="s">
        <v>544</v>
      </c>
      <c r="AH58" s="35">
        <v>1.0</v>
      </c>
      <c r="AI58" s="35" t="s">
        <v>515</v>
      </c>
      <c r="AJ58" s="35">
        <v>3.0</v>
      </c>
      <c r="AK58" s="35" t="s">
        <v>719</v>
      </c>
      <c r="AL58" s="35">
        <v>1.0</v>
      </c>
      <c r="AM58" s="95"/>
      <c r="AN58" s="95"/>
      <c r="AO58" s="35" t="s">
        <v>513</v>
      </c>
      <c r="AP58" s="35">
        <v>1.0</v>
      </c>
      <c r="AQ58" s="35" t="s">
        <v>483</v>
      </c>
      <c r="AR58" s="35">
        <v>1.0</v>
      </c>
      <c r="AS58" s="35" t="s">
        <v>531</v>
      </c>
      <c r="AT58" s="35">
        <v>1.0</v>
      </c>
      <c r="AU58" s="35" t="s">
        <v>503</v>
      </c>
      <c r="AV58" s="35">
        <v>3.0</v>
      </c>
      <c r="AW58" s="35" t="s">
        <v>533</v>
      </c>
      <c r="AX58" s="35">
        <v>2.0</v>
      </c>
      <c r="AY58" s="95"/>
      <c r="AZ58" s="95"/>
    </row>
    <row r="59">
      <c r="A59" s="35" t="s">
        <v>537</v>
      </c>
      <c r="B59" s="35">
        <v>1.0</v>
      </c>
      <c r="E59" s="35" t="s">
        <v>530</v>
      </c>
      <c r="F59" s="35">
        <v>2.0</v>
      </c>
      <c r="G59" s="35" t="s">
        <v>504</v>
      </c>
      <c r="H59" s="35">
        <v>1.0</v>
      </c>
      <c r="I59" s="35" t="s">
        <v>545</v>
      </c>
      <c r="J59" s="35">
        <v>1.0</v>
      </c>
      <c r="K59" s="35" t="s">
        <v>527</v>
      </c>
      <c r="L59" s="35">
        <v>1.0</v>
      </c>
      <c r="M59" s="35" t="s">
        <v>518</v>
      </c>
      <c r="N59" s="35">
        <v>2.0</v>
      </c>
      <c r="Q59" s="35" t="s">
        <v>515</v>
      </c>
      <c r="R59" s="35">
        <v>1.0</v>
      </c>
      <c r="S59" s="35" t="s">
        <v>513</v>
      </c>
      <c r="T59" s="35">
        <v>1.0</v>
      </c>
      <c r="U59" s="35" t="s">
        <v>540</v>
      </c>
      <c r="V59" s="35">
        <v>1.0</v>
      </c>
      <c r="W59" s="35" t="s">
        <v>526</v>
      </c>
      <c r="X59" s="35">
        <v>1.0</v>
      </c>
      <c r="Y59" s="35" t="s">
        <v>503</v>
      </c>
      <c r="Z59" s="35">
        <v>1.0</v>
      </c>
      <c r="AA59" s="95"/>
      <c r="AB59" s="95"/>
      <c r="AC59" s="35" t="s">
        <v>503</v>
      </c>
      <c r="AD59" s="35">
        <v>1.0</v>
      </c>
      <c r="AE59" s="35" t="s">
        <v>496</v>
      </c>
      <c r="AF59" s="35">
        <v>1.0</v>
      </c>
      <c r="AG59" s="35" t="s">
        <v>676</v>
      </c>
      <c r="AH59" s="35">
        <v>1.0</v>
      </c>
      <c r="AI59" s="35" t="s">
        <v>503</v>
      </c>
      <c r="AJ59" s="35">
        <v>1.0</v>
      </c>
      <c r="AK59" s="35" t="s">
        <v>500</v>
      </c>
      <c r="AL59" s="35">
        <v>1.0</v>
      </c>
      <c r="AM59" s="95"/>
      <c r="AN59" s="95"/>
      <c r="AO59" s="35" t="s">
        <v>519</v>
      </c>
      <c r="AP59" s="35">
        <v>1.0</v>
      </c>
      <c r="AQ59" s="35" t="s">
        <v>497</v>
      </c>
      <c r="AR59" s="35">
        <v>3.0</v>
      </c>
      <c r="AS59" s="35" t="s">
        <v>540</v>
      </c>
      <c r="AT59" s="35">
        <v>1.0</v>
      </c>
      <c r="AU59" s="35" t="s">
        <v>518</v>
      </c>
      <c r="AV59" s="35">
        <v>1.0</v>
      </c>
      <c r="AW59" s="35" t="s">
        <v>719</v>
      </c>
      <c r="AX59" s="35">
        <v>1.0</v>
      </c>
      <c r="AY59" s="95"/>
      <c r="AZ59" s="95"/>
    </row>
    <row r="60">
      <c r="A60" s="35" t="s">
        <v>530</v>
      </c>
      <c r="B60" s="35">
        <v>2.0</v>
      </c>
      <c r="E60" s="35" t="s">
        <v>541</v>
      </c>
      <c r="F60" s="35">
        <v>2.0</v>
      </c>
      <c r="G60" s="35" t="s">
        <v>495</v>
      </c>
      <c r="H60" s="35">
        <v>3.0</v>
      </c>
      <c r="I60" s="35" t="s">
        <v>535</v>
      </c>
      <c r="J60" s="35">
        <v>1.0</v>
      </c>
      <c r="K60" s="35" t="s">
        <v>540</v>
      </c>
      <c r="L60" s="35">
        <v>3.0</v>
      </c>
      <c r="M60" s="35" t="s">
        <v>527</v>
      </c>
      <c r="N60" s="35">
        <v>1.0</v>
      </c>
      <c r="Q60" s="35" t="s">
        <v>513</v>
      </c>
      <c r="R60" s="35">
        <v>1.0</v>
      </c>
      <c r="S60" s="35" t="s">
        <v>540</v>
      </c>
      <c r="T60" s="35">
        <v>2.0</v>
      </c>
      <c r="U60" s="35" t="s">
        <v>530</v>
      </c>
      <c r="V60" s="35">
        <v>1.0</v>
      </c>
      <c r="W60" s="35" t="s">
        <v>531</v>
      </c>
      <c r="X60" s="35">
        <v>3.0</v>
      </c>
      <c r="Y60" s="35" t="s">
        <v>513</v>
      </c>
      <c r="Z60" s="35">
        <v>4.0</v>
      </c>
      <c r="AA60" s="95"/>
      <c r="AB60" s="95"/>
      <c r="AC60" s="35" t="s">
        <v>519</v>
      </c>
      <c r="AD60" s="35">
        <v>1.0</v>
      </c>
      <c r="AE60" s="35" t="s">
        <v>508</v>
      </c>
      <c r="AF60" s="35">
        <v>1.0</v>
      </c>
      <c r="AG60" s="35" t="s">
        <v>559</v>
      </c>
      <c r="AH60" s="35">
        <v>1.0</v>
      </c>
      <c r="AI60" s="35" t="s">
        <v>513</v>
      </c>
      <c r="AJ60" s="35">
        <v>1.0</v>
      </c>
      <c r="AK60" s="35" t="s">
        <v>508</v>
      </c>
      <c r="AL60" s="35">
        <v>1.0</v>
      </c>
      <c r="AM60" s="95"/>
      <c r="AN60" s="95"/>
      <c r="AO60" s="35" t="s">
        <v>540</v>
      </c>
      <c r="AP60" s="35">
        <v>1.0</v>
      </c>
      <c r="AQ60" s="35" t="s">
        <v>495</v>
      </c>
      <c r="AR60" s="35">
        <v>3.0</v>
      </c>
      <c r="AS60" s="35" t="s">
        <v>532</v>
      </c>
      <c r="AT60" s="35">
        <v>1.0</v>
      </c>
      <c r="AU60" s="35" t="s">
        <v>540</v>
      </c>
      <c r="AV60" s="35">
        <v>1.0</v>
      </c>
      <c r="AW60" s="35" t="s">
        <v>500</v>
      </c>
      <c r="AX60" s="35">
        <v>1.0</v>
      </c>
      <c r="AY60" s="95"/>
      <c r="AZ60" s="95"/>
    </row>
    <row r="61">
      <c r="A61" s="35" t="s">
        <v>541</v>
      </c>
      <c r="B61" s="35">
        <v>1.0</v>
      </c>
      <c r="E61" s="35" t="s">
        <v>535</v>
      </c>
      <c r="F61" s="35">
        <v>1.0</v>
      </c>
      <c r="G61" s="35" t="s">
        <v>523</v>
      </c>
      <c r="H61" s="35">
        <v>1.0</v>
      </c>
      <c r="I61" s="35" t="s">
        <v>553</v>
      </c>
      <c r="J61" s="35">
        <v>1.0</v>
      </c>
      <c r="K61" s="35" t="s">
        <v>532</v>
      </c>
      <c r="L61" s="35">
        <v>1.0</v>
      </c>
      <c r="M61" s="35" t="s">
        <v>525</v>
      </c>
      <c r="N61" s="35">
        <v>4.0</v>
      </c>
      <c r="Q61" s="35" t="s">
        <v>519</v>
      </c>
      <c r="R61" s="35">
        <v>2.0</v>
      </c>
      <c r="S61" s="35" t="s">
        <v>532</v>
      </c>
      <c r="T61" s="35">
        <v>1.0</v>
      </c>
      <c r="U61" s="35" t="s">
        <v>545</v>
      </c>
      <c r="V61" s="35">
        <v>1.0</v>
      </c>
      <c r="W61" s="35" t="s">
        <v>518</v>
      </c>
      <c r="X61" s="35">
        <v>2.0</v>
      </c>
      <c r="Y61" s="35" t="s">
        <v>526</v>
      </c>
      <c r="Z61" s="35">
        <v>1.0</v>
      </c>
      <c r="AA61" s="95"/>
      <c r="AB61" s="95"/>
      <c r="AC61" s="35" t="s">
        <v>518</v>
      </c>
      <c r="AD61" s="35">
        <v>1.0</v>
      </c>
      <c r="AE61" s="35" t="s">
        <v>495</v>
      </c>
      <c r="AF61" s="35">
        <v>2.0</v>
      </c>
      <c r="AG61" s="35" t="s">
        <v>548</v>
      </c>
      <c r="AH61" s="35">
        <v>4.0</v>
      </c>
      <c r="AI61" s="35" t="s">
        <v>531</v>
      </c>
      <c r="AJ61" s="35">
        <v>1.0</v>
      </c>
      <c r="AK61" s="35" t="s">
        <v>504</v>
      </c>
      <c r="AL61" s="35">
        <v>2.0</v>
      </c>
      <c r="AM61" s="95"/>
      <c r="AN61" s="95"/>
      <c r="AO61" s="35" t="s">
        <v>532</v>
      </c>
      <c r="AP61" s="35">
        <v>1.0</v>
      </c>
      <c r="AQ61" s="35" t="s">
        <v>515</v>
      </c>
      <c r="AR61" s="35">
        <v>2.0</v>
      </c>
      <c r="AS61" s="35" t="s">
        <v>535</v>
      </c>
      <c r="AT61" s="35">
        <v>1.0</v>
      </c>
      <c r="AU61" s="35" t="s">
        <v>532</v>
      </c>
      <c r="AV61" s="35">
        <v>2.0</v>
      </c>
      <c r="AW61" s="35" t="s">
        <v>487</v>
      </c>
      <c r="AX61" s="35">
        <v>2.0</v>
      </c>
      <c r="AY61" s="95"/>
      <c r="AZ61" s="95"/>
    </row>
    <row r="62">
      <c r="A62" s="35" t="s">
        <v>535</v>
      </c>
      <c r="B62" s="35">
        <v>1.0</v>
      </c>
      <c r="E62" s="35" t="s">
        <v>553</v>
      </c>
      <c r="F62" s="35">
        <v>1.0</v>
      </c>
      <c r="G62" s="35" t="s">
        <v>503</v>
      </c>
      <c r="H62" s="35">
        <v>1.0</v>
      </c>
      <c r="I62" s="35" t="s">
        <v>556</v>
      </c>
      <c r="J62" s="35">
        <v>1.0</v>
      </c>
      <c r="K62" s="35" t="s">
        <v>537</v>
      </c>
      <c r="L62" s="35">
        <v>1.0</v>
      </c>
      <c r="M62" s="35" t="s">
        <v>540</v>
      </c>
      <c r="N62" s="35">
        <v>1.0</v>
      </c>
      <c r="Q62" s="35" t="s">
        <v>518</v>
      </c>
      <c r="R62" s="35">
        <v>1.0</v>
      </c>
      <c r="S62" s="87" t="s">
        <v>536</v>
      </c>
      <c r="T62" s="158">
        <v>2.0</v>
      </c>
      <c r="U62" s="35" t="s">
        <v>544</v>
      </c>
      <c r="V62" s="35">
        <v>2.0</v>
      </c>
      <c r="W62" s="35" t="s">
        <v>527</v>
      </c>
      <c r="X62" s="35">
        <v>1.0</v>
      </c>
      <c r="Y62" s="35" t="s">
        <v>518</v>
      </c>
      <c r="Z62" s="35">
        <v>3.0</v>
      </c>
      <c r="AA62" s="95"/>
      <c r="AB62" s="95"/>
      <c r="AC62" s="35" t="s">
        <v>527</v>
      </c>
      <c r="AD62" s="35">
        <v>1.0</v>
      </c>
      <c r="AE62" s="35" t="s">
        <v>515</v>
      </c>
      <c r="AF62" s="35">
        <v>2.0</v>
      </c>
      <c r="AG62" s="35" t="s">
        <v>569</v>
      </c>
      <c r="AH62" s="35">
        <v>1.0</v>
      </c>
      <c r="AI62" s="35" t="s">
        <v>518</v>
      </c>
      <c r="AJ62" s="35">
        <v>2.0</v>
      </c>
      <c r="AK62" s="35" t="s">
        <v>495</v>
      </c>
      <c r="AL62" s="35">
        <v>5.0</v>
      </c>
      <c r="AM62" s="95"/>
      <c r="AN62" s="95"/>
      <c r="AO62" s="35" t="s">
        <v>537</v>
      </c>
      <c r="AP62" s="35">
        <v>1.0</v>
      </c>
      <c r="AQ62" s="35" t="s">
        <v>519</v>
      </c>
      <c r="AR62" s="35">
        <v>1.0</v>
      </c>
      <c r="AS62" s="35" t="s">
        <v>544</v>
      </c>
      <c r="AT62" s="35">
        <v>1.0</v>
      </c>
      <c r="AU62" s="35" t="s">
        <v>537</v>
      </c>
      <c r="AV62" s="35">
        <v>1.0</v>
      </c>
      <c r="AW62" s="35" t="s">
        <v>495</v>
      </c>
      <c r="AX62" s="35">
        <v>3.0</v>
      </c>
      <c r="AY62" s="95"/>
      <c r="AZ62" s="95"/>
    </row>
    <row r="63">
      <c r="A63" s="35" t="s">
        <v>553</v>
      </c>
      <c r="B63" s="35">
        <v>1.0</v>
      </c>
      <c r="E63" s="35" t="s">
        <v>571</v>
      </c>
      <c r="F63" s="35">
        <v>1.0</v>
      </c>
      <c r="G63" s="87" t="s">
        <v>513</v>
      </c>
      <c r="H63" s="158">
        <v>2.0</v>
      </c>
      <c r="I63" s="35" t="s">
        <v>548</v>
      </c>
      <c r="J63" s="35">
        <v>1.0</v>
      </c>
      <c r="K63" s="35" t="s">
        <v>536</v>
      </c>
      <c r="L63" s="35">
        <v>1.0</v>
      </c>
      <c r="M63" s="35" t="s">
        <v>536</v>
      </c>
      <c r="N63" s="35">
        <v>1.0</v>
      </c>
      <c r="Q63" s="35" t="s">
        <v>527</v>
      </c>
      <c r="R63" s="35">
        <v>1.0</v>
      </c>
      <c r="S63" s="87" t="s">
        <v>541</v>
      </c>
      <c r="T63" s="158">
        <v>1.0</v>
      </c>
      <c r="U63" s="35" t="s">
        <v>676</v>
      </c>
      <c r="V63" s="35">
        <v>2.0</v>
      </c>
      <c r="W63" s="35" t="s">
        <v>532</v>
      </c>
      <c r="X63" s="35">
        <v>1.0</v>
      </c>
      <c r="Y63" s="35" t="s">
        <v>521</v>
      </c>
      <c r="Z63" s="35">
        <v>1.0</v>
      </c>
      <c r="AA63" s="95"/>
      <c r="AB63" s="95"/>
      <c r="AC63" s="35" t="s">
        <v>525</v>
      </c>
      <c r="AD63" s="35">
        <v>1.0</v>
      </c>
      <c r="AE63" s="87" t="s">
        <v>503</v>
      </c>
      <c r="AF63" s="158">
        <v>1.0</v>
      </c>
      <c r="AG63" s="158"/>
      <c r="AH63" s="158"/>
      <c r="AI63" s="35" t="s">
        <v>521</v>
      </c>
      <c r="AJ63" s="35">
        <v>1.0</v>
      </c>
      <c r="AK63" s="35" t="s">
        <v>523</v>
      </c>
      <c r="AL63" s="35">
        <v>1.0</v>
      </c>
      <c r="AM63" s="95"/>
      <c r="AN63" s="95"/>
      <c r="AO63" s="35" t="s">
        <v>536</v>
      </c>
      <c r="AP63" s="35">
        <v>1.0</v>
      </c>
      <c r="AQ63" s="35" t="s">
        <v>521</v>
      </c>
      <c r="AR63" s="35">
        <v>1.0</v>
      </c>
      <c r="AS63" s="35" t="s">
        <v>548</v>
      </c>
      <c r="AT63" s="35">
        <v>1.0</v>
      </c>
      <c r="AU63" s="35" t="s">
        <v>545</v>
      </c>
      <c r="AV63" s="35">
        <v>1.0</v>
      </c>
      <c r="AW63" s="35" t="s">
        <v>523</v>
      </c>
      <c r="AX63" s="35">
        <v>1.0</v>
      </c>
      <c r="AY63" s="95"/>
      <c r="AZ63" s="95"/>
    </row>
    <row r="64">
      <c r="A64" s="35" t="s">
        <v>544</v>
      </c>
      <c r="B64" s="35">
        <v>2.0</v>
      </c>
      <c r="E64" s="35" t="s">
        <v>676</v>
      </c>
      <c r="F64" s="35">
        <v>1.0</v>
      </c>
      <c r="G64" s="87" t="s">
        <v>537</v>
      </c>
      <c r="H64" s="158">
        <v>1.0</v>
      </c>
      <c r="I64" s="35" t="s">
        <v>552</v>
      </c>
      <c r="J64" s="35">
        <v>1.0</v>
      </c>
      <c r="K64" s="35" t="s">
        <v>530</v>
      </c>
      <c r="L64" s="35">
        <v>1.0</v>
      </c>
      <c r="M64" s="35" t="s">
        <v>541</v>
      </c>
      <c r="N64" s="35">
        <v>1.0</v>
      </c>
      <c r="Q64" s="35" t="s">
        <v>540</v>
      </c>
      <c r="R64" s="35">
        <v>1.0</v>
      </c>
      <c r="S64" s="87" t="s">
        <v>553</v>
      </c>
      <c r="T64" s="158">
        <v>1.0</v>
      </c>
      <c r="U64" s="35" t="s">
        <v>556</v>
      </c>
      <c r="V64" s="35">
        <v>1.0</v>
      </c>
      <c r="W64" s="35" t="s">
        <v>537</v>
      </c>
      <c r="X64" s="35">
        <v>2.0</v>
      </c>
      <c r="Y64" s="35" t="s">
        <v>527</v>
      </c>
      <c r="Z64" s="35">
        <v>1.0</v>
      </c>
      <c r="AA64" s="95"/>
      <c r="AB64" s="95"/>
      <c r="AC64" s="35" t="s">
        <v>540</v>
      </c>
      <c r="AD64" s="35">
        <v>1.0</v>
      </c>
      <c r="AE64" s="87" t="s">
        <v>519</v>
      </c>
      <c r="AF64" s="158">
        <v>2.0</v>
      </c>
      <c r="AG64" s="158"/>
      <c r="AH64" s="189">
        <v>73.0</v>
      </c>
      <c r="AI64" s="35" t="s">
        <v>540</v>
      </c>
      <c r="AJ64" s="35">
        <v>2.0</v>
      </c>
      <c r="AK64" s="35" t="s">
        <v>503</v>
      </c>
      <c r="AL64" s="35">
        <v>2.0</v>
      </c>
      <c r="AM64" s="95"/>
      <c r="AN64" s="95"/>
      <c r="AO64" s="35" t="s">
        <v>530</v>
      </c>
      <c r="AP64" s="35">
        <v>1.0</v>
      </c>
      <c r="AQ64" s="87" t="s">
        <v>527</v>
      </c>
      <c r="AR64" s="158">
        <v>1.0</v>
      </c>
      <c r="AS64" s="35" t="s">
        <v>562</v>
      </c>
      <c r="AT64" s="35">
        <v>1.0</v>
      </c>
      <c r="AU64" s="35" t="s">
        <v>544</v>
      </c>
      <c r="AV64" s="35">
        <v>1.0</v>
      </c>
      <c r="AW64" s="35" t="s">
        <v>503</v>
      </c>
      <c r="AX64" s="35">
        <v>1.0</v>
      </c>
      <c r="AY64" s="95"/>
      <c r="AZ64" s="95"/>
    </row>
    <row r="65">
      <c r="A65" s="35" t="s">
        <v>676</v>
      </c>
      <c r="B65" s="35">
        <v>1.0</v>
      </c>
      <c r="E65" s="35" t="s">
        <v>569</v>
      </c>
      <c r="F65" s="35">
        <v>1.0</v>
      </c>
      <c r="G65" s="87" t="s">
        <v>541</v>
      </c>
      <c r="H65" s="158">
        <v>2.0</v>
      </c>
      <c r="I65" s="35" t="s">
        <v>562</v>
      </c>
      <c r="J65" s="35">
        <v>1.0</v>
      </c>
      <c r="K65" s="35" t="s">
        <v>535</v>
      </c>
      <c r="L65" s="35">
        <v>1.0</v>
      </c>
      <c r="M65" s="35" t="s">
        <v>535</v>
      </c>
      <c r="N65" s="35">
        <v>2.0</v>
      </c>
      <c r="Q65" s="35" t="s">
        <v>536</v>
      </c>
      <c r="R65" s="35">
        <v>1.0</v>
      </c>
      <c r="S65" s="35" t="s">
        <v>676</v>
      </c>
      <c r="T65" s="35">
        <v>1.0</v>
      </c>
      <c r="U65" s="35" t="s">
        <v>548</v>
      </c>
      <c r="V65" s="35">
        <v>3.0</v>
      </c>
      <c r="W65" s="35" t="s">
        <v>676</v>
      </c>
      <c r="X65" s="35">
        <v>1.0</v>
      </c>
      <c r="Y65" s="35" t="s">
        <v>525</v>
      </c>
      <c r="Z65" s="35">
        <v>1.0</v>
      </c>
      <c r="AA65" s="95"/>
      <c r="AB65" s="95"/>
      <c r="AC65" s="35" t="s">
        <v>537</v>
      </c>
      <c r="AD65" s="35">
        <v>1.0</v>
      </c>
      <c r="AE65" s="87" t="s">
        <v>540</v>
      </c>
      <c r="AF65" s="158">
        <v>2.0</v>
      </c>
      <c r="AG65" s="186"/>
      <c r="AH65" s="186"/>
      <c r="AI65" s="35" t="s">
        <v>532</v>
      </c>
      <c r="AJ65" s="35">
        <v>2.0</v>
      </c>
      <c r="AK65" s="35" t="s">
        <v>513</v>
      </c>
      <c r="AL65" s="35">
        <v>4.0</v>
      </c>
      <c r="AM65" s="95"/>
      <c r="AN65" s="95"/>
      <c r="AO65" s="35" t="s">
        <v>541</v>
      </c>
      <c r="AP65" s="35">
        <v>1.0</v>
      </c>
      <c r="AQ65" s="87" t="s">
        <v>525</v>
      </c>
      <c r="AR65" s="158">
        <v>1.0</v>
      </c>
      <c r="AS65" s="35" t="s">
        <v>555</v>
      </c>
      <c r="AT65" s="35">
        <v>1.0</v>
      </c>
      <c r="AU65" s="35" t="s">
        <v>552</v>
      </c>
      <c r="AV65" s="35">
        <v>2.0</v>
      </c>
      <c r="AW65" s="35" t="s">
        <v>513</v>
      </c>
      <c r="AX65" s="35">
        <v>4.0</v>
      </c>
      <c r="AY65" s="95"/>
      <c r="AZ65" s="95"/>
    </row>
    <row r="66">
      <c r="A66" s="35" t="s">
        <v>548</v>
      </c>
      <c r="B66" s="35">
        <v>2.0</v>
      </c>
      <c r="E66" s="8"/>
      <c r="F66" s="8"/>
      <c r="G66" s="35" t="s">
        <v>553</v>
      </c>
      <c r="H66" s="35">
        <v>2.0</v>
      </c>
      <c r="I66" s="8"/>
      <c r="J66" s="8"/>
      <c r="K66" s="35" t="s">
        <v>553</v>
      </c>
      <c r="L66" s="35">
        <v>1.0</v>
      </c>
      <c r="M66" s="35" t="s">
        <v>571</v>
      </c>
      <c r="N66" s="35">
        <v>1.0</v>
      </c>
      <c r="Q66" s="35" t="s">
        <v>544</v>
      </c>
      <c r="R66" s="35">
        <v>1.0</v>
      </c>
      <c r="S66" s="35" t="s">
        <v>559</v>
      </c>
      <c r="T66" s="35">
        <v>1.0</v>
      </c>
      <c r="U66" s="35" t="s">
        <v>565</v>
      </c>
      <c r="V66" s="35">
        <v>1.0</v>
      </c>
      <c r="W66" s="35" t="s">
        <v>559</v>
      </c>
      <c r="X66" s="35">
        <v>1.0</v>
      </c>
      <c r="Y66" s="35" t="s">
        <v>532</v>
      </c>
      <c r="Z66" s="35">
        <v>2.0</v>
      </c>
      <c r="AA66" s="95"/>
      <c r="AB66" s="95"/>
      <c r="AC66" s="35" t="s">
        <v>536</v>
      </c>
      <c r="AD66" s="35">
        <v>1.0</v>
      </c>
      <c r="AE66" s="35" t="s">
        <v>536</v>
      </c>
      <c r="AF66" s="35">
        <v>2.0</v>
      </c>
      <c r="AG66" s="95"/>
      <c r="AH66" s="95"/>
      <c r="AI66" s="35" t="s">
        <v>537</v>
      </c>
      <c r="AJ66" s="35">
        <v>1.0</v>
      </c>
      <c r="AK66" s="35" t="s">
        <v>526</v>
      </c>
      <c r="AL66" s="35">
        <v>3.0</v>
      </c>
      <c r="AM66" s="95"/>
      <c r="AN66" s="95"/>
      <c r="AO66" s="35" t="s">
        <v>539</v>
      </c>
      <c r="AP66" s="35">
        <v>1.0</v>
      </c>
      <c r="AQ66" s="87" t="s">
        <v>532</v>
      </c>
      <c r="AR66" s="158">
        <v>3.0</v>
      </c>
      <c r="AS66" s="158"/>
      <c r="AT66" s="158"/>
      <c r="AU66" s="35" t="s">
        <v>555</v>
      </c>
      <c r="AV66" s="35">
        <v>1.0</v>
      </c>
      <c r="AW66" s="35" t="s">
        <v>519</v>
      </c>
      <c r="AX66" s="35">
        <v>1.0</v>
      </c>
      <c r="AY66" s="95"/>
      <c r="AZ66" s="95"/>
    </row>
    <row r="67">
      <c r="A67" s="35" t="s">
        <v>562</v>
      </c>
      <c r="B67" s="35">
        <v>1.0</v>
      </c>
      <c r="E67" s="8"/>
      <c r="F67" s="69">
        <v>83.0</v>
      </c>
      <c r="G67" s="35" t="s">
        <v>539</v>
      </c>
      <c r="H67" s="35">
        <v>2.0</v>
      </c>
      <c r="I67" s="8"/>
      <c r="J67" s="69">
        <v>73.0</v>
      </c>
      <c r="K67" s="35" t="s">
        <v>571</v>
      </c>
      <c r="L67" s="35">
        <v>1.0</v>
      </c>
      <c r="M67" s="35" t="s">
        <v>676</v>
      </c>
      <c r="N67" s="35">
        <v>1.0</v>
      </c>
      <c r="Q67" s="35" t="s">
        <v>548</v>
      </c>
      <c r="R67" s="35">
        <v>1.0</v>
      </c>
      <c r="S67" s="35" t="s">
        <v>556</v>
      </c>
      <c r="T67" s="35">
        <v>1.0</v>
      </c>
      <c r="U67" s="8"/>
      <c r="V67" s="8"/>
      <c r="W67" s="35" t="s">
        <v>556</v>
      </c>
      <c r="X67" s="35">
        <v>1.0</v>
      </c>
      <c r="Y67" s="35" t="s">
        <v>536</v>
      </c>
      <c r="Z67" s="35">
        <v>1.0</v>
      </c>
      <c r="AA67" s="95"/>
      <c r="AB67" s="95"/>
      <c r="AC67" s="35" t="s">
        <v>541</v>
      </c>
      <c r="AD67" s="35">
        <v>1.0</v>
      </c>
      <c r="AE67" s="35" t="s">
        <v>541</v>
      </c>
      <c r="AF67" s="35">
        <v>1.0</v>
      </c>
      <c r="AG67" s="95"/>
      <c r="AH67" s="95"/>
      <c r="AI67" s="35" t="s">
        <v>541</v>
      </c>
      <c r="AJ67" s="35">
        <v>1.0</v>
      </c>
      <c r="AK67" s="35" t="s">
        <v>519</v>
      </c>
      <c r="AL67" s="35">
        <v>1.0</v>
      </c>
      <c r="AM67" s="95"/>
      <c r="AN67" s="95"/>
      <c r="AO67" s="35" t="s">
        <v>544</v>
      </c>
      <c r="AP67" s="35">
        <v>2.0</v>
      </c>
      <c r="AQ67" s="35" t="s">
        <v>536</v>
      </c>
      <c r="AR67" s="35">
        <v>1.0</v>
      </c>
      <c r="AS67" s="35"/>
      <c r="AT67" s="72">
        <v>68.0</v>
      </c>
      <c r="AU67" s="72"/>
      <c r="AV67" s="72"/>
      <c r="AW67" s="35" t="s">
        <v>518</v>
      </c>
      <c r="AX67" s="35">
        <v>1.0</v>
      </c>
      <c r="AY67" s="95"/>
      <c r="AZ67" s="95"/>
    </row>
    <row r="68">
      <c r="A68" s="35" t="s">
        <v>569</v>
      </c>
      <c r="B68" s="35">
        <v>1.0</v>
      </c>
      <c r="G68" s="35" t="s">
        <v>544</v>
      </c>
      <c r="H68" s="35">
        <v>1.0</v>
      </c>
      <c r="K68" s="35" t="s">
        <v>556</v>
      </c>
      <c r="L68" s="35">
        <v>1.0</v>
      </c>
      <c r="M68" s="35" t="s">
        <v>559</v>
      </c>
      <c r="N68" s="35">
        <v>1.0</v>
      </c>
      <c r="Q68" s="35" t="s">
        <v>552</v>
      </c>
      <c r="R68" s="35">
        <v>1.0</v>
      </c>
      <c r="S68" s="35" t="s">
        <v>548</v>
      </c>
      <c r="T68" s="35">
        <v>3.0</v>
      </c>
      <c r="U68" s="8"/>
      <c r="V68" s="69">
        <v>71.0</v>
      </c>
      <c r="W68" s="35" t="s">
        <v>552</v>
      </c>
      <c r="X68" s="35">
        <v>2.0</v>
      </c>
      <c r="Y68" s="35" t="s">
        <v>530</v>
      </c>
      <c r="Z68" s="35">
        <v>1.0</v>
      </c>
      <c r="AA68" s="95"/>
      <c r="AB68" s="95"/>
      <c r="AC68" s="35" t="s">
        <v>535</v>
      </c>
      <c r="AD68" s="35">
        <v>1.0</v>
      </c>
      <c r="AE68" s="35" t="s">
        <v>539</v>
      </c>
      <c r="AF68" s="35">
        <v>1.0</v>
      </c>
      <c r="AG68" s="95"/>
      <c r="AH68" s="95"/>
      <c r="AI68" s="35" t="s">
        <v>535</v>
      </c>
      <c r="AJ68" s="35">
        <v>1.0</v>
      </c>
      <c r="AK68" s="35" t="s">
        <v>518</v>
      </c>
      <c r="AL68" s="35">
        <v>2.0</v>
      </c>
      <c r="AM68" s="95"/>
      <c r="AN68" s="95"/>
      <c r="AO68" s="35" t="s">
        <v>548</v>
      </c>
      <c r="AP68" s="35">
        <v>1.0</v>
      </c>
      <c r="AQ68" s="35" t="s">
        <v>530</v>
      </c>
      <c r="AR68" s="35">
        <v>1.0</v>
      </c>
      <c r="AS68" s="95"/>
      <c r="AT68" s="95"/>
      <c r="AU68" s="35"/>
      <c r="AV68" s="72">
        <v>83.0</v>
      </c>
      <c r="AW68" s="35" t="s">
        <v>525</v>
      </c>
      <c r="AX68" s="35">
        <v>1.0</v>
      </c>
      <c r="AY68" s="95"/>
      <c r="AZ68" s="95"/>
    </row>
    <row r="69">
      <c r="A69" s="35" t="s">
        <v>555</v>
      </c>
      <c r="B69" s="35">
        <v>1.0</v>
      </c>
      <c r="G69" s="35" t="s">
        <v>676</v>
      </c>
      <c r="H69" s="35">
        <v>1.0</v>
      </c>
      <c r="K69" s="35" t="s">
        <v>552</v>
      </c>
      <c r="L69" s="35">
        <v>2.0</v>
      </c>
      <c r="M69" s="35" t="s">
        <v>548</v>
      </c>
      <c r="N69" s="35">
        <v>2.0</v>
      </c>
      <c r="Q69" s="35" t="s">
        <v>562</v>
      </c>
      <c r="R69" s="35">
        <v>1.0</v>
      </c>
      <c r="S69" s="35" t="s">
        <v>552</v>
      </c>
      <c r="T69" s="35">
        <v>1.0</v>
      </c>
      <c r="W69" s="35" t="s">
        <v>569</v>
      </c>
      <c r="X69" s="35">
        <v>1.0</v>
      </c>
      <c r="Y69" s="35" t="s">
        <v>541</v>
      </c>
      <c r="Z69" s="35">
        <v>1.0</v>
      </c>
      <c r="AA69" s="95"/>
      <c r="AB69" s="95"/>
      <c r="AC69" s="35" t="s">
        <v>544</v>
      </c>
      <c r="AD69" s="35">
        <v>2.0</v>
      </c>
      <c r="AE69" s="35" t="s">
        <v>676</v>
      </c>
      <c r="AF69" s="35">
        <v>1.0</v>
      </c>
      <c r="AG69" s="95"/>
      <c r="AH69" s="95"/>
      <c r="AI69" s="35" t="s">
        <v>559</v>
      </c>
      <c r="AJ69" s="35">
        <v>1.0</v>
      </c>
      <c r="AK69" s="35" t="s">
        <v>527</v>
      </c>
      <c r="AL69" s="35">
        <v>1.0</v>
      </c>
      <c r="AM69" s="95"/>
      <c r="AN69" s="95"/>
      <c r="AO69" s="35"/>
      <c r="AP69" s="35"/>
      <c r="AQ69" s="35" t="s">
        <v>541</v>
      </c>
      <c r="AR69" s="35">
        <v>1.0</v>
      </c>
      <c r="AS69" s="95"/>
      <c r="AT69" s="95"/>
      <c r="AU69" s="95"/>
      <c r="AV69" s="95"/>
      <c r="AW69" s="35" t="s">
        <v>540</v>
      </c>
      <c r="AX69" s="35">
        <v>2.0</v>
      </c>
      <c r="AY69" s="95"/>
      <c r="AZ69" s="95"/>
    </row>
    <row r="70">
      <c r="A70" s="8"/>
      <c r="B70" s="8"/>
      <c r="G70" s="35" t="s">
        <v>552</v>
      </c>
      <c r="H70" s="35">
        <v>3.0</v>
      </c>
      <c r="K70" s="35" t="s">
        <v>565</v>
      </c>
      <c r="L70" s="35">
        <v>2.0</v>
      </c>
      <c r="M70" s="35" t="s">
        <v>552</v>
      </c>
      <c r="N70" s="35">
        <v>3.0</v>
      </c>
      <c r="Q70" s="8"/>
      <c r="R70" s="8"/>
      <c r="S70" s="8"/>
      <c r="T70" s="8"/>
      <c r="W70" s="35" t="s">
        <v>555</v>
      </c>
      <c r="X70" s="35">
        <v>2.0</v>
      </c>
      <c r="Y70" s="35" t="s">
        <v>539</v>
      </c>
      <c r="Z70" s="35">
        <v>1.0</v>
      </c>
      <c r="AA70" s="95"/>
      <c r="AB70" s="95"/>
      <c r="AC70" s="35" t="s">
        <v>548</v>
      </c>
      <c r="AD70" s="35">
        <v>1.0</v>
      </c>
      <c r="AE70" s="35" t="s">
        <v>559</v>
      </c>
      <c r="AF70" s="35">
        <v>1.0</v>
      </c>
      <c r="AG70" s="95"/>
      <c r="AH70" s="95"/>
      <c r="AI70" s="35" t="s">
        <v>548</v>
      </c>
      <c r="AJ70" s="35">
        <v>2.0</v>
      </c>
      <c r="AK70" s="35" t="s">
        <v>525</v>
      </c>
      <c r="AL70" s="35">
        <v>1.0</v>
      </c>
      <c r="AM70" s="95"/>
      <c r="AN70" s="95"/>
      <c r="AO70" s="35"/>
      <c r="AP70" s="72">
        <v>81.0</v>
      </c>
      <c r="AQ70" s="35" t="s">
        <v>535</v>
      </c>
      <c r="AR70" s="35">
        <v>1.0</v>
      </c>
      <c r="AS70" s="95"/>
      <c r="AT70" s="95"/>
      <c r="AU70" s="95"/>
      <c r="AV70" s="95"/>
      <c r="AW70" s="35" t="s">
        <v>532</v>
      </c>
      <c r="AX70" s="35">
        <v>2.0</v>
      </c>
      <c r="AY70" s="95"/>
      <c r="AZ70" s="95"/>
    </row>
    <row r="71">
      <c r="A71" s="8"/>
      <c r="B71" s="69">
        <v>94.0</v>
      </c>
      <c r="G71" s="35" t="s">
        <v>562</v>
      </c>
      <c r="H71" s="35">
        <v>1.0</v>
      </c>
      <c r="K71" s="35" t="s">
        <v>555</v>
      </c>
      <c r="L71" s="35">
        <v>1.0</v>
      </c>
      <c r="M71" s="35" t="s">
        <v>562</v>
      </c>
      <c r="N71" s="35">
        <v>1.0</v>
      </c>
      <c r="Q71" s="8"/>
      <c r="R71" s="69">
        <v>83.0</v>
      </c>
      <c r="S71" s="8"/>
      <c r="T71" s="69">
        <v>82.0</v>
      </c>
      <c r="W71" s="8"/>
      <c r="X71" s="8"/>
      <c r="Y71" s="35" t="s">
        <v>556</v>
      </c>
      <c r="Z71" s="35">
        <v>1.0</v>
      </c>
      <c r="AA71" s="95"/>
      <c r="AB71" s="95"/>
      <c r="AC71" s="35" t="s">
        <v>552</v>
      </c>
      <c r="AD71" s="35">
        <v>1.0</v>
      </c>
      <c r="AE71" s="35" t="s">
        <v>548</v>
      </c>
      <c r="AF71" s="35">
        <v>5.0</v>
      </c>
      <c r="AG71" s="95"/>
      <c r="AH71" s="95"/>
      <c r="AI71" s="35" t="s">
        <v>552</v>
      </c>
      <c r="AJ71" s="35">
        <v>3.0</v>
      </c>
      <c r="AK71" s="35" t="s">
        <v>540</v>
      </c>
      <c r="AL71" s="35">
        <v>2.0</v>
      </c>
      <c r="AM71" s="95"/>
      <c r="AN71" s="95"/>
      <c r="AO71" s="95"/>
      <c r="AP71" s="95"/>
      <c r="AQ71" s="35" t="s">
        <v>553</v>
      </c>
      <c r="AR71" s="35">
        <v>3.0</v>
      </c>
      <c r="AS71" s="95"/>
      <c r="AT71" s="95"/>
      <c r="AU71" s="95"/>
      <c r="AV71" s="95"/>
      <c r="AW71" s="35" t="s">
        <v>537</v>
      </c>
      <c r="AX71" s="35">
        <v>1.0</v>
      </c>
      <c r="AY71" s="95"/>
      <c r="AZ71" s="95"/>
    </row>
    <row r="72">
      <c r="G72" s="8"/>
      <c r="H72" s="8"/>
      <c r="K72" s="8"/>
      <c r="L72" s="8"/>
      <c r="M72" s="35" t="s">
        <v>569</v>
      </c>
      <c r="N72" s="35">
        <v>1.0</v>
      </c>
      <c r="W72" s="8"/>
      <c r="X72" s="69">
        <v>88.0</v>
      </c>
      <c r="Y72" s="35" t="s">
        <v>548</v>
      </c>
      <c r="Z72" s="35">
        <v>2.0</v>
      </c>
      <c r="AA72" s="95"/>
      <c r="AB72" s="95"/>
      <c r="AC72" s="35" t="s">
        <v>569</v>
      </c>
      <c r="AD72" s="35">
        <v>1.0</v>
      </c>
      <c r="AE72" s="35"/>
      <c r="AF72" s="35"/>
      <c r="AG72" s="95"/>
      <c r="AH72" s="95"/>
      <c r="AI72" s="35" t="s">
        <v>569</v>
      </c>
      <c r="AJ72" s="35">
        <v>2.0</v>
      </c>
      <c r="AK72" s="35" t="s">
        <v>536</v>
      </c>
      <c r="AL72" s="35">
        <v>2.0</v>
      </c>
      <c r="AM72" s="95"/>
      <c r="AN72" s="95"/>
      <c r="AO72" s="95"/>
      <c r="AP72" s="95"/>
      <c r="AQ72" s="35" t="s">
        <v>539</v>
      </c>
      <c r="AR72" s="35">
        <v>1.0</v>
      </c>
      <c r="AS72" s="95"/>
      <c r="AT72" s="95"/>
      <c r="AU72" s="95"/>
      <c r="AV72" s="95"/>
      <c r="AW72" s="35" t="s">
        <v>536</v>
      </c>
      <c r="AX72" s="35">
        <v>1.0</v>
      </c>
      <c r="AY72" s="95"/>
      <c r="AZ72" s="95"/>
    </row>
    <row r="73">
      <c r="G73" s="8"/>
      <c r="H73" s="69">
        <v>84.0</v>
      </c>
      <c r="K73" s="8"/>
      <c r="L73" s="69">
        <v>84.0</v>
      </c>
      <c r="M73" s="35" t="s">
        <v>555</v>
      </c>
      <c r="N73" s="35">
        <v>1.0</v>
      </c>
      <c r="Y73" s="35" t="s">
        <v>552</v>
      </c>
      <c r="Z73" s="35">
        <v>2.0</v>
      </c>
      <c r="AA73" s="95"/>
      <c r="AB73" s="95"/>
      <c r="AC73" s="35" t="s">
        <v>555</v>
      </c>
      <c r="AD73" s="35">
        <v>1.0</v>
      </c>
      <c r="AE73" s="35"/>
      <c r="AF73" s="72">
        <v>85.0</v>
      </c>
      <c r="AG73" s="165"/>
      <c r="AH73" s="165"/>
      <c r="AI73" s="35" t="s">
        <v>555</v>
      </c>
      <c r="AJ73" s="35">
        <v>1.0</v>
      </c>
      <c r="AK73" s="35" t="s">
        <v>545</v>
      </c>
      <c r="AL73" s="35">
        <v>1.0</v>
      </c>
      <c r="AM73" s="95"/>
      <c r="AN73" s="95"/>
      <c r="AO73" s="95"/>
      <c r="AP73" s="95"/>
      <c r="AQ73" s="35" t="s">
        <v>676</v>
      </c>
      <c r="AR73" s="35">
        <v>1.0</v>
      </c>
      <c r="AS73" s="95"/>
      <c r="AT73" s="95"/>
      <c r="AU73" s="95"/>
      <c r="AV73" s="95"/>
      <c r="AW73" s="35" t="s">
        <v>530</v>
      </c>
      <c r="AX73" s="35">
        <v>2.0</v>
      </c>
      <c r="AY73" s="95"/>
      <c r="AZ73" s="95"/>
    </row>
    <row r="74">
      <c r="M74" s="8"/>
      <c r="N74" s="8"/>
      <c r="Y74" s="35" t="s">
        <v>562</v>
      </c>
      <c r="Z74" s="35">
        <v>2.0</v>
      </c>
      <c r="AA74" s="95"/>
      <c r="AB74" s="95"/>
      <c r="AC74" s="35"/>
      <c r="AD74" s="35"/>
      <c r="AE74" s="95"/>
      <c r="AF74" s="95"/>
      <c r="AG74" s="95"/>
      <c r="AH74" s="95"/>
      <c r="AI74" s="35"/>
      <c r="AJ74" s="35"/>
      <c r="AK74" s="35" t="s">
        <v>548</v>
      </c>
      <c r="AL74" s="35">
        <v>5.0</v>
      </c>
      <c r="AM74" s="95"/>
      <c r="AN74" s="95"/>
      <c r="AO74" s="95"/>
      <c r="AP74" s="95"/>
      <c r="AQ74" s="35" t="s">
        <v>559</v>
      </c>
      <c r="AR74" s="35">
        <v>1.0</v>
      </c>
      <c r="AS74" s="95"/>
      <c r="AT74" s="95"/>
      <c r="AU74" s="95"/>
      <c r="AV74" s="95"/>
      <c r="AW74" s="35" t="s">
        <v>541</v>
      </c>
      <c r="AX74" s="35">
        <v>1.0</v>
      </c>
      <c r="AY74" s="95"/>
      <c r="AZ74" s="95"/>
    </row>
    <row r="75">
      <c r="M75" s="8"/>
      <c r="N75" s="69">
        <v>90.0</v>
      </c>
      <c r="Y75" s="35" t="s">
        <v>565</v>
      </c>
      <c r="Z75" s="35">
        <v>1.0</v>
      </c>
      <c r="AA75" s="95"/>
      <c r="AB75" s="95"/>
      <c r="AC75" s="35"/>
      <c r="AD75" s="72">
        <v>81.0</v>
      </c>
      <c r="AE75" s="165"/>
      <c r="AF75" s="165"/>
      <c r="AG75" s="165"/>
      <c r="AH75" s="165"/>
      <c r="AI75" s="72"/>
      <c r="AJ75" s="72">
        <v>88.0</v>
      </c>
      <c r="AK75" s="35" t="s">
        <v>565</v>
      </c>
      <c r="AL75" s="35">
        <v>1.0</v>
      </c>
      <c r="AM75" s="95"/>
      <c r="AN75" s="95"/>
      <c r="AO75" s="95"/>
      <c r="AP75" s="95"/>
      <c r="AQ75" s="35" t="s">
        <v>548</v>
      </c>
      <c r="AR75" s="35">
        <v>2.0</v>
      </c>
      <c r="AS75" s="95"/>
      <c r="AT75" s="95"/>
      <c r="AU75" s="95"/>
      <c r="AV75" s="95"/>
      <c r="AW75" s="35" t="s">
        <v>559</v>
      </c>
      <c r="AX75" s="35">
        <v>1.0</v>
      </c>
      <c r="AY75" s="95"/>
      <c r="AZ75" s="95"/>
    </row>
    <row r="76">
      <c r="Y76" s="35" t="s">
        <v>569</v>
      </c>
      <c r="Z76" s="35">
        <v>1.0</v>
      </c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35" t="s">
        <v>569</v>
      </c>
      <c r="AL76" s="35">
        <v>1.0</v>
      </c>
      <c r="AM76" s="95"/>
      <c r="AN76" s="95"/>
      <c r="AO76" s="95"/>
      <c r="AP76" s="95"/>
      <c r="AQ76" s="35" t="s">
        <v>569</v>
      </c>
      <c r="AR76" s="35">
        <v>1.0</v>
      </c>
      <c r="AS76" s="95"/>
      <c r="AT76" s="95"/>
      <c r="AU76" s="95"/>
      <c r="AV76" s="95"/>
      <c r="AW76" s="35" t="s">
        <v>569</v>
      </c>
      <c r="AX76" s="35">
        <v>1.0</v>
      </c>
      <c r="AY76" s="95"/>
      <c r="AZ76" s="95"/>
    </row>
    <row r="77">
      <c r="Y77" s="8"/>
      <c r="Z77" s="8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8"/>
      <c r="AL77" s="8"/>
      <c r="AM77" s="93"/>
      <c r="AN77" s="93"/>
      <c r="AO77" s="93"/>
      <c r="AP77" s="93"/>
      <c r="AQ77" s="8"/>
      <c r="AR77" s="8"/>
      <c r="AS77" s="93"/>
      <c r="AT77" s="93"/>
      <c r="AU77" s="93"/>
      <c r="AV77" s="93"/>
      <c r="AW77" s="8"/>
      <c r="AX77" s="8"/>
      <c r="AY77" s="93"/>
      <c r="AZ77" s="93"/>
    </row>
    <row r="78">
      <c r="Y78" s="8"/>
      <c r="Z78" s="69">
        <v>89.0</v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69"/>
      <c r="AL78" s="69">
        <v>92.0</v>
      </c>
      <c r="AM78" s="92"/>
      <c r="AN78" s="92"/>
      <c r="AO78" s="92"/>
      <c r="AP78" s="92"/>
      <c r="AQ78" s="69"/>
      <c r="AR78" s="69">
        <v>87.0</v>
      </c>
      <c r="AS78" s="92"/>
      <c r="AT78" s="92"/>
      <c r="AU78" s="92"/>
      <c r="AV78" s="92"/>
      <c r="AW78" s="69"/>
      <c r="AX78" s="69">
        <v>94.0</v>
      </c>
      <c r="AY78" s="92"/>
      <c r="AZ78" s="9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6.63"/>
    <col hidden="1" min="2" max="2" width="12.63"/>
    <col customWidth="1" hidden="1" min="3" max="3" width="36.63"/>
    <col hidden="1" min="4" max="4" width="12.63"/>
    <col customWidth="1" hidden="1" min="5" max="5" width="36.63"/>
    <col hidden="1" min="6" max="6" width="12.63"/>
    <col customWidth="1" hidden="1" min="7" max="7" width="36.63"/>
    <col hidden="1" min="8" max="8" width="12.63"/>
    <col customWidth="1" hidden="1" min="9" max="9" width="36.63"/>
    <col hidden="1" min="10" max="10" width="12.63"/>
    <col customWidth="1" hidden="1" min="11" max="11" width="36.63"/>
    <col hidden="1" min="12" max="12" width="12.63"/>
    <col customWidth="1" hidden="1" min="13" max="13" width="36.63"/>
    <col hidden="1" min="14" max="14" width="12.63"/>
    <col customWidth="1" hidden="1" min="15" max="15" width="36.63"/>
    <col hidden="1" min="16" max="16" width="12.63"/>
    <col customWidth="1" hidden="1" min="17" max="17" width="36.63"/>
    <col hidden="1" min="18" max="18" width="12.63"/>
    <col customWidth="1" hidden="1" min="19" max="19" width="36.63"/>
    <col hidden="1" min="20" max="20" width="12.63"/>
    <col customWidth="1" hidden="1" min="21" max="21" width="36.63"/>
    <col hidden="1" min="22" max="22" width="12.63"/>
    <col customWidth="1" hidden="1" min="23" max="23" width="36.63"/>
    <col hidden="1" min="24" max="24" width="12.63"/>
    <col customWidth="1" hidden="1" min="25" max="25" width="36.63"/>
    <col hidden="1" min="26" max="26" width="12.63"/>
    <col customWidth="1" hidden="1" min="27" max="27" width="36.63"/>
    <col hidden="1" min="28" max="28" width="12.63"/>
    <col customWidth="1" hidden="1" min="29" max="29" width="36.63"/>
    <col hidden="1" min="30" max="30" width="12.63"/>
    <col customWidth="1" hidden="1" min="31" max="31" width="36.63"/>
    <col hidden="1" min="32" max="32" width="12.63"/>
    <col customWidth="1" hidden="1" min="33" max="33" width="36.63"/>
    <col hidden="1" min="34" max="34" width="12.63"/>
    <col customWidth="1" hidden="1" min="35" max="35" width="36.63"/>
    <col hidden="1" min="36" max="36" width="12.63"/>
    <col customWidth="1" hidden="1" min="37" max="37" width="36.63"/>
    <col hidden="1" min="38" max="38" width="12.63"/>
    <col customWidth="1" hidden="1" min="39" max="39" width="36.63"/>
    <col hidden="1" min="40" max="40" width="12.63"/>
    <col customWidth="1" hidden="1" min="41" max="41" width="36.63"/>
    <col hidden="1" min="42" max="42" width="12.63"/>
    <col customWidth="1" hidden="1" min="43" max="43" width="36.63"/>
    <col hidden="1" min="44" max="44" width="12.63"/>
    <col customWidth="1" hidden="1" min="45" max="45" width="36.63"/>
    <col hidden="1" min="46" max="46" width="12.63"/>
    <col customWidth="1" min="47" max="47" width="36.63"/>
    <col customWidth="1" min="49" max="49" width="36.63"/>
    <col customWidth="1" min="51" max="51" width="36.63"/>
  </cols>
  <sheetData>
    <row r="1">
      <c r="A1" s="11" t="s">
        <v>747</v>
      </c>
      <c r="B1" s="87"/>
      <c r="C1" s="11" t="s">
        <v>748</v>
      </c>
      <c r="D1" s="87"/>
      <c r="E1" s="11" t="s">
        <v>749</v>
      </c>
      <c r="F1" s="87"/>
      <c r="G1" s="11" t="s">
        <v>750</v>
      </c>
      <c r="H1" s="87"/>
      <c r="I1" s="11" t="s">
        <v>751</v>
      </c>
      <c r="J1" s="87"/>
      <c r="K1" s="11" t="s">
        <v>752</v>
      </c>
      <c r="L1" s="187"/>
      <c r="M1" s="11" t="s">
        <v>753</v>
      </c>
      <c r="N1" s="87"/>
      <c r="O1" s="11" t="s">
        <v>754</v>
      </c>
      <c r="P1" s="87"/>
      <c r="Q1" s="11" t="s">
        <v>755</v>
      </c>
      <c r="R1" s="87"/>
      <c r="S1" s="11" t="s">
        <v>756</v>
      </c>
      <c r="T1" s="87"/>
      <c r="U1" s="11" t="s">
        <v>757</v>
      </c>
      <c r="V1" s="87"/>
      <c r="W1" s="11" t="s">
        <v>758</v>
      </c>
      <c r="X1" s="87"/>
      <c r="Y1" s="11" t="s">
        <v>759</v>
      </c>
      <c r="Z1" s="87"/>
      <c r="AA1" s="11" t="s">
        <v>760</v>
      </c>
      <c r="AB1" s="87"/>
      <c r="AC1" s="11" t="s">
        <v>761</v>
      </c>
      <c r="AD1" s="87"/>
      <c r="AE1" s="11" t="s">
        <v>762</v>
      </c>
      <c r="AF1" s="87"/>
      <c r="AG1" s="11" t="s">
        <v>763</v>
      </c>
      <c r="AH1" s="87"/>
      <c r="AI1" s="11" t="s">
        <v>764</v>
      </c>
      <c r="AJ1" s="87"/>
      <c r="AK1" s="11" t="s">
        <v>765</v>
      </c>
      <c r="AL1" s="126"/>
      <c r="AM1" s="11" t="s">
        <v>766</v>
      </c>
      <c r="AN1" s="126"/>
      <c r="AO1" s="11" t="s">
        <v>767</v>
      </c>
      <c r="AP1" s="126"/>
      <c r="AQ1" s="11" t="s">
        <v>768</v>
      </c>
      <c r="AR1" s="126"/>
      <c r="AS1" s="11" t="s">
        <v>769</v>
      </c>
      <c r="AT1" s="126"/>
      <c r="AU1" s="11" t="s">
        <v>770</v>
      </c>
      <c r="AV1" s="126"/>
      <c r="AW1" s="11" t="s">
        <v>771</v>
      </c>
      <c r="AX1" s="126"/>
      <c r="AY1" s="11" t="s">
        <v>772</v>
      </c>
      <c r="AZ1" s="126"/>
    </row>
    <row r="2">
      <c r="A2" s="35" t="s">
        <v>12</v>
      </c>
      <c r="B2" s="35">
        <v>2.0</v>
      </c>
      <c r="C2" s="35" t="s">
        <v>12</v>
      </c>
      <c r="D2" s="35">
        <v>2.0</v>
      </c>
      <c r="E2" s="35" t="s">
        <v>12</v>
      </c>
      <c r="F2" s="35">
        <v>4.0</v>
      </c>
      <c r="G2" s="35" t="s">
        <v>12</v>
      </c>
      <c r="H2" s="35">
        <v>5.0</v>
      </c>
      <c r="I2" s="35" t="s">
        <v>12</v>
      </c>
      <c r="J2" s="35">
        <v>7.0</v>
      </c>
      <c r="K2" s="35" t="s">
        <v>54</v>
      </c>
      <c r="L2" s="35">
        <v>46.0</v>
      </c>
      <c r="M2" s="35" t="s">
        <v>12</v>
      </c>
      <c r="N2" s="35">
        <v>4.0</v>
      </c>
      <c r="O2" s="35" t="s">
        <v>12</v>
      </c>
      <c r="P2" s="35">
        <v>6.0</v>
      </c>
      <c r="Q2" s="35" t="s">
        <v>12</v>
      </c>
      <c r="R2" s="35">
        <v>4.0</v>
      </c>
      <c r="S2" s="35" t="s">
        <v>12</v>
      </c>
      <c r="T2" s="35">
        <v>11.0</v>
      </c>
      <c r="U2" s="35" t="s">
        <v>12</v>
      </c>
      <c r="V2" s="35">
        <v>5.0</v>
      </c>
      <c r="W2" s="35" t="s">
        <v>54</v>
      </c>
      <c r="X2" s="35">
        <v>47.0</v>
      </c>
      <c r="Y2" s="35" t="s">
        <v>12</v>
      </c>
      <c r="Z2" s="35">
        <v>4.0</v>
      </c>
      <c r="AA2" s="35" t="s">
        <v>12</v>
      </c>
      <c r="AB2" s="35">
        <v>6.0</v>
      </c>
      <c r="AC2" s="35" t="s">
        <v>12</v>
      </c>
      <c r="AD2" s="35">
        <v>1.0</v>
      </c>
      <c r="AE2" s="35" t="s">
        <v>12</v>
      </c>
      <c r="AF2" s="35">
        <v>7.0</v>
      </c>
      <c r="AG2" s="35" t="s">
        <v>12</v>
      </c>
      <c r="AH2" s="35">
        <v>13.0</v>
      </c>
      <c r="AI2" s="35" t="s">
        <v>54</v>
      </c>
      <c r="AJ2" s="35">
        <v>46.0</v>
      </c>
      <c r="AK2" s="35" t="s">
        <v>12</v>
      </c>
      <c r="AL2" s="35">
        <v>5.0</v>
      </c>
      <c r="AM2" s="35" t="s">
        <v>12</v>
      </c>
      <c r="AN2" s="35">
        <v>4.0</v>
      </c>
      <c r="AO2" s="35" t="s">
        <v>12</v>
      </c>
      <c r="AP2" s="35">
        <v>4.0</v>
      </c>
      <c r="AQ2" s="35" t="s">
        <v>12</v>
      </c>
      <c r="AR2" s="35">
        <v>4.0</v>
      </c>
      <c r="AS2" s="35" t="s">
        <v>12</v>
      </c>
      <c r="AT2" s="35">
        <v>10.0</v>
      </c>
      <c r="AU2" s="35" t="s">
        <v>54</v>
      </c>
      <c r="AV2" s="35">
        <v>45.0</v>
      </c>
      <c r="AW2" s="35" t="s">
        <v>12</v>
      </c>
      <c r="AX2" s="35">
        <v>3.0</v>
      </c>
      <c r="AY2" s="35" t="s">
        <v>12</v>
      </c>
      <c r="AZ2" s="35">
        <v>6.0</v>
      </c>
    </row>
    <row r="3">
      <c r="A3" s="35" t="s">
        <v>16</v>
      </c>
      <c r="B3" s="35">
        <v>14.0</v>
      </c>
      <c r="C3" s="35" t="s">
        <v>16</v>
      </c>
      <c r="D3" s="35">
        <v>18.0</v>
      </c>
      <c r="E3" s="35" t="s">
        <v>16</v>
      </c>
      <c r="F3" s="35">
        <v>16.0</v>
      </c>
      <c r="G3" s="35" t="s">
        <v>16</v>
      </c>
      <c r="H3" s="35">
        <v>21.0</v>
      </c>
      <c r="I3" s="35" t="s">
        <v>16</v>
      </c>
      <c r="J3" s="35">
        <v>22.0</v>
      </c>
      <c r="K3" s="35" t="s">
        <v>71</v>
      </c>
      <c r="L3" s="35">
        <v>17.0</v>
      </c>
      <c r="M3" s="35" t="s">
        <v>16</v>
      </c>
      <c r="N3" s="35">
        <v>15.0</v>
      </c>
      <c r="O3" s="35" t="s">
        <v>16</v>
      </c>
      <c r="P3" s="35">
        <v>22.0</v>
      </c>
      <c r="Q3" s="35" t="s">
        <v>16</v>
      </c>
      <c r="R3" s="35">
        <v>18.0</v>
      </c>
      <c r="S3" s="35" t="s">
        <v>16</v>
      </c>
      <c r="T3" s="35">
        <v>18.0</v>
      </c>
      <c r="U3" s="35" t="s">
        <v>16</v>
      </c>
      <c r="V3" s="35">
        <v>18.0</v>
      </c>
      <c r="W3" s="35" t="s">
        <v>71</v>
      </c>
      <c r="X3" s="35">
        <v>20.0</v>
      </c>
      <c r="Y3" s="35" t="s">
        <v>16</v>
      </c>
      <c r="Z3" s="35">
        <v>13.0</v>
      </c>
      <c r="AA3" s="35" t="s">
        <v>16</v>
      </c>
      <c r="AB3" s="35">
        <v>18.0</v>
      </c>
      <c r="AC3" s="35" t="s">
        <v>16</v>
      </c>
      <c r="AD3" s="35">
        <v>16.0</v>
      </c>
      <c r="AE3" s="35" t="s">
        <v>16</v>
      </c>
      <c r="AF3" s="35">
        <v>18.0</v>
      </c>
      <c r="AG3" s="35" t="s">
        <v>16</v>
      </c>
      <c r="AH3" s="35">
        <v>19.0</v>
      </c>
      <c r="AI3" s="35" t="s">
        <v>71</v>
      </c>
      <c r="AJ3" s="35">
        <v>21.0</v>
      </c>
      <c r="AK3" s="35" t="s">
        <v>16</v>
      </c>
      <c r="AL3" s="35">
        <v>18.0</v>
      </c>
      <c r="AM3" s="35" t="s">
        <v>16</v>
      </c>
      <c r="AN3" s="35">
        <v>18.0</v>
      </c>
      <c r="AO3" s="35" t="s">
        <v>16</v>
      </c>
      <c r="AP3" s="35">
        <v>12.0</v>
      </c>
      <c r="AQ3" s="35" t="s">
        <v>16</v>
      </c>
      <c r="AR3" s="35">
        <v>17.0</v>
      </c>
      <c r="AS3" s="35" t="s">
        <v>16</v>
      </c>
      <c r="AT3" s="35">
        <v>17.0</v>
      </c>
      <c r="AU3" s="35" t="s">
        <v>71</v>
      </c>
      <c r="AV3" s="35">
        <v>22.0</v>
      </c>
      <c r="AW3" s="35" t="s">
        <v>16</v>
      </c>
      <c r="AX3" s="35">
        <v>14.0</v>
      </c>
      <c r="AY3" s="35" t="s">
        <v>16</v>
      </c>
      <c r="AZ3" s="35">
        <v>18.0</v>
      </c>
    </row>
    <row r="4">
      <c r="A4" s="35" t="s">
        <v>23</v>
      </c>
      <c r="B4" s="35">
        <v>5.0</v>
      </c>
      <c r="C4" s="35" t="s">
        <v>23</v>
      </c>
      <c r="D4" s="35">
        <v>5.0</v>
      </c>
      <c r="E4" s="35" t="s">
        <v>23</v>
      </c>
      <c r="F4" s="35">
        <v>4.0</v>
      </c>
      <c r="G4" s="35" t="s">
        <v>23</v>
      </c>
      <c r="H4" s="35">
        <v>2.0</v>
      </c>
      <c r="I4" s="35" t="s">
        <v>23</v>
      </c>
      <c r="J4" s="35">
        <v>4.0</v>
      </c>
      <c r="K4" s="8"/>
      <c r="L4" s="8"/>
      <c r="M4" s="35" t="s">
        <v>23</v>
      </c>
      <c r="N4" s="35">
        <v>2.0</v>
      </c>
      <c r="O4" s="35" t="s">
        <v>23</v>
      </c>
      <c r="P4" s="35">
        <v>3.0</v>
      </c>
      <c r="Q4" s="35" t="s">
        <v>23</v>
      </c>
      <c r="R4" s="35">
        <v>9.0</v>
      </c>
      <c r="S4" s="35" t="s">
        <v>23</v>
      </c>
      <c r="T4" s="35">
        <v>4.0</v>
      </c>
      <c r="U4" s="35" t="s">
        <v>23</v>
      </c>
      <c r="V4" s="35">
        <v>6.0</v>
      </c>
      <c r="W4" s="8"/>
      <c r="X4" s="8"/>
      <c r="Y4" s="35" t="s">
        <v>23</v>
      </c>
      <c r="Z4" s="35">
        <v>7.0</v>
      </c>
      <c r="AA4" s="35" t="s">
        <v>23</v>
      </c>
      <c r="AB4" s="35">
        <v>7.0</v>
      </c>
      <c r="AC4" s="35" t="s">
        <v>23</v>
      </c>
      <c r="AD4" s="35">
        <v>4.0</v>
      </c>
      <c r="AE4" s="35" t="s">
        <v>23</v>
      </c>
      <c r="AF4" s="35">
        <v>4.0</v>
      </c>
      <c r="AG4" s="35" t="s">
        <v>23</v>
      </c>
      <c r="AH4" s="35">
        <v>6.0</v>
      </c>
      <c r="AI4" s="35"/>
      <c r="AJ4" s="35"/>
      <c r="AK4" s="35" t="s">
        <v>23</v>
      </c>
      <c r="AL4" s="35">
        <v>5.0</v>
      </c>
      <c r="AM4" s="35" t="s">
        <v>23</v>
      </c>
      <c r="AN4" s="35">
        <v>4.0</v>
      </c>
      <c r="AO4" s="35" t="s">
        <v>23</v>
      </c>
      <c r="AP4" s="35">
        <v>7.0</v>
      </c>
      <c r="AQ4" s="35" t="s">
        <v>23</v>
      </c>
      <c r="AR4" s="35">
        <v>5.0</v>
      </c>
      <c r="AS4" s="35" t="s">
        <v>23</v>
      </c>
      <c r="AT4" s="35">
        <v>8.0</v>
      </c>
      <c r="AU4" s="35"/>
      <c r="AV4" s="35"/>
      <c r="AW4" s="35" t="s">
        <v>23</v>
      </c>
      <c r="AX4" s="35">
        <v>3.0</v>
      </c>
      <c r="AY4" s="35" t="s">
        <v>23</v>
      </c>
      <c r="AZ4" s="35">
        <v>7.0</v>
      </c>
    </row>
    <row r="5">
      <c r="A5" s="35" t="s">
        <v>47</v>
      </c>
      <c r="B5" s="35">
        <v>9.0</v>
      </c>
      <c r="C5" s="35" t="s">
        <v>47</v>
      </c>
      <c r="D5" s="35">
        <v>7.0</v>
      </c>
      <c r="E5" s="35" t="s">
        <v>47</v>
      </c>
      <c r="F5" s="35">
        <v>5.0</v>
      </c>
      <c r="G5" s="35" t="s">
        <v>47</v>
      </c>
      <c r="H5" s="35">
        <v>5.0</v>
      </c>
      <c r="I5" s="35" t="s">
        <v>47</v>
      </c>
      <c r="J5" s="35">
        <v>8.0</v>
      </c>
      <c r="K5" s="8"/>
      <c r="L5" s="69">
        <v>63.0</v>
      </c>
      <c r="M5" s="35" t="s">
        <v>47</v>
      </c>
      <c r="N5" s="35">
        <v>6.0</v>
      </c>
      <c r="O5" s="35" t="s">
        <v>47</v>
      </c>
      <c r="P5" s="35">
        <v>6.0</v>
      </c>
      <c r="Q5" s="35" t="s">
        <v>47</v>
      </c>
      <c r="R5" s="35">
        <v>4.0</v>
      </c>
      <c r="S5" s="35" t="s">
        <v>47</v>
      </c>
      <c r="T5" s="35">
        <v>5.0</v>
      </c>
      <c r="U5" s="35" t="s">
        <v>47</v>
      </c>
      <c r="V5" s="35">
        <v>9.0</v>
      </c>
      <c r="W5" s="8"/>
      <c r="X5" s="69">
        <v>67.0</v>
      </c>
      <c r="Y5" s="35" t="s">
        <v>47</v>
      </c>
      <c r="Z5" s="35">
        <v>10.0</v>
      </c>
      <c r="AA5" s="35" t="s">
        <v>47</v>
      </c>
      <c r="AB5" s="35">
        <v>5.0</v>
      </c>
      <c r="AC5" s="35" t="s">
        <v>47</v>
      </c>
      <c r="AD5" s="35">
        <v>7.0</v>
      </c>
      <c r="AE5" s="35" t="s">
        <v>47</v>
      </c>
      <c r="AF5" s="35">
        <v>6.0</v>
      </c>
      <c r="AG5" s="35" t="s">
        <v>47</v>
      </c>
      <c r="AH5" s="35">
        <v>7.0</v>
      </c>
      <c r="AI5" s="35"/>
      <c r="AJ5" s="72">
        <v>67.0</v>
      </c>
      <c r="AK5" s="35" t="s">
        <v>47</v>
      </c>
      <c r="AL5" s="35">
        <v>13.0</v>
      </c>
      <c r="AM5" s="35" t="s">
        <v>47</v>
      </c>
      <c r="AN5" s="35">
        <v>2.0</v>
      </c>
      <c r="AO5" s="35" t="s">
        <v>47</v>
      </c>
      <c r="AP5" s="35">
        <v>3.0</v>
      </c>
      <c r="AQ5" s="35" t="s">
        <v>47</v>
      </c>
      <c r="AR5" s="35">
        <v>7.0</v>
      </c>
      <c r="AS5" s="35" t="s">
        <v>47</v>
      </c>
      <c r="AT5" s="35">
        <v>2.0</v>
      </c>
      <c r="AU5" s="35"/>
      <c r="AV5" s="72">
        <v>67.0</v>
      </c>
      <c r="AW5" s="35" t="s">
        <v>47</v>
      </c>
      <c r="AX5" s="35">
        <v>14.0</v>
      </c>
      <c r="AY5" s="35" t="s">
        <v>47</v>
      </c>
      <c r="AZ5" s="35">
        <v>8.0</v>
      </c>
    </row>
    <row r="6">
      <c r="A6" s="35" t="s">
        <v>55</v>
      </c>
      <c r="B6" s="35">
        <v>18.0</v>
      </c>
      <c r="C6" s="35" t="s">
        <v>55</v>
      </c>
      <c r="D6" s="35">
        <v>11.0</v>
      </c>
      <c r="E6" s="35" t="s">
        <v>55</v>
      </c>
      <c r="F6" s="35">
        <v>7.0</v>
      </c>
      <c r="G6" s="35" t="s">
        <v>55</v>
      </c>
      <c r="H6" s="35">
        <v>7.0</v>
      </c>
      <c r="I6" s="35" t="s">
        <v>55</v>
      </c>
      <c r="J6" s="35">
        <v>17.0</v>
      </c>
      <c r="K6" s="8"/>
      <c r="L6" s="8"/>
      <c r="M6" s="35" t="s">
        <v>55</v>
      </c>
      <c r="N6" s="35">
        <v>12.0</v>
      </c>
      <c r="O6" s="35" t="s">
        <v>55</v>
      </c>
      <c r="P6" s="35">
        <v>14.0</v>
      </c>
      <c r="Q6" s="35" t="s">
        <v>55</v>
      </c>
      <c r="R6" s="35">
        <v>6.0</v>
      </c>
      <c r="S6" s="35" t="s">
        <v>55</v>
      </c>
      <c r="T6" s="35">
        <v>5.0</v>
      </c>
      <c r="U6" s="35" t="s">
        <v>55</v>
      </c>
      <c r="V6" s="35">
        <v>16.0</v>
      </c>
      <c r="W6" s="8"/>
      <c r="X6" s="8"/>
      <c r="Y6" s="35" t="s">
        <v>55</v>
      </c>
      <c r="Z6" s="35">
        <v>10.0</v>
      </c>
      <c r="AA6" s="35" t="s">
        <v>55</v>
      </c>
      <c r="AB6" s="35">
        <v>12.0</v>
      </c>
      <c r="AC6" s="35" t="s">
        <v>55</v>
      </c>
      <c r="AD6" s="35">
        <v>8.0</v>
      </c>
      <c r="AE6" s="35" t="s">
        <v>55</v>
      </c>
      <c r="AF6" s="35">
        <v>5.0</v>
      </c>
      <c r="AG6" s="35" t="s">
        <v>55</v>
      </c>
      <c r="AH6" s="35">
        <v>14.0</v>
      </c>
      <c r="AI6" s="35"/>
      <c r="AJ6" s="35"/>
      <c r="AK6" s="35" t="s">
        <v>55</v>
      </c>
      <c r="AL6" s="35">
        <v>11.0</v>
      </c>
      <c r="AM6" s="35" t="s">
        <v>55</v>
      </c>
      <c r="AN6" s="35">
        <v>10.0</v>
      </c>
      <c r="AO6" s="35" t="s">
        <v>55</v>
      </c>
      <c r="AP6" s="35">
        <v>6.0</v>
      </c>
      <c r="AQ6" s="35" t="s">
        <v>55</v>
      </c>
      <c r="AR6" s="35">
        <v>8.0</v>
      </c>
      <c r="AS6" s="35" t="s">
        <v>55</v>
      </c>
      <c r="AT6" s="35">
        <v>13.0</v>
      </c>
      <c r="AU6" s="35"/>
      <c r="AV6" s="35"/>
      <c r="AW6" s="35" t="s">
        <v>55</v>
      </c>
      <c r="AX6" s="35">
        <v>13.0</v>
      </c>
      <c r="AY6" s="35" t="s">
        <v>55</v>
      </c>
      <c r="AZ6" s="35">
        <v>9.0</v>
      </c>
    </row>
    <row r="7">
      <c r="A7" s="35" t="s">
        <v>57</v>
      </c>
      <c r="B7" s="35">
        <v>16.0</v>
      </c>
      <c r="C7" s="35" t="s">
        <v>57</v>
      </c>
      <c r="D7" s="35">
        <v>10.0</v>
      </c>
      <c r="E7" s="35" t="s">
        <v>57</v>
      </c>
      <c r="F7" s="35">
        <v>15.0</v>
      </c>
      <c r="G7" s="35" t="s">
        <v>57</v>
      </c>
      <c r="H7" s="35">
        <v>10.0</v>
      </c>
      <c r="I7" s="35" t="s">
        <v>57</v>
      </c>
      <c r="J7" s="35">
        <v>8.0</v>
      </c>
      <c r="K7" s="35" t="s">
        <v>66</v>
      </c>
      <c r="L7" s="35">
        <v>13.0</v>
      </c>
      <c r="M7" s="35" t="s">
        <v>57</v>
      </c>
      <c r="N7" s="35">
        <v>22.0</v>
      </c>
      <c r="O7" s="35" t="s">
        <v>57</v>
      </c>
      <c r="P7" s="35">
        <v>8.0</v>
      </c>
      <c r="Q7" s="35" t="s">
        <v>57</v>
      </c>
      <c r="R7" s="35">
        <v>12.0</v>
      </c>
      <c r="S7" s="35" t="s">
        <v>57</v>
      </c>
      <c r="T7" s="35">
        <v>16.0</v>
      </c>
      <c r="U7" s="35" t="s">
        <v>57</v>
      </c>
      <c r="V7" s="35">
        <v>12.0</v>
      </c>
      <c r="W7" s="35" t="s">
        <v>66</v>
      </c>
      <c r="X7" s="35">
        <v>18.0</v>
      </c>
      <c r="Y7" s="35" t="s">
        <v>57</v>
      </c>
      <c r="Z7" s="35">
        <v>17.0</v>
      </c>
      <c r="AA7" s="35" t="s">
        <v>57</v>
      </c>
      <c r="AB7" s="35">
        <v>8.0</v>
      </c>
      <c r="AC7" s="35" t="s">
        <v>57</v>
      </c>
      <c r="AD7" s="35">
        <v>13.0</v>
      </c>
      <c r="AE7" s="35" t="s">
        <v>57</v>
      </c>
      <c r="AF7" s="35">
        <v>13.0</v>
      </c>
      <c r="AG7" s="35" t="s">
        <v>57</v>
      </c>
      <c r="AH7" s="35">
        <v>11.0</v>
      </c>
      <c r="AI7" s="35" t="s">
        <v>66</v>
      </c>
      <c r="AJ7" s="35">
        <v>19.0</v>
      </c>
      <c r="AK7" s="35" t="s">
        <v>57</v>
      </c>
      <c r="AL7" s="35">
        <v>10.0</v>
      </c>
      <c r="AM7" s="35" t="s">
        <v>57</v>
      </c>
      <c r="AN7" s="35">
        <v>10.0</v>
      </c>
      <c r="AO7" s="35" t="s">
        <v>57</v>
      </c>
      <c r="AP7" s="35">
        <v>16.0</v>
      </c>
      <c r="AQ7" s="35" t="s">
        <v>57</v>
      </c>
      <c r="AR7" s="35">
        <v>15.0</v>
      </c>
      <c r="AS7" s="35" t="s">
        <v>57</v>
      </c>
      <c r="AT7" s="35">
        <v>12.0</v>
      </c>
      <c r="AU7" s="35" t="s">
        <v>66</v>
      </c>
      <c r="AV7" s="35">
        <v>17.0</v>
      </c>
      <c r="AW7" s="35" t="s">
        <v>57</v>
      </c>
      <c r="AX7" s="35">
        <v>15.0</v>
      </c>
      <c r="AY7" s="35" t="s">
        <v>57</v>
      </c>
      <c r="AZ7" s="35">
        <v>10.0</v>
      </c>
    </row>
    <row r="8">
      <c r="A8" s="35" t="s">
        <v>62</v>
      </c>
      <c r="B8" s="35">
        <v>2.0</v>
      </c>
      <c r="C8" s="35" t="s">
        <v>62</v>
      </c>
      <c r="D8" s="35">
        <v>9.0</v>
      </c>
      <c r="E8" s="35" t="s">
        <v>62</v>
      </c>
      <c r="F8" s="35">
        <v>7.0</v>
      </c>
      <c r="G8" s="35" t="s">
        <v>62</v>
      </c>
      <c r="H8" s="35">
        <v>12.0</v>
      </c>
      <c r="I8" s="35" t="s">
        <v>62</v>
      </c>
      <c r="J8" s="35">
        <v>8.0</v>
      </c>
      <c r="K8" s="35" t="s">
        <v>76</v>
      </c>
      <c r="L8" s="35">
        <v>9.0</v>
      </c>
      <c r="M8" s="35" t="s">
        <v>62</v>
      </c>
      <c r="N8" s="35">
        <v>4.0</v>
      </c>
      <c r="O8" s="35" t="s">
        <v>62</v>
      </c>
      <c r="P8" s="35">
        <v>9.0</v>
      </c>
      <c r="Q8" s="35" t="s">
        <v>62</v>
      </c>
      <c r="R8" s="35">
        <v>6.0</v>
      </c>
      <c r="S8" s="35" t="s">
        <v>62</v>
      </c>
      <c r="T8" s="35">
        <v>9.0</v>
      </c>
      <c r="U8" s="35" t="s">
        <v>62</v>
      </c>
      <c r="V8" s="35">
        <v>9.0</v>
      </c>
      <c r="W8" s="35" t="s">
        <v>76</v>
      </c>
      <c r="X8" s="35">
        <v>10.0</v>
      </c>
      <c r="Y8" s="35" t="s">
        <v>62</v>
      </c>
      <c r="Z8" s="35">
        <v>3.0</v>
      </c>
      <c r="AA8" s="35" t="s">
        <v>62</v>
      </c>
      <c r="AB8" s="35">
        <v>8.0</v>
      </c>
      <c r="AC8" s="35" t="s">
        <v>62</v>
      </c>
      <c r="AD8" s="35">
        <v>6.0</v>
      </c>
      <c r="AE8" s="35" t="s">
        <v>62</v>
      </c>
      <c r="AF8" s="35">
        <v>10.0</v>
      </c>
      <c r="AG8" s="35" t="s">
        <v>62</v>
      </c>
      <c r="AH8" s="35">
        <v>8.0</v>
      </c>
      <c r="AI8" s="35" t="s">
        <v>76</v>
      </c>
      <c r="AJ8" s="35">
        <v>10.0</v>
      </c>
      <c r="AK8" s="35" t="s">
        <v>62</v>
      </c>
      <c r="AL8" s="35">
        <v>6.0</v>
      </c>
      <c r="AM8" s="35" t="s">
        <v>62</v>
      </c>
      <c r="AN8" s="35">
        <v>8.0</v>
      </c>
      <c r="AO8" s="35" t="s">
        <v>62</v>
      </c>
      <c r="AP8" s="35">
        <v>8.0</v>
      </c>
      <c r="AQ8" s="35" t="s">
        <v>62</v>
      </c>
      <c r="AR8" s="35">
        <v>4.0</v>
      </c>
      <c r="AS8" s="35" t="s">
        <v>62</v>
      </c>
      <c r="AT8" s="35">
        <v>9.0</v>
      </c>
      <c r="AU8" s="35" t="s">
        <v>76</v>
      </c>
      <c r="AV8" s="35">
        <v>8.0</v>
      </c>
      <c r="AW8" s="35" t="s">
        <v>62</v>
      </c>
      <c r="AX8" s="35">
        <v>6.0</v>
      </c>
      <c r="AY8" s="35" t="s">
        <v>62</v>
      </c>
      <c r="AZ8" s="35">
        <v>10.0</v>
      </c>
    </row>
    <row r="9">
      <c r="A9" s="35" t="s">
        <v>5</v>
      </c>
      <c r="B9" s="35">
        <v>5.0</v>
      </c>
      <c r="C9" s="35" t="s">
        <v>5</v>
      </c>
      <c r="D9" s="35">
        <v>8.0</v>
      </c>
      <c r="E9" s="35" t="s">
        <v>5</v>
      </c>
      <c r="F9" s="35">
        <v>7.0</v>
      </c>
      <c r="G9" s="35" t="s">
        <v>5</v>
      </c>
      <c r="H9" s="35">
        <v>8.0</v>
      </c>
      <c r="I9" s="35" t="s">
        <v>5</v>
      </c>
      <c r="J9" s="35">
        <v>7.0</v>
      </c>
      <c r="K9" s="35" t="s">
        <v>100</v>
      </c>
      <c r="L9" s="35">
        <v>41.0</v>
      </c>
      <c r="M9" s="35" t="s">
        <v>5</v>
      </c>
      <c r="N9" s="35">
        <v>5.0</v>
      </c>
      <c r="O9" s="35" t="s">
        <v>5</v>
      </c>
      <c r="P9" s="35">
        <v>6.0</v>
      </c>
      <c r="Q9" s="35" t="s">
        <v>5</v>
      </c>
      <c r="R9" s="35">
        <v>2.0</v>
      </c>
      <c r="S9" s="35" t="s">
        <v>5</v>
      </c>
      <c r="T9" s="35">
        <v>8.0</v>
      </c>
      <c r="U9" s="35" t="s">
        <v>5</v>
      </c>
      <c r="V9" s="35">
        <v>7.0</v>
      </c>
      <c r="W9" s="35" t="s">
        <v>100</v>
      </c>
      <c r="X9" s="35">
        <v>39.0</v>
      </c>
      <c r="Y9" s="35" t="s">
        <v>5</v>
      </c>
      <c r="Z9" s="35">
        <v>3.0</v>
      </c>
      <c r="AA9" s="35" t="s">
        <v>5</v>
      </c>
      <c r="AB9" s="35">
        <v>9.0</v>
      </c>
      <c r="AC9" s="35" t="s">
        <v>5</v>
      </c>
      <c r="AD9" s="35">
        <v>3.0</v>
      </c>
      <c r="AE9" s="35" t="s">
        <v>5</v>
      </c>
      <c r="AF9" s="35">
        <v>8.0</v>
      </c>
      <c r="AG9" s="35" t="s">
        <v>5</v>
      </c>
      <c r="AH9" s="35">
        <v>11.0</v>
      </c>
      <c r="AI9" s="35" t="s">
        <v>100</v>
      </c>
      <c r="AJ9" s="35">
        <v>38.0</v>
      </c>
      <c r="AK9" s="35" t="s">
        <v>5</v>
      </c>
      <c r="AL9" s="35">
        <v>7.0</v>
      </c>
      <c r="AM9" s="35" t="s">
        <v>5</v>
      </c>
      <c r="AN9" s="35">
        <v>7.0</v>
      </c>
      <c r="AO9" s="35" t="s">
        <v>5</v>
      </c>
      <c r="AP9" s="35">
        <v>5.0</v>
      </c>
      <c r="AQ9" s="35" t="s">
        <v>5</v>
      </c>
      <c r="AR9" s="35">
        <v>13.0</v>
      </c>
      <c r="AS9" s="35" t="s">
        <v>5</v>
      </c>
      <c r="AT9" s="35">
        <v>7.0</v>
      </c>
      <c r="AU9" s="35" t="s">
        <v>100</v>
      </c>
      <c r="AV9" s="35">
        <v>42.0</v>
      </c>
      <c r="AW9" s="35" t="s">
        <v>5</v>
      </c>
      <c r="AX9" s="35">
        <v>1.0</v>
      </c>
      <c r="AY9" s="35" t="s">
        <v>5</v>
      </c>
      <c r="AZ9" s="35">
        <v>9.0</v>
      </c>
    </row>
    <row r="10">
      <c r="A10" s="35" t="s">
        <v>32</v>
      </c>
      <c r="B10" s="35">
        <v>12.0</v>
      </c>
      <c r="C10" s="35" t="s">
        <v>32</v>
      </c>
      <c r="D10" s="35">
        <v>11.0</v>
      </c>
      <c r="E10" s="109" t="s">
        <v>32</v>
      </c>
      <c r="F10" s="35">
        <v>8.0</v>
      </c>
      <c r="G10" s="35" t="s">
        <v>32</v>
      </c>
      <c r="H10" s="35">
        <v>10.0</v>
      </c>
      <c r="I10" s="35" t="s">
        <v>32</v>
      </c>
      <c r="J10" s="35">
        <v>8.0</v>
      </c>
      <c r="K10" s="8"/>
      <c r="L10" s="8"/>
      <c r="M10" s="35" t="s">
        <v>32</v>
      </c>
      <c r="N10" s="35">
        <v>8.0</v>
      </c>
      <c r="O10" s="35" t="s">
        <v>32</v>
      </c>
      <c r="P10" s="35">
        <v>11.0</v>
      </c>
      <c r="Q10" s="35" t="s">
        <v>32</v>
      </c>
      <c r="R10" s="35">
        <v>10.0</v>
      </c>
      <c r="S10" s="35" t="s">
        <v>32</v>
      </c>
      <c r="T10" s="35">
        <v>9.0</v>
      </c>
      <c r="U10" s="35" t="s">
        <v>32</v>
      </c>
      <c r="V10" s="35">
        <v>8.0</v>
      </c>
      <c r="W10" s="8"/>
      <c r="X10" s="8"/>
      <c r="Y10" s="87" t="s">
        <v>32</v>
      </c>
      <c r="Z10" s="35">
        <v>12.0</v>
      </c>
      <c r="AA10" s="35" t="s">
        <v>32</v>
      </c>
      <c r="AB10" s="35">
        <v>11.0</v>
      </c>
      <c r="AC10" s="109" t="s">
        <v>32</v>
      </c>
      <c r="AD10" s="35">
        <v>9.0</v>
      </c>
      <c r="AE10" s="35" t="s">
        <v>32</v>
      </c>
      <c r="AF10" s="35">
        <v>6.0</v>
      </c>
      <c r="AG10" s="35" t="s">
        <v>32</v>
      </c>
      <c r="AH10" s="35">
        <v>3.0</v>
      </c>
      <c r="AI10" s="35"/>
      <c r="AJ10" s="35"/>
      <c r="AK10" s="35" t="s">
        <v>32</v>
      </c>
      <c r="AL10" s="35">
        <v>9.0</v>
      </c>
      <c r="AM10" s="35" t="s">
        <v>32</v>
      </c>
      <c r="AN10" s="35">
        <v>15.0</v>
      </c>
      <c r="AO10" s="35" t="s">
        <v>32</v>
      </c>
      <c r="AP10" s="35">
        <v>9.0</v>
      </c>
      <c r="AQ10" s="35" t="s">
        <v>32</v>
      </c>
      <c r="AR10" s="35">
        <v>5.0</v>
      </c>
      <c r="AS10" s="35" t="s">
        <v>32</v>
      </c>
      <c r="AT10" s="35">
        <v>11.0</v>
      </c>
      <c r="AU10" s="35"/>
      <c r="AV10" s="35"/>
      <c r="AW10" s="87" t="s">
        <v>32</v>
      </c>
      <c r="AX10" s="35">
        <v>9.0</v>
      </c>
      <c r="AY10" s="35" t="s">
        <v>32</v>
      </c>
      <c r="AZ10" s="35">
        <v>8.0</v>
      </c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9">
        <v>63.0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69">
        <v>67.0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9">
        <v>67.0</v>
      </c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>
        <v>67.0</v>
      </c>
      <c r="AW11" s="69"/>
      <c r="AX11" s="69"/>
      <c r="AY11" s="69"/>
      <c r="AZ11" s="69"/>
    </row>
    <row r="12">
      <c r="A12" s="8"/>
      <c r="B12" s="69">
        <v>83.0</v>
      </c>
      <c r="C12" s="8"/>
      <c r="D12" s="69">
        <v>81.0</v>
      </c>
      <c r="E12" s="8"/>
      <c r="F12" s="69">
        <v>73.0</v>
      </c>
      <c r="G12" s="8"/>
      <c r="H12" s="69">
        <v>80.0</v>
      </c>
      <c r="I12" s="8"/>
      <c r="J12" s="69">
        <v>89.0</v>
      </c>
      <c r="M12" s="8"/>
      <c r="N12" s="69">
        <v>78.0</v>
      </c>
      <c r="O12" s="8"/>
      <c r="P12" s="69">
        <v>85.0</v>
      </c>
      <c r="Q12" s="8"/>
      <c r="R12" s="69">
        <v>71.0</v>
      </c>
      <c r="S12" s="8"/>
      <c r="T12" s="69">
        <v>85.0</v>
      </c>
      <c r="U12" s="8"/>
      <c r="V12" s="69">
        <v>90.0</v>
      </c>
      <c r="Y12" s="8"/>
      <c r="Z12" s="69">
        <v>79.0</v>
      </c>
      <c r="AA12" s="69"/>
      <c r="AB12" s="69">
        <v>84.0</v>
      </c>
      <c r="AC12" s="69"/>
      <c r="AD12" s="69">
        <v>67.0</v>
      </c>
      <c r="AE12" s="69"/>
      <c r="AF12" s="69">
        <v>77.0</v>
      </c>
      <c r="AG12" s="69"/>
      <c r="AH12" s="69">
        <v>92.0</v>
      </c>
      <c r="AI12" s="92"/>
      <c r="AJ12" s="92"/>
      <c r="AK12" s="69"/>
      <c r="AL12" s="69">
        <v>84.0</v>
      </c>
      <c r="AM12" s="69"/>
      <c r="AN12" s="69">
        <v>78.0</v>
      </c>
      <c r="AO12" s="69"/>
      <c r="AP12" s="69">
        <v>70.0</v>
      </c>
      <c r="AQ12" s="69"/>
      <c r="AR12" s="69">
        <v>78.0</v>
      </c>
      <c r="AS12" s="69"/>
      <c r="AT12" s="69">
        <v>89.0</v>
      </c>
      <c r="AU12" s="92"/>
      <c r="AV12" s="92"/>
      <c r="AW12" s="69"/>
      <c r="AX12" s="69">
        <v>78.0</v>
      </c>
      <c r="AY12" s="69"/>
      <c r="AZ12" s="69">
        <v>85.0</v>
      </c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M13" s="8"/>
      <c r="N13" s="8"/>
      <c r="O13" s="8"/>
      <c r="P13" s="8"/>
      <c r="Q13" s="8"/>
      <c r="R13" s="8"/>
      <c r="S13" s="8"/>
      <c r="T13" s="8"/>
      <c r="U13" s="8"/>
      <c r="V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93"/>
      <c r="AJ13" s="93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93"/>
      <c r="AV13" s="93"/>
      <c r="AW13" s="8"/>
      <c r="AX13" s="8"/>
      <c r="AY13" s="8"/>
      <c r="AZ13" s="8"/>
    </row>
    <row r="14">
      <c r="A14" s="35" t="s">
        <v>78</v>
      </c>
      <c r="B14" s="35">
        <v>14.0</v>
      </c>
      <c r="C14" s="35" t="s">
        <v>78</v>
      </c>
      <c r="D14" s="35">
        <v>19.0</v>
      </c>
      <c r="E14" s="35" t="s">
        <v>78</v>
      </c>
      <c r="F14" s="35">
        <v>9.0</v>
      </c>
      <c r="G14" s="35" t="s">
        <v>78</v>
      </c>
      <c r="H14" s="35">
        <v>11.0</v>
      </c>
      <c r="I14" s="35" t="s">
        <v>78</v>
      </c>
      <c r="J14" s="35">
        <v>16.0</v>
      </c>
      <c r="M14" s="35" t="s">
        <v>78</v>
      </c>
      <c r="N14" s="35">
        <v>17.0</v>
      </c>
      <c r="O14" s="35" t="s">
        <v>78</v>
      </c>
      <c r="P14" s="35">
        <v>25.0</v>
      </c>
      <c r="Q14" s="35" t="s">
        <v>78</v>
      </c>
      <c r="R14" s="35">
        <v>10.0</v>
      </c>
      <c r="S14" s="35" t="s">
        <v>78</v>
      </c>
      <c r="T14" s="35">
        <v>8.0</v>
      </c>
      <c r="U14" s="35" t="s">
        <v>78</v>
      </c>
      <c r="V14" s="35">
        <v>11.0</v>
      </c>
      <c r="Y14" s="35" t="s">
        <v>78</v>
      </c>
      <c r="Z14" s="35">
        <v>16.0</v>
      </c>
      <c r="AA14" s="35" t="s">
        <v>78</v>
      </c>
      <c r="AB14" s="35">
        <v>22.0</v>
      </c>
      <c r="AC14" s="35" t="s">
        <v>78</v>
      </c>
      <c r="AD14" s="35">
        <v>13.0</v>
      </c>
      <c r="AE14" s="35" t="s">
        <v>78</v>
      </c>
      <c r="AF14" s="35">
        <v>14.0</v>
      </c>
      <c r="AG14" s="35" t="s">
        <v>78</v>
      </c>
      <c r="AH14" s="35">
        <v>16.0</v>
      </c>
      <c r="AI14" s="95"/>
      <c r="AJ14" s="95"/>
      <c r="AK14" s="35" t="s">
        <v>78</v>
      </c>
      <c r="AL14" s="35">
        <v>19.0</v>
      </c>
      <c r="AM14" s="35" t="s">
        <v>78</v>
      </c>
      <c r="AN14" s="35">
        <v>23.0</v>
      </c>
      <c r="AO14" s="35" t="s">
        <v>78</v>
      </c>
      <c r="AP14" s="35">
        <v>12.0</v>
      </c>
      <c r="AQ14" s="35" t="s">
        <v>78</v>
      </c>
      <c r="AR14" s="35">
        <v>14.0</v>
      </c>
      <c r="AS14" s="35" t="s">
        <v>78</v>
      </c>
      <c r="AT14" s="35">
        <v>11.0</v>
      </c>
      <c r="AU14" s="95"/>
      <c r="AV14" s="95"/>
      <c r="AW14" s="35" t="s">
        <v>78</v>
      </c>
      <c r="AX14" s="35">
        <v>17.0</v>
      </c>
      <c r="AY14" s="35" t="s">
        <v>78</v>
      </c>
      <c r="AZ14" s="35">
        <v>30.0</v>
      </c>
    </row>
    <row r="15">
      <c r="A15" s="35" t="s">
        <v>87</v>
      </c>
      <c r="B15" s="35">
        <v>15.0</v>
      </c>
      <c r="C15" s="35" t="s">
        <v>87</v>
      </c>
      <c r="D15" s="35">
        <v>21.0</v>
      </c>
      <c r="E15" s="35" t="s">
        <v>87</v>
      </c>
      <c r="F15" s="35">
        <v>17.0</v>
      </c>
      <c r="G15" s="35" t="s">
        <v>87</v>
      </c>
      <c r="H15" s="35">
        <v>13.0</v>
      </c>
      <c r="I15" s="35" t="s">
        <v>87</v>
      </c>
      <c r="J15" s="35">
        <v>21.0</v>
      </c>
      <c r="M15" s="35" t="s">
        <v>87</v>
      </c>
      <c r="N15" s="35">
        <v>18.0</v>
      </c>
      <c r="O15" s="35" t="s">
        <v>87</v>
      </c>
      <c r="P15" s="35">
        <v>16.0</v>
      </c>
      <c r="Q15" s="35" t="s">
        <v>87</v>
      </c>
      <c r="R15" s="35">
        <v>20.0</v>
      </c>
      <c r="S15" s="35" t="s">
        <v>87</v>
      </c>
      <c r="T15" s="35">
        <v>18.0</v>
      </c>
      <c r="U15" s="35" t="s">
        <v>87</v>
      </c>
      <c r="V15" s="35">
        <v>26.0</v>
      </c>
      <c r="Y15" s="35" t="s">
        <v>87</v>
      </c>
      <c r="Z15" s="35">
        <v>20.0</v>
      </c>
      <c r="AA15" s="35" t="s">
        <v>87</v>
      </c>
      <c r="AB15" s="35">
        <v>17.0</v>
      </c>
      <c r="AC15" s="35" t="s">
        <v>87</v>
      </c>
      <c r="AD15" s="35">
        <v>16.0</v>
      </c>
      <c r="AE15" s="35" t="s">
        <v>87</v>
      </c>
      <c r="AF15" s="35">
        <v>10.0</v>
      </c>
      <c r="AG15" s="35" t="s">
        <v>87</v>
      </c>
      <c r="AH15" s="35">
        <v>21.0</v>
      </c>
      <c r="AI15" s="95"/>
      <c r="AJ15" s="95"/>
      <c r="AK15" s="35" t="s">
        <v>87</v>
      </c>
      <c r="AL15" s="35">
        <v>22.0</v>
      </c>
      <c r="AM15" s="35" t="s">
        <v>87</v>
      </c>
      <c r="AN15" s="35">
        <v>12.0</v>
      </c>
      <c r="AO15" s="35" t="s">
        <v>87</v>
      </c>
      <c r="AP15" s="35">
        <v>16.0</v>
      </c>
      <c r="AQ15" s="35" t="s">
        <v>87</v>
      </c>
      <c r="AR15" s="35">
        <v>15.0</v>
      </c>
      <c r="AS15" s="35" t="s">
        <v>87</v>
      </c>
      <c r="AT15" s="35">
        <v>22.0</v>
      </c>
      <c r="AU15" s="95"/>
      <c r="AV15" s="95"/>
      <c r="AW15" s="35" t="s">
        <v>87</v>
      </c>
      <c r="AX15" s="35">
        <v>23.0</v>
      </c>
      <c r="AY15" s="35" t="s">
        <v>87</v>
      </c>
      <c r="AZ15" s="35">
        <v>17.0</v>
      </c>
    </row>
    <row r="16">
      <c r="A16" s="35" t="s">
        <v>65</v>
      </c>
      <c r="B16" s="35">
        <v>15.0</v>
      </c>
      <c r="C16" s="35" t="s">
        <v>65</v>
      </c>
      <c r="D16" s="35">
        <v>10.0</v>
      </c>
      <c r="E16" s="35" t="s">
        <v>65</v>
      </c>
      <c r="F16" s="35">
        <v>10.0</v>
      </c>
      <c r="G16" s="35" t="s">
        <v>65</v>
      </c>
      <c r="H16" s="35">
        <v>9.0</v>
      </c>
      <c r="I16" s="35" t="s">
        <v>65</v>
      </c>
      <c r="J16" s="35">
        <v>11.0</v>
      </c>
      <c r="M16" s="35" t="s">
        <v>65</v>
      </c>
      <c r="N16" s="35">
        <v>14.0</v>
      </c>
      <c r="O16" s="35" t="s">
        <v>65</v>
      </c>
      <c r="P16" s="35">
        <v>11.0</v>
      </c>
      <c r="Q16" s="35" t="s">
        <v>65</v>
      </c>
      <c r="R16" s="35">
        <v>8.0</v>
      </c>
      <c r="S16" s="35" t="s">
        <v>65</v>
      </c>
      <c r="T16" s="35">
        <v>11.0</v>
      </c>
      <c r="U16" s="35" t="s">
        <v>65</v>
      </c>
      <c r="V16" s="35">
        <v>14.0</v>
      </c>
      <c r="Y16" s="35" t="s">
        <v>65</v>
      </c>
      <c r="Z16" s="35">
        <v>15.0</v>
      </c>
      <c r="AA16" s="35" t="s">
        <v>65</v>
      </c>
      <c r="AB16" s="35">
        <v>15.0</v>
      </c>
      <c r="AC16" s="35" t="s">
        <v>65</v>
      </c>
      <c r="AD16" s="35">
        <v>11.0</v>
      </c>
      <c r="AE16" s="35" t="s">
        <v>65</v>
      </c>
      <c r="AF16" s="35">
        <v>10.0</v>
      </c>
      <c r="AG16" s="35" t="s">
        <v>65</v>
      </c>
      <c r="AH16" s="35">
        <v>17.0</v>
      </c>
      <c r="AI16" s="95"/>
      <c r="AJ16" s="95"/>
      <c r="AK16" s="35" t="s">
        <v>65</v>
      </c>
      <c r="AL16" s="35">
        <v>12.0</v>
      </c>
      <c r="AM16" s="35" t="s">
        <v>65</v>
      </c>
      <c r="AN16" s="35">
        <v>8.0</v>
      </c>
      <c r="AO16" s="35" t="s">
        <v>65</v>
      </c>
      <c r="AP16" s="35">
        <v>13.0</v>
      </c>
      <c r="AQ16" s="35" t="s">
        <v>65</v>
      </c>
      <c r="AR16" s="35">
        <v>13.0</v>
      </c>
      <c r="AS16" s="35" t="s">
        <v>65</v>
      </c>
      <c r="AT16" s="35">
        <v>12.0</v>
      </c>
      <c r="AU16" s="95"/>
      <c r="AV16" s="95"/>
      <c r="AW16" s="35" t="s">
        <v>65</v>
      </c>
      <c r="AX16" s="35">
        <v>10.0</v>
      </c>
      <c r="AY16" s="35" t="s">
        <v>65</v>
      </c>
      <c r="AZ16" s="35">
        <v>6.0</v>
      </c>
    </row>
    <row r="17">
      <c r="A17" s="35" t="s">
        <v>85</v>
      </c>
      <c r="B17" s="35">
        <v>6.0</v>
      </c>
      <c r="C17" s="35" t="s">
        <v>85</v>
      </c>
      <c r="D17" s="35">
        <v>4.0</v>
      </c>
      <c r="E17" s="35" t="s">
        <v>85</v>
      </c>
      <c r="F17" s="35">
        <v>6.0</v>
      </c>
      <c r="G17" s="35" t="s">
        <v>85</v>
      </c>
      <c r="H17" s="35">
        <v>7.0</v>
      </c>
      <c r="I17" s="35" t="s">
        <v>85</v>
      </c>
      <c r="J17" s="35">
        <v>6.0</v>
      </c>
      <c r="M17" s="35" t="s">
        <v>85</v>
      </c>
      <c r="N17" s="35">
        <v>5.0</v>
      </c>
      <c r="O17" s="35" t="s">
        <v>85</v>
      </c>
      <c r="P17" s="35">
        <v>7.0</v>
      </c>
      <c r="Q17" s="35" t="s">
        <v>85</v>
      </c>
      <c r="R17" s="35">
        <v>6.0</v>
      </c>
      <c r="S17" s="35" t="s">
        <v>85</v>
      </c>
      <c r="T17" s="35">
        <v>10.0</v>
      </c>
      <c r="U17" s="35" t="s">
        <v>85</v>
      </c>
      <c r="V17" s="35">
        <v>5.0</v>
      </c>
      <c r="Y17" s="35" t="s">
        <v>85</v>
      </c>
      <c r="Z17" s="35">
        <v>2.0</v>
      </c>
      <c r="AA17" s="35" t="s">
        <v>85</v>
      </c>
      <c r="AB17" s="35">
        <v>7.0</v>
      </c>
      <c r="AC17" s="35" t="s">
        <v>85</v>
      </c>
      <c r="AD17" s="35">
        <v>6.0</v>
      </c>
      <c r="AE17" s="35" t="s">
        <v>85</v>
      </c>
      <c r="AF17" s="35">
        <v>8.0</v>
      </c>
      <c r="AG17" s="35" t="s">
        <v>85</v>
      </c>
      <c r="AH17" s="35">
        <v>4.0</v>
      </c>
      <c r="AI17" s="95"/>
      <c r="AJ17" s="95"/>
      <c r="AK17" s="35" t="s">
        <v>85</v>
      </c>
      <c r="AL17" s="35">
        <v>4.0</v>
      </c>
      <c r="AM17" s="35" t="s">
        <v>85</v>
      </c>
      <c r="AN17" s="35">
        <v>5.0</v>
      </c>
      <c r="AO17" s="35" t="s">
        <v>85</v>
      </c>
      <c r="AP17" s="35">
        <v>5.0</v>
      </c>
      <c r="AQ17" s="35" t="s">
        <v>85</v>
      </c>
      <c r="AR17" s="35">
        <v>4.0</v>
      </c>
      <c r="AS17" s="35" t="s">
        <v>85</v>
      </c>
      <c r="AT17" s="35">
        <v>3.0</v>
      </c>
      <c r="AU17" s="95"/>
      <c r="AV17" s="95"/>
      <c r="AW17" s="35" t="s">
        <v>85</v>
      </c>
      <c r="AX17" s="35">
        <v>5.0</v>
      </c>
      <c r="AY17" s="35" t="s">
        <v>85</v>
      </c>
      <c r="AZ17" s="35">
        <v>6.0</v>
      </c>
    </row>
    <row r="18">
      <c r="A18" s="35" t="s">
        <v>105</v>
      </c>
      <c r="B18" s="35">
        <v>20.0</v>
      </c>
      <c r="C18" s="35" t="s">
        <v>105</v>
      </c>
      <c r="D18" s="35">
        <v>16.0</v>
      </c>
      <c r="E18" s="35" t="s">
        <v>105</v>
      </c>
      <c r="F18" s="35">
        <v>13.0</v>
      </c>
      <c r="G18" s="35" t="s">
        <v>105</v>
      </c>
      <c r="H18" s="35">
        <v>25.0</v>
      </c>
      <c r="I18" s="35" t="s">
        <v>105</v>
      </c>
      <c r="J18" s="35">
        <v>17.0</v>
      </c>
      <c r="M18" s="35" t="s">
        <v>105</v>
      </c>
      <c r="N18" s="35">
        <v>15.0</v>
      </c>
      <c r="O18" s="35" t="s">
        <v>105</v>
      </c>
      <c r="P18" s="35">
        <v>20.0</v>
      </c>
      <c r="Q18" s="35" t="s">
        <v>105</v>
      </c>
      <c r="R18" s="35">
        <v>10.0</v>
      </c>
      <c r="S18" s="35" t="s">
        <v>105</v>
      </c>
      <c r="T18" s="35">
        <v>24.0</v>
      </c>
      <c r="U18" s="35" t="s">
        <v>105</v>
      </c>
      <c r="V18" s="35">
        <v>21.0</v>
      </c>
      <c r="Y18" s="35" t="s">
        <v>105</v>
      </c>
      <c r="Z18" s="35">
        <v>17.0</v>
      </c>
      <c r="AA18" s="35" t="s">
        <v>105</v>
      </c>
      <c r="AB18" s="35">
        <v>18.0</v>
      </c>
      <c r="AC18" s="35" t="s">
        <v>105</v>
      </c>
      <c r="AD18" s="35">
        <v>8.0</v>
      </c>
      <c r="AE18" s="35" t="s">
        <v>105</v>
      </c>
      <c r="AF18" s="35">
        <v>21.0</v>
      </c>
      <c r="AG18" s="35" t="s">
        <v>105</v>
      </c>
      <c r="AH18" s="35">
        <v>20.0</v>
      </c>
      <c r="AI18" s="95"/>
      <c r="AJ18" s="95"/>
      <c r="AK18" s="35" t="s">
        <v>105</v>
      </c>
      <c r="AL18" s="35">
        <v>16.0</v>
      </c>
      <c r="AM18" s="35" t="s">
        <v>105</v>
      </c>
      <c r="AN18" s="35">
        <v>20.0</v>
      </c>
      <c r="AO18" s="35" t="s">
        <v>105</v>
      </c>
      <c r="AP18" s="35">
        <v>11.0</v>
      </c>
      <c r="AQ18" s="35" t="s">
        <v>105</v>
      </c>
      <c r="AR18" s="35">
        <v>20.0</v>
      </c>
      <c r="AS18" s="35" t="s">
        <v>105</v>
      </c>
      <c r="AT18" s="35">
        <v>20.0</v>
      </c>
      <c r="AU18" s="95"/>
      <c r="AV18" s="95"/>
      <c r="AW18" s="35" t="s">
        <v>105</v>
      </c>
      <c r="AX18" s="35">
        <v>12.0</v>
      </c>
      <c r="AY18" s="35" t="s">
        <v>105</v>
      </c>
      <c r="AZ18" s="35">
        <v>15.0</v>
      </c>
    </row>
    <row r="19">
      <c r="A19" s="35" t="s">
        <v>95</v>
      </c>
      <c r="B19" s="35">
        <v>6.0</v>
      </c>
      <c r="C19" s="35" t="s">
        <v>95</v>
      </c>
      <c r="D19" s="35">
        <v>3.0</v>
      </c>
      <c r="E19" s="35" t="s">
        <v>95</v>
      </c>
      <c r="F19" s="35">
        <v>6.0</v>
      </c>
      <c r="G19" s="35" t="s">
        <v>95</v>
      </c>
      <c r="H19" s="35">
        <v>6.0</v>
      </c>
      <c r="I19" s="35" t="s">
        <v>95</v>
      </c>
      <c r="J19" s="35">
        <v>7.0</v>
      </c>
      <c r="M19" s="35" t="s">
        <v>95</v>
      </c>
      <c r="N19" s="35">
        <v>4.0</v>
      </c>
      <c r="O19" s="35" t="s">
        <v>95</v>
      </c>
      <c r="P19" s="35">
        <v>3.0</v>
      </c>
      <c r="Q19" s="35" t="s">
        <v>95</v>
      </c>
      <c r="R19" s="35">
        <v>4.0</v>
      </c>
      <c r="S19" s="35" t="s">
        <v>95</v>
      </c>
      <c r="T19" s="35">
        <v>7.0</v>
      </c>
      <c r="U19" s="35" t="s">
        <v>95</v>
      </c>
      <c r="V19" s="35">
        <v>7.0</v>
      </c>
      <c r="Y19" s="35" t="s">
        <v>95</v>
      </c>
      <c r="Z19" s="35">
        <v>5.0</v>
      </c>
      <c r="AA19" s="35" t="s">
        <v>95</v>
      </c>
      <c r="AB19" s="35">
        <v>2.0</v>
      </c>
      <c r="AC19" s="35" t="s">
        <v>95</v>
      </c>
      <c r="AD19" s="35">
        <v>3.0</v>
      </c>
      <c r="AE19" s="35" t="s">
        <v>95</v>
      </c>
      <c r="AF19" s="35">
        <v>11.0</v>
      </c>
      <c r="AG19" s="35" t="s">
        <v>95</v>
      </c>
      <c r="AH19" s="35">
        <v>6.0</v>
      </c>
      <c r="AI19" s="95"/>
      <c r="AJ19" s="95"/>
      <c r="AK19" s="35" t="s">
        <v>95</v>
      </c>
      <c r="AL19" s="35">
        <v>5.0</v>
      </c>
      <c r="AM19" s="35" t="s">
        <v>95</v>
      </c>
      <c r="AN19" s="35">
        <v>6.0</v>
      </c>
      <c r="AO19" s="35" t="s">
        <v>95</v>
      </c>
      <c r="AP19" s="35">
        <v>4.0</v>
      </c>
      <c r="AQ19" s="35" t="s">
        <v>95</v>
      </c>
      <c r="AR19" s="35">
        <v>8.0</v>
      </c>
      <c r="AS19" s="35" t="s">
        <v>95</v>
      </c>
      <c r="AT19" s="35">
        <v>6.0</v>
      </c>
      <c r="AU19" s="95"/>
      <c r="AV19" s="95"/>
      <c r="AW19" s="35" t="s">
        <v>95</v>
      </c>
      <c r="AX19" s="35">
        <v>3.0</v>
      </c>
      <c r="AY19" s="35" t="s">
        <v>95</v>
      </c>
      <c r="AZ19" s="35">
        <v>9.0</v>
      </c>
    </row>
    <row r="20">
      <c r="A20" s="35" t="s">
        <v>117</v>
      </c>
      <c r="B20" s="35">
        <v>2.0</v>
      </c>
      <c r="C20" s="35" t="s">
        <v>117</v>
      </c>
      <c r="D20" s="35">
        <v>6.0</v>
      </c>
      <c r="E20" s="35" t="s">
        <v>117</v>
      </c>
      <c r="F20" s="35">
        <v>7.0</v>
      </c>
      <c r="G20" s="35" t="s">
        <v>117</v>
      </c>
      <c r="H20" s="35">
        <v>4.0</v>
      </c>
      <c r="I20" s="35" t="s">
        <v>117</v>
      </c>
      <c r="J20" s="35">
        <v>10.0</v>
      </c>
      <c r="M20" s="35" t="s">
        <v>117</v>
      </c>
      <c r="N20" s="35">
        <v>3.0</v>
      </c>
      <c r="O20" s="35" t="s">
        <v>117</v>
      </c>
      <c r="P20" s="35">
        <v>2.0</v>
      </c>
      <c r="Q20" s="35" t="s">
        <v>117</v>
      </c>
      <c r="R20" s="35">
        <v>9.0</v>
      </c>
      <c r="S20" s="35" t="s">
        <v>117</v>
      </c>
      <c r="T20" s="35">
        <v>5.0</v>
      </c>
      <c r="U20" s="35" t="s">
        <v>117</v>
      </c>
      <c r="V20" s="35">
        <v>2.0</v>
      </c>
      <c r="Y20" s="35" t="s">
        <v>117</v>
      </c>
      <c r="Z20" s="35">
        <v>2.0</v>
      </c>
      <c r="AA20" s="35" t="s">
        <v>117</v>
      </c>
      <c r="AB20" s="35">
        <v>3.0</v>
      </c>
      <c r="AC20" s="35" t="s">
        <v>117</v>
      </c>
      <c r="AD20" s="35">
        <v>8.0</v>
      </c>
      <c r="AE20" s="35" t="s">
        <v>117</v>
      </c>
      <c r="AF20" s="35">
        <v>3.0</v>
      </c>
      <c r="AG20" s="35" t="s">
        <v>117</v>
      </c>
      <c r="AH20" s="35">
        <v>6.0</v>
      </c>
      <c r="AI20" s="95"/>
      <c r="AJ20" s="95"/>
      <c r="AK20" s="35" t="s">
        <v>117</v>
      </c>
      <c r="AL20" s="35">
        <v>4.0</v>
      </c>
      <c r="AM20" s="35" t="s">
        <v>117</v>
      </c>
      <c r="AN20" s="35">
        <v>4.0</v>
      </c>
      <c r="AO20" s="35" t="s">
        <v>117</v>
      </c>
      <c r="AP20" s="35">
        <v>7.0</v>
      </c>
      <c r="AQ20" s="35" t="s">
        <v>117</v>
      </c>
      <c r="AR20" s="35">
        <v>5.0</v>
      </c>
      <c r="AS20" s="35" t="s">
        <v>117</v>
      </c>
      <c r="AT20" s="35">
        <v>11.0</v>
      </c>
      <c r="AU20" s="95"/>
      <c r="AV20" s="95"/>
      <c r="AW20" s="35" t="s">
        <v>117</v>
      </c>
      <c r="AX20" s="35">
        <v>6.0</v>
      </c>
      <c r="AY20" s="35" t="s">
        <v>117</v>
      </c>
      <c r="AZ20" s="35">
        <v>3.0</v>
      </c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M21" s="8"/>
      <c r="N21" s="8"/>
      <c r="O21" s="8"/>
      <c r="P21" s="8"/>
      <c r="Q21" s="8"/>
      <c r="R21" s="8"/>
      <c r="S21" s="8"/>
      <c r="T21" s="8"/>
      <c r="U21" s="8"/>
      <c r="V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3"/>
      <c r="AJ21" s="93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93"/>
      <c r="AV21" s="93"/>
      <c r="AW21" s="8"/>
      <c r="AX21" s="8"/>
      <c r="AY21" s="8"/>
      <c r="AZ21" s="8"/>
    </row>
    <row r="22">
      <c r="A22" s="8"/>
      <c r="B22" s="69">
        <v>78.0</v>
      </c>
      <c r="C22" s="8"/>
      <c r="D22" s="69">
        <v>79.0</v>
      </c>
      <c r="E22" s="8"/>
      <c r="F22" s="69">
        <v>68.0</v>
      </c>
      <c r="G22" s="8"/>
      <c r="H22" s="69">
        <v>75.0</v>
      </c>
      <c r="I22" s="8"/>
      <c r="J22" s="69">
        <v>88.0</v>
      </c>
      <c r="M22" s="8"/>
      <c r="N22" s="69">
        <v>76.0</v>
      </c>
      <c r="O22" s="8"/>
      <c r="P22" s="69">
        <v>84.0</v>
      </c>
      <c r="Q22" s="8"/>
      <c r="R22" s="69">
        <v>67.0</v>
      </c>
      <c r="S22" s="8"/>
      <c r="T22" s="69">
        <v>83.0</v>
      </c>
      <c r="U22" s="8"/>
      <c r="V22" s="69">
        <v>86.0</v>
      </c>
      <c r="Y22" s="8"/>
      <c r="Z22" s="69">
        <v>77.0</v>
      </c>
      <c r="AA22" s="69"/>
      <c r="AB22" s="69">
        <v>84.0</v>
      </c>
      <c r="AC22" s="69"/>
      <c r="AD22" s="69">
        <v>65.0</v>
      </c>
      <c r="AE22" s="69"/>
      <c r="AF22" s="69">
        <v>77.0</v>
      </c>
      <c r="AG22" s="69"/>
      <c r="AH22" s="69">
        <v>90.0</v>
      </c>
      <c r="AI22" s="92"/>
      <c r="AJ22" s="92"/>
      <c r="AK22" s="69"/>
      <c r="AL22" s="69">
        <v>82.0</v>
      </c>
      <c r="AM22" s="69"/>
      <c r="AN22" s="69">
        <v>78.0</v>
      </c>
      <c r="AO22" s="69"/>
      <c r="AP22" s="69">
        <v>68.0</v>
      </c>
      <c r="AQ22" s="69"/>
      <c r="AR22" s="69">
        <v>79.0</v>
      </c>
      <c r="AS22" s="69"/>
      <c r="AT22" s="69">
        <v>85.0</v>
      </c>
      <c r="AU22" s="92"/>
      <c r="AV22" s="92"/>
      <c r="AW22" s="69"/>
      <c r="AX22" s="69">
        <v>76.0</v>
      </c>
      <c r="AY22" s="69"/>
      <c r="AZ22" s="69">
        <v>86.0</v>
      </c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M23" s="8"/>
      <c r="N23" s="8"/>
      <c r="O23" s="8"/>
      <c r="P23" s="8"/>
      <c r="Q23" s="8"/>
      <c r="R23" s="8"/>
      <c r="S23" s="8"/>
      <c r="T23" s="8"/>
      <c r="U23" s="8"/>
      <c r="V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3"/>
      <c r="AJ23" s="93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93"/>
      <c r="AV23" s="93"/>
      <c r="AW23" s="8"/>
      <c r="AX23" s="8"/>
      <c r="AY23" s="8"/>
      <c r="AZ23" s="8"/>
    </row>
    <row r="24">
      <c r="A24" s="35" t="s">
        <v>336</v>
      </c>
      <c r="B24" s="35">
        <v>2.0</v>
      </c>
      <c r="C24" s="35" t="s">
        <v>336</v>
      </c>
      <c r="D24" s="35">
        <v>1.0</v>
      </c>
      <c r="E24" s="35" t="s">
        <v>337</v>
      </c>
      <c r="F24" s="35">
        <v>2.0</v>
      </c>
      <c r="G24" s="35" t="s">
        <v>337</v>
      </c>
      <c r="H24" s="35">
        <v>1.0</v>
      </c>
      <c r="I24" s="35" t="s">
        <v>336</v>
      </c>
      <c r="J24" s="35">
        <v>3.0</v>
      </c>
      <c r="M24" s="35" t="s">
        <v>336</v>
      </c>
      <c r="N24" s="35">
        <v>1.0</v>
      </c>
      <c r="O24" s="35" t="s">
        <v>336</v>
      </c>
      <c r="P24" s="35">
        <v>1.0</v>
      </c>
      <c r="Q24" s="35" t="s">
        <v>337</v>
      </c>
      <c r="R24" s="35">
        <v>1.0</v>
      </c>
      <c r="S24" s="35" t="s">
        <v>336</v>
      </c>
      <c r="T24" s="35">
        <v>1.0</v>
      </c>
      <c r="U24" s="35" t="s">
        <v>336</v>
      </c>
      <c r="V24" s="35">
        <v>1.0</v>
      </c>
      <c r="Y24" s="35" t="s">
        <v>336</v>
      </c>
      <c r="Z24" s="35">
        <v>2.0</v>
      </c>
      <c r="AA24" s="35" t="s">
        <v>335</v>
      </c>
      <c r="AB24" s="35">
        <v>2.0</v>
      </c>
      <c r="AC24" s="35" t="s">
        <v>336</v>
      </c>
      <c r="AD24" s="35">
        <v>1.0</v>
      </c>
      <c r="AE24" s="35" t="s">
        <v>336</v>
      </c>
      <c r="AF24" s="35">
        <v>1.0</v>
      </c>
      <c r="AG24" s="35" t="s">
        <v>336</v>
      </c>
      <c r="AH24" s="35">
        <v>1.0</v>
      </c>
      <c r="AI24" s="95"/>
      <c r="AJ24" s="95"/>
      <c r="AK24" s="35" t="s">
        <v>335</v>
      </c>
      <c r="AL24" s="35">
        <v>1.0</v>
      </c>
      <c r="AM24" s="35" t="s">
        <v>336</v>
      </c>
      <c r="AN24" s="35">
        <v>1.0</v>
      </c>
      <c r="AO24" s="35" t="s">
        <v>336</v>
      </c>
      <c r="AP24" s="35">
        <v>1.0</v>
      </c>
      <c r="AQ24" s="35" t="s">
        <v>335</v>
      </c>
      <c r="AR24" s="35">
        <v>4.0</v>
      </c>
      <c r="AS24" s="35" t="s">
        <v>335</v>
      </c>
      <c r="AT24" s="35">
        <v>6.0</v>
      </c>
      <c r="AU24" s="95"/>
      <c r="AV24" s="95"/>
      <c r="AW24" s="35" t="s">
        <v>335</v>
      </c>
      <c r="AX24" s="35">
        <v>2.0</v>
      </c>
      <c r="AY24" s="35" t="s">
        <v>336</v>
      </c>
      <c r="AZ24" s="35">
        <v>1.0</v>
      </c>
    </row>
    <row r="25">
      <c r="A25" s="35" t="s">
        <v>337</v>
      </c>
      <c r="B25" s="35">
        <v>1.0</v>
      </c>
      <c r="C25" s="35" t="s">
        <v>335</v>
      </c>
      <c r="D25" s="35">
        <v>1.0</v>
      </c>
      <c r="E25" s="35" t="s">
        <v>335</v>
      </c>
      <c r="F25" s="35">
        <v>5.0</v>
      </c>
      <c r="G25" s="35" t="s">
        <v>335</v>
      </c>
      <c r="H25" s="35">
        <v>3.0</v>
      </c>
      <c r="I25" s="35" t="s">
        <v>337</v>
      </c>
      <c r="J25" s="35">
        <v>1.0</v>
      </c>
      <c r="M25" s="35" t="s">
        <v>337</v>
      </c>
      <c r="N25" s="35">
        <v>3.0</v>
      </c>
      <c r="O25" s="35" t="s">
        <v>335</v>
      </c>
      <c r="P25" s="35">
        <v>2.0</v>
      </c>
      <c r="Q25" s="35" t="s">
        <v>335</v>
      </c>
      <c r="R25" s="35">
        <v>4.0</v>
      </c>
      <c r="S25" s="35" t="s">
        <v>337</v>
      </c>
      <c r="T25" s="35">
        <v>1.0</v>
      </c>
      <c r="U25" s="35" t="s">
        <v>335</v>
      </c>
      <c r="V25" s="35">
        <v>3.0</v>
      </c>
      <c r="Y25" s="35" t="s">
        <v>337</v>
      </c>
      <c r="Z25" s="35">
        <v>2.0</v>
      </c>
      <c r="AA25" s="35" t="s">
        <v>340</v>
      </c>
      <c r="AB25" s="35">
        <v>5.0</v>
      </c>
      <c r="AC25" s="35" t="s">
        <v>337</v>
      </c>
      <c r="AD25" s="35">
        <v>1.0</v>
      </c>
      <c r="AE25" s="35" t="s">
        <v>335</v>
      </c>
      <c r="AF25" s="35">
        <v>3.0</v>
      </c>
      <c r="AG25" s="35" t="s">
        <v>337</v>
      </c>
      <c r="AH25" s="35">
        <v>1.0</v>
      </c>
      <c r="AI25" s="95"/>
      <c r="AJ25" s="95"/>
      <c r="AK25" s="35" t="s">
        <v>340</v>
      </c>
      <c r="AL25" s="35">
        <v>3.0</v>
      </c>
      <c r="AM25" s="35" t="s">
        <v>335</v>
      </c>
      <c r="AN25" s="35">
        <v>1.0</v>
      </c>
      <c r="AO25" s="35" t="s">
        <v>335</v>
      </c>
      <c r="AP25" s="35">
        <v>4.0</v>
      </c>
      <c r="AQ25" s="35" t="s">
        <v>340</v>
      </c>
      <c r="AR25" s="35">
        <v>6.0</v>
      </c>
      <c r="AS25" s="35" t="s">
        <v>340</v>
      </c>
      <c r="AT25" s="35">
        <v>3.0</v>
      </c>
      <c r="AU25" s="95"/>
      <c r="AV25" s="95"/>
      <c r="AW25" s="35" t="s">
        <v>340</v>
      </c>
      <c r="AX25" s="35">
        <v>2.0</v>
      </c>
      <c r="AY25" s="35" t="s">
        <v>335</v>
      </c>
      <c r="AZ25" s="35">
        <v>5.0</v>
      </c>
    </row>
    <row r="26">
      <c r="A26" s="35" t="s">
        <v>335</v>
      </c>
      <c r="B26" s="35">
        <v>3.0</v>
      </c>
      <c r="C26" s="35" t="s">
        <v>340</v>
      </c>
      <c r="D26" s="35">
        <v>1.0</v>
      </c>
      <c r="E26" s="35" t="s">
        <v>340</v>
      </c>
      <c r="F26" s="35">
        <v>2.0</v>
      </c>
      <c r="G26" s="35" t="s">
        <v>340</v>
      </c>
      <c r="H26" s="35">
        <v>3.0</v>
      </c>
      <c r="I26" s="35" t="s">
        <v>335</v>
      </c>
      <c r="J26" s="35">
        <v>7.0</v>
      </c>
      <c r="M26" s="35" t="s">
        <v>335</v>
      </c>
      <c r="N26" s="35">
        <v>2.0</v>
      </c>
      <c r="O26" s="35" t="s">
        <v>340</v>
      </c>
      <c r="P26" s="35">
        <v>2.0</v>
      </c>
      <c r="Q26" s="35" t="s">
        <v>340</v>
      </c>
      <c r="R26" s="35">
        <v>4.0</v>
      </c>
      <c r="S26" s="35" t="s">
        <v>335</v>
      </c>
      <c r="T26" s="35">
        <v>5.0</v>
      </c>
      <c r="U26" s="35" t="s">
        <v>340</v>
      </c>
      <c r="V26" s="35">
        <v>6.0</v>
      </c>
      <c r="Y26" s="35" t="s">
        <v>335</v>
      </c>
      <c r="Z26" s="35">
        <v>1.0</v>
      </c>
      <c r="AA26" s="35" t="s">
        <v>343</v>
      </c>
      <c r="AB26" s="35">
        <v>3.0</v>
      </c>
      <c r="AC26" s="35" t="s">
        <v>335</v>
      </c>
      <c r="AD26" s="35">
        <v>3.0</v>
      </c>
      <c r="AE26" s="35" t="s">
        <v>340</v>
      </c>
      <c r="AF26" s="35">
        <v>7.0</v>
      </c>
      <c r="AG26" s="35" t="s">
        <v>335</v>
      </c>
      <c r="AH26" s="35">
        <v>3.0</v>
      </c>
      <c r="AI26" s="95"/>
      <c r="AJ26" s="95"/>
      <c r="AK26" s="35" t="s">
        <v>343</v>
      </c>
      <c r="AL26" s="35">
        <v>2.0</v>
      </c>
      <c r="AM26" s="35" t="s">
        <v>340</v>
      </c>
      <c r="AN26" s="35">
        <v>1.0</v>
      </c>
      <c r="AO26" s="35" t="s">
        <v>340</v>
      </c>
      <c r="AP26" s="35">
        <v>3.0</v>
      </c>
      <c r="AQ26" s="35" t="s">
        <v>343</v>
      </c>
      <c r="AR26" s="35">
        <v>3.0</v>
      </c>
      <c r="AS26" s="35" t="s">
        <v>343</v>
      </c>
      <c r="AT26" s="35">
        <v>2.0</v>
      </c>
      <c r="AU26" s="95"/>
      <c r="AV26" s="95"/>
      <c r="AW26" s="35" t="s">
        <v>343</v>
      </c>
      <c r="AX26" s="35">
        <v>3.0</v>
      </c>
      <c r="AY26" s="35" t="s">
        <v>340</v>
      </c>
      <c r="AZ26" s="35">
        <v>3.0</v>
      </c>
    </row>
    <row r="27">
      <c r="A27" s="35" t="s">
        <v>340</v>
      </c>
      <c r="B27" s="35">
        <v>2.0</v>
      </c>
      <c r="C27" s="35" t="s">
        <v>343</v>
      </c>
      <c r="D27" s="35">
        <v>4.0</v>
      </c>
      <c r="E27" s="35" t="s">
        <v>346</v>
      </c>
      <c r="F27" s="35">
        <v>5.0</v>
      </c>
      <c r="G27" s="35" t="s">
        <v>343</v>
      </c>
      <c r="H27" s="35">
        <v>4.0</v>
      </c>
      <c r="I27" s="109" t="s">
        <v>340</v>
      </c>
      <c r="J27" s="35">
        <v>4.0</v>
      </c>
      <c r="M27" s="109" t="s">
        <v>340</v>
      </c>
      <c r="N27" s="35">
        <v>2.0</v>
      </c>
      <c r="O27" s="35" t="s">
        <v>343</v>
      </c>
      <c r="P27" s="35">
        <v>3.0</v>
      </c>
      <c r="Q27" s="35" t="s">
        <v>348</v>
      </c>
      <c r="R27" s="35">
        <v>1.0</v>
      </c>
      <c r="S27" s="35" t="s">
        <v>340</v>
      </c>
      <c r="T27" s="35">
        <v>8.0</v>
      </c>
      <c r="U27" s="35" t="s">
        <v>343</v>
      </c>
      <c r="V27" s="35">
        <v>4.0</v>
      </c>
      <c r="Y27" s="35" t="s">
        <v>340</v>
      </c>
      <c r="Z27" s="35">
        <v>3.0</v>
      </c>
      <c r="AA27" s="35" t="s">
        <v>348</v>
      </c>
      <c r="AB27" s="35">
        <v>1.0</v>
      </c>
      <c r="AC27" s="35" t="s">
        <v>340</v>
      </c>
      <c r="AD27" s="35">
        <v>3.0</v>
      </c>
      <c r="AE27" s="35" t="s">
        <v>343</v>
      </c>
      <c r="AF27" s="35">
        <v>1.0</v>
      </c>
      <c r="AG27" s="35" t="s">
        <v>340</v>
      </c>
      <c r="AH27" s="35">
        <v>6.0</v>
      </c>
      <c r="AI27" s="95"/>
      <c r="AJ27" s="95"/>
      <c r="AK27" s="35" t="s">
        <v>346</v>
      </c>
      <c r="AL27" s="35">
        <v>1.0</v>
      </c>
      <c r="AM27" s="35" t="s">
        <v>343</v>
      </c>
      <c r="AN27" s="35">
        <v>3.0</v>
      </c>
      <c r="AO27" s="35" t="s">
        <v>343</v>
      </c>
      <c r="AP27" s="35">
        <v>3.0</v>
      </c>
      <c r="AQ27" s="35" t="s">
        <v>348</v>
      </c>
      <c r="AR27" s="35">
        <v>2.0</v>
      </c>
      <c r="AS27" s="35" t="s">
        <v>346</v>
      </c>
      <c r="AT27" s="35">
        <v>4.0</v>
      </c>
      <c r="AU27" s="95"/>
      <c r="AV27" s="95"/>
      <c r="AW27" s="109" t="s">
        <v>348</v>
      </c>
      <c r="AX27" s="35">
        <v>1.0</v>
      </c>
      <c r="AY27" s="35" t="s">
        <v>343</v>
      </c>
      <c r="AZ27" s="35">
        <v>5.0</v>
      </c>
    </row>
    <row r="28">
      <c r="A28" s="109" t="s">
        <v>343</v>
      </c>
      <c r="B28" s="35">
        <v>4.0</v>
      </c>
      <c r="C28" s="35" t="s">
        <v>348</v>
      </c>
      <c r="D28" s="35">
        <v>3.0</v>
      </c>
      <c r="E28" s="35" t="s">
        <v>352</v>
      </c>
      <c r="F28" s="35">
        <v>2.0</v>
      </c>
      <c r="G28" s="35" t="s">
        <v>346</v>
      </c>
      <c r="H28" s="35">
        <v>3.0</v>
      </c>
      <c r="I28" s="109" t="s">
        <v>343</v>
      </c>
      <c r="J28" s="35">
        <v>2.0</v>
      </c>
      <c r="M28" s="109" t="s">
        <v>343</v>
      </c>
      <c r="N28" s="35">
        <v>3.0</v>
      </c>
      <c r="O28" s="35" t="s">
        <v>346</v>
      </c>
      <c r="P28" s="35">
        <v>3.0</v>
      </c>
      <c r="Q28" s="35" t="s">
        <v>346</v>
      </c>
      <c r="R28" s="35">
        <v>3.0</v>
      </c>
      <c r="S28" s="35" t="s">
        <v>343</v>
      </c>
      <c r="T28" s="35">
        <v>1.0</v>
      </c>
      <c r="U28" s="35" t="s">
        <v>346</v>
      </c>
      <c r="V28" s="35">
        <v>4.0</v>
      </c>
      <c r="Y28" s="35" t="s">
        <v>343</v>
      </c>
      <c r="Z28" s="35">
        <v>4.0</v>
      </c>
      <c r="AA28" s="35" t="s">
        <v>346</v>
      </c>
      <c r="AB28" s="35">
        <v>3.0</v>
      </c>
      <c r="AC28" s="35" t="s">
        <v>343</v>
      </c>
      <c r="AD28" s="35">
        <v>1.0</v>
      </c>
      <c r="AE28" s="35" t="s">
        <v>348</v>
      </c>
      <c r="AF28" s="35">
        <v>2.0</v>
      </c>
      <c r="AG28" s="35" t="s">
        <v>343</v>
      </c>
      <c r="AH28" s="35">
        <v>1.0</v>
      </c>
      <c r="AI28" s="95"/>
      <c r="AJ28" s="95"/>
      <c r="AK28" s="109" t="s">
        <v>352</v>
      </c>
      <c r="AL28" s="35">
        <v>3.0</v>
      </c>
      <c r="AM28" s="35" t="s">
        <v>348</v>
      </c>
      <c r="AN28" s="35">
        <v>1.0</v>
      </c>
      <c r="AO28" s="35" t="s">
        <v>348</v>
      </c>
      <c r="AP28" s="35">
        <v>1.0</v>
      </c>
      <c r="AQ28" s="35" t="s">
        <v>346</v>
      </c>
      <c r="AR28" s="35">
        <v>3.0</v>
      </c>
      <c r="AS28" s="35" t="s">
        <v>352</v>
      </c>
      <c r="AT28" s="35">
        <v>3.0</v>
      </c>
      <c r="AU28" s="95"/>
      <c r="AV28" s="95"/>
      <c r="AW28" s="109" t="s">
        <v>346</v>
      </c>
      <c r="AX28" s="35">
        <v>1.0</v>
      </c>
      <c r="AY28" s="35" t="s">
        <v>346</v>
      </c>
      <c r="AZ28" s="35">
        <v>5.0</v>
      </c>
    </row>
    <row r="29">
      <c r="A29" s="109" t="s">
        <v>346</v>
      </c>
      <c r="B29" s="35">
        <v>2.0</v>
      </c>
      <c r="C29" s="35" t="s">
        <v>346</v>
      </c>
      <c r="D29" s="35">
        <v>4.0</v>
      </c>
      <c r="E29" s="35" t="s">
        <v>365</v>
      </c>
      <c r="F29" s="35">
        <v>1.0</v>
      </c>
      <c r="G29" s="35" t="s">
        <v>352</v>
      </c>
      <c r="H29" s="35">
        <v>4.0</v>
      </c>
      <c r="I29" s="109" t="s">
        <v>346</v>
      </c>
      <c r="J29" s="35">
        <v>1.0</v>
      </c>
      <c r="M29" s="109" t="s">
        <v>346</v>
      </c>
      <c r="N29" s="35">
        <v>1.0</v>
      </c>
      <c r="O29" s="35" t="s">
        <v>352</v>
      </c>
      <c r="P29" s="35">
        <v>1.0</v>
      </c>
      <c r="Q29" s="35" t="s">
        <v>352</v>
      </c>
      <c r="R29" s="35">
        <v>2.0</v>
      </c>
      <c r="S29" s="35" t="s">
        <v>348</v>
      </c>
      <c r="T29" s="35">
        <v>3.0</v>
      </c>
      <c r="U29" s="35" t="s">
        <v>352</v>
      </c>
      <c r="V29" s="35">
        <v>1.0</v>
      </c>
      <c r="Y29" s="35" t="s">
        <v>346</v>
      </c>
      <c r="Z29" s="35">
        <v>3.0</v>
      </c>
      <c r="AA29" s="35" t="s">
        <v>352</v>
      </c>
      <c r="AB29" s="35">
        <v>2.0</v>
      </c>
      <c r="AC29" s="35" t="s">
        <v>348</v>
      </c>
      <c r="AD29" s="35">
        <v>1.0</v>
      </c>
      <c r="AE29" s="35" t="s">
        <v>346</v>
      </c>
      <c r="AF29" s="35">
        <v>2.0</v>
      </c>
      <c r="AG29" s="35" t="s">
        <v>346</v>
      </c>
      <c r="AH29" s="35">
        <v>3.0</v>
      </c>
      <c r="AI29" s="95"/>
      <c r="AJ29" s="95"/>
      <c r="AK29" s="109" t="s">
        <v>356</v>
      </c>
      <c r="AL29" s="35">
        <v>1.0</v>
      </c>
      <c r="AM29" s="35" t="s">
        <v>346</v>
      </c>
      <c r="AN29" s="35">
        <v>5.0</v>
      </c>
      <c r="AO29" s="35" t="s">
        <v>346</v>
      </c>
      <c r="AP29" s="35">
        <v>1.0</v>
      </c>
      <c r="AQ29" s="35" t="s">
        <v>352</v>
      </c>
      <c r="AR29" s="35">
        <v>3.0</v>
      </c>
      <c r="AS29" s="35" t="s">
        <v>356</v>
      </c>
      <c r="AT29" s="35">
        <v>1.0</v>
      </c>
      <c r="AU29" s="95"/>
      <c r="AV29" s="95"/>
      <c r="AW29" s="35" t="s">
        <v>352</v>
      </c>
      <c r="AX29" s="35">
        <v>2.0</v>
      </c>
      <c r="AY29" s="35" t="s">
        <v>356</v>
      </c>
      <c r="AZ29" s="35">
        <v>1.0</v>
      </c>
    </row>
    <row r="30">
      <c r="A30" s="109" t="s">
        <v>352</v>
      </c>
      <c r="B30" s="35">
        <v>1.0</v>
      </c>
      <c r="C30" s="35" t="s">
        <v>352</v>
      </c>
      <c r="D30" s="35">
        <v>1.0</v>
      </c>
      <c r="E30" s="35" t="s">
        <v>359</v>
      </c>
      <c r="F30" s="35">
        <v>1.0</v>
      </c>
      <c r="G30" s="35" t="s">
        <v>365</v>
      </c>
      <c r="H30" s="35">
        <v>1.0</v>
      </c>
      <c r="I30" s="109" t="s">
        <v>352</v>
      </c>
      <c r="J30" s="35">
        <v>1.0</v>
      </c>
      <c r="M30" s="35" t="s">
        <v>352</v>
      </c>
      <c r="N30" s="35">
        <v>2.0</v>
      </c>
      <c r="O30" s="35" t="s">
        <v>361</v>
      </c>
      <c r="P30" s="35">
        <v>1.0</v>
      </c>
      <c r="Q30" s="35" t="s">
        <v>359</v>
      </c>
      <c r="R30" s="35">
        <v>1.0</v>
      </c>
      <c r="S30" s="35" t="s">
        <v>346</v>
      </c>
      <c r="T30" s="35">
        <v>4.0</v>
      </c>
      <c r="U30" s="109" t="s">
        <v>361</v>
      </c>
      <c r="V30" s="35">
        <v>1.0</v>
      </c>
      <c r="Y30" s="35" t="s">
        <v>352</v>
      </c>
      <c r="Z30" s="35">
        <v>1.0</v>
      </c>
      <c r="AA30" s="35" t="s">
        <v>356</v>
      </c>
      <c r="AB30" s="35">
        <v>2.0</v>
      </c>
      <c r="AC30" s="35" t="s">
        <v>346</v>
      </c>
      <c r="AD30" s="35">
        <v>2.0</v>
      </c>
      <c r="AE30" s="35" t="s">
        <v>352</v>
      </c>
      <c r="AF30" s="35">
        <v>3.0</v>
      </c>
      <c r="AG30" s="109" t="s">
        <v>352</v>
      </c>
      <c r="AH30" s="35">
        <v>4.0</v>
      </c>
      <c r="AI30" s="95"/>
      <c r="AJ30" s="95"/>
      <c r="AK30" s="109" t="s">
        <v>365</v>
      </c>
      <c r="AL30" s="35">
        <v>1.0</v>
      </c>
      <c r="AM30" s="35" t="s">
        <v>352</v>
      </c>
      <c r="AN30" s="35">
        <v>2.0</v>
      </c>
      <c r="AO30" s="35" t="s">
        <v>352</v>
      </c>
      <c r="AP30" s="35">
        <v>3.0</v>
      </c>
      <c r="AQ30" s="35" t="s">
        <v>356</v>
      </c>
      <c r="AR30" s="35">
        <v>1.0</v>
      </c>
      <c r="AS30" s="109" t="s">
        <v>365</v>
      </c>
      <c r="AT30" s="35">
        <v>2.0</v>
      </c>
      <c r="AU30" s="95"/>
      <c r="AV30" s="95"/>
      <c r="AW30" s="35" t="s">
        <v>356</v>
      </c>
      <c r="AX30" s="35">
        <v>1.0</v>
      </c>
      <c r="AY30" s="35" t="s">
        <v>365</v>
      </c>
      <c r="AZ30" s="35">
        <v>2.0</v>
      </c>
    </row>
    <row r="31">
      <c r="A31" s="35" t="s">
        <v>356</v>
      </c>
      <c r="B31" s="35">
        <v>2.0</v>
      </c>
      <c r="C31" s="35" t="s">
        <v>356</v>
      </c>
      <c r="D31" s="35">
        <v>1.0</v>
      </c>
      <c r="E31" s="35" t="s">
        <v>364</v>
      </c>
      <c r="F31" s="35">
        <v>1.0</v>
      </c>
      <c r="G31" s="35" t="s">
        <v>367</v>
      </c>
      <c r="H31" s="35">
        <v>2.0</v>
      </c>
      <c r="I31" s="109" t="s">
        <v>365</v>
      </c>
      <c r="J31" s="35">
        <v>2.0</v>
      </c>
      <c r="M31" s="35" t="s">
        <v>356</v>
      </c>
      <c r="N31" s="35">
        <v>1.0</v>
      </c>
      <c r="O31" s="35" t="s">
        <v>365</v>
      </c>
      <c r="P31" s="35">
        <v>1.0</v>
      </c>
      <c r="Q31" s="35" t="s">
        <v>364</v>
      </c>
      <c r="R31" s="35">
        <v>3.0</v>
      </c>
      <c r="S31" s="35" t="s">
        <v>352</v>
      </c>
      <c r="T31" s="35">
        <v>2.0</v>
      </c>
      <c r="U31" s="109" t="s">
        <v>365</v>
      </c>
      <c r="V31" s="35">
        <v>1.0</v>
      </c>
      <c r="Y31" s="35" t="s">
        <v>356</v>
      </c>
      <c r="Z31" s="35">
        <v>1.0</v>
      </c>
      <c r="AA31" s="35" t="s">
        <v>365</v>
      </c>
      <c r="AB31" s="35">
        <v>2.0</v>
      </c>
      <c r="AC31" s="35" t="s">
        <v>352</v>
      </c>
      <c r="AD31" s="35">
        <v>3.0</v>
      </c>
      <c r="AE31" s="35" t="s">
        <v>356</v>
      </c>
      <c r="AF31" s="35">
        <v>1.0</v>
      </c>
      <c r="AG31" s="109" t="s">
        <v>356</v>
      </c>
      <c r="AH31" s="35">
        <v>1.0</v>
      </c>
      <c r="AI31" s="95"/>
      <c r="AJ31" s="95"/>
      <c r="AK31" s="109" t="s">
        <v>359</v>
      </c>
      <c r="AL31" s="35">
        <v>2.0</v>
      </c>
      <c r="AM31" s="35" t="s">
        <v>356</v>
      </c>
      <c r="AN31" s="35">
        <v>1.0</v>
      </c>
      <c r="AO31" s="35" t="s">
        <v>365</v>
      </c>
      <c r="AP31" s="35">
        <v>1.0</v>
      </c>
      <c r="AQ31" s="35" t="s">
        <v>365</v>
      </c>
      <c r="AR31" s="35">
        <v>1.0</v>
      </c>
      <c r="AS31" s="109" t="s">
        <v>359</v>
      </c>
      <c r="AT31" s="35">
        <v>2.0</v>
      </c>
      <c r="AU31" s="95"/>
      <c r="AV31" s="95"/>
      <c r="AW31" s="35" t="s">
        <v>359</v>
      </c>
      <c r="AX31" s="35">
        <v>1.0</v>
      </c>
      <c r="AY31" s="35" t="s">
        <v>364</v>
      </c>
      <c r="AZ31" s="35">
        <v>2.0</v>
      </c>
    </row>
    <row r="32">
      <c r="A32" s="35" t="s">
        <v>359</v>
      </c>
      <c r="B32" s="35">
        <v>3.0</v>
      </c>
      <c r="C32" s="35" t="s">
        <v>361</v>
      </c>
      <c r="D32" s="35">
        <v>1.0</v>
      </c>
      <c r="E32" s="35" t="s">
        <v>370</v>
      </c>
      <c r="F32" s="35">
        <v>1.0</v>
      </c>
      <c r="G32" s="35" t="s">
        <v>373</v>
      </c>
      <c r="H32" s="35">
        <v>1.0</v>
      </c>
      <c r="I32" s="109" t="s">
        <v>359</v>
      </c>
      <c r="J32" s="35">
        <v>2.0</v>
      </c>
      <c r="M32" s="35" t="s">
        <v>361</v>
      </c>
      <c r="N32" s="35">
        <v>1.0</v>
      </c>
      <c r="O32" s="35" t="s">
        <v>359</v>
      </c>
      <c r="P32" s="35">
        <v>1.0</v>
      </c>
      <c r="Q32" s="35" t="s">
        <v>367</v>
      </c>
      <c r="R32" s="35">
        <v>3.0</v>
      </c>
      <c r="S32" s="35" t="s">
        <v>364</v>
      </c>
      <c r="T32" s="35">
        <v>1.0</v>
      </c>
      <c r="U32" s="109" t="s">
        <v>359</v>
      </c>
      <c r="V32" s="35">
        <v>2.0</v>
      </c>
      <c r="Y32" s="35" t="s">
        <v>359</v>
      </c>
      <c r="Z32" s="35">
        <v>3.0</v>
      </c>
      <c r="AA32" s="35" t="s">
        <v>359</v>
      </c>
      <c r="AB32" s="35">
        <v>1.0</v>
      </c>
      <c r="AC32" s="35" t="s">
        <v>365</v>
      </c>
      <c r="AD32" s="35">
        <v>1.0</v>
      </c>
      <c r="AE32" s="35" t="s">
        <v>359</v>
      </c>
      <c r="AF32" s="35">
        <v>1.0</v>
      </c>
      <c r="AG32" s="109" t="s">
        <v>365</v>
      </c>
      <c r="AH32" s="35">
        <v>2.0</v>
      </c>
      <c r="AI32" s="95"/>
      <c r="AJ32" s="95"/>
      <c r="AK32" s="35" t="s">
        <v>367</v>
      </c>
      <c r="AL32" s="35">
        <v>4.0</v>
      </c>
      <c r="AM32" s="35" t="s">
        <v>365</v>
      </c>
      <c r="AN32" s="35">
        <v>1.0</v>
      </c>
      <c r="AO32" s="35" t="s">
        <v>359</v>
      </c>
      <c r="AP32" s="35">
        <v>2.0</v>
      </c>
      <c r="AQ32" s="35" t="s">
        <v>367</v>
      </c>
      <c r="AR32" s="35">
        <v>1.0</v>
      </c>
      <c r="AS32" s="109" t="s">
        <v>364</v>
      </c>
      <c r="AT32" s="35">
        <v>1.0</v>
      </c>
      <c r="AU32" s="95"/>
      <c r="AV32" s="95"/>
      <c r="AW32" s="35" t="s">
        <v>364</v>
      </c>
      <c r="AX32" s="35">
        <v>2.0</v>
      </c>
      <c r="AY32" s="35" t="s">
        <v>370</v>
      </c>
      <c r="AZ32" s="35">
        <v>1.0</v>
      </c>
    </row>
    <row r="33">
      <c r="A33" s="35" t="s">
        <v>364</v>
      </c>
      <c r="B33" s="35">
        <v>2.0</v>
      </c>
      <c r="C33" s="35" t="s">
        <v>365</v>
      </c>
      <c r="D33" s="35">
        <v>3.0</v>
      </c>
      <c r="E33" s="35" t="s">
        <v>367</v>
      </c>
      <c r="F33" s="35">
        <v>3.0</v>
      </c>
      <c r="G33" s="109" t="s">
        <v>371</v>
      </c>
      <c r="H33" s="35">
        <v>2.0</v>
      </c>
      <c r="I33" s="109" t="s">
        <v>376</v>
      </c>
      <c r="J33" s="35">
        <v>1.0</v>
      </c>
      <c r="M33" s="35" t="s">
        <v>359</v>
      </c>
      <c r="N33" s="35">
        <v>3.0</v>
      </c>
      <c r="O33" s="35" t="s">
        <v>364</v>
      </c>
      <c r="P33" s="35">
        <v>2.0</v>
      </c>
      <c r="Q33" s="35" t="s">
        <v>371</v>
      </c>
      <c r="R33" s="35">
        <v>2.0</v>
      </c>
      <c r="S33" s="35" t="s">
        <v>370</v>
      </c>
      <c r="T33" s="35">
        <v>1.0</v>
      </c>
      <c r="U33" s="109" t="s">
        <v>371</v>
      </c>
      <c r="V33" s="35">
        <v>1.0</v>
      </c>
      <c r="Y33" s="35" t="s">
        <v>367</v>
      </c>
      <c r="Z33" s="35">
        <v>3.0</v>
      </c>
      <c r="AA33" s="35" t="s">
        <v>364</v>
      </c>
      <c r="AB33" s="35">
        <v>3.0</v>
      </c>
      <c r="AC33" s="35" t="s">
        <v>359</v>
      </c>
      <c r="AD33" s="35">
        <v>2.0</v>
      </c>
      <c r="AE33" s="109" t="s">
        <v>364</v>
      </c>
      <c r="AF33" s="35">
        <v>1.0</v>
      </c>
      <c r="AG33" s="109" t="s">
        <v>359</v>
      </c>
      <c r="AH33" s="35">
        <v>2.0</v>
      </c>
      <c r="AI33" s="95"/>
      <c r="AJ33" s="95"/>
      <c r="AK33" s="35" t="s">
        <v>371</v>
      </c>
      <c r="AL33" s="35">
        <v>5.0</v>
      </c>
      <c r="AM33" s="35" t="s">
        <v>364</v>
      </c>
      <c r="AN33" s="35">
        <v>2.0</v>
      </c>
      <c r="AO33" s="35" t="s">
        <v>364</v>
      </c>
      <c r="AP33" s="35">
        <v>1.0</v>
      </c>
      <c r="AQ33" s="35" t="s">
        <v>373</v>
      </c>
      <c r="AR33" s="35">
        <v>1.0</v>
      </c>
      <c r="AS33" s="109" t="s">
        <v>367</v>
      </c>
      <c r="AT33" s="35">
        <v>1.0</v>
      </c>
      <c r="AU33" s="95"/>
      <c r="AV33" s="95"/>
      <c r="AW33" s="35" t="s">
        <v>367</v>
      </c>
      <c r="AX33" s="35">
        <v>6.0</v>
      </c>
      <c r="AY33" s="35" t="s">
        <v>367</v>
      </c>
      <c r="AZ33" s="35">
        <v>3.0</v>
      </c>
    </row>
    <row r="34">
      <c r="A34" s="35" t="s">
        <v>367</v>
      </c>
      <c r="B34" s="35">
        <v>3.0</v>
      </c>
      <c r="C34" s="35" t="s">
        <v>364</v>
      </c>
      <c r="D34" s="35">
        <v>1.0</v>
      </c>
      <c r="E34" s="35" t="s">
        <v>373</v>
      </c>
      <c r="F34" s="35">
        <v>1.0</v>
      </c>
      <c r="G34" s="109" t="s">
        <v>376</v>
      </c>
      <c r="H34" s="35">
        <v>2.0</v>
      </c>
      <c r="I34" s="109" t="s">
        <v>382</v>
      </c>
      <c r="J34" s="35">
        <v>2.0</v>
      </c>
      <c r="M34" s="35" t="s">
        <v>364</v>
      </c>
      <c r="N34" s="35">
        <v>1.0</v>
      </c>
      <c r="O34" s="35" t="s">
        <v>367</v>
      </c>
      <c r="P34" s="35">
        <v>4.0</v>
      </c>
      <c r="Q34" s="35" t="s">
        <v>376</v>
      </c>
      <c r="R34" s="35">
        <v>1.0</v>
      </c>
      <c r="S34" s="109" t="s">
        <v>367</v>
      </c>
      <c r="T34" s="35">
        <v>1.0</v>
      </c>
      <c r="U34" s="109" t="s">
        <v>384</v>
      </c>
      <c r="V34" s="35">
        <v>1.0</v>
      </c>
      <c r="Y34" s="35" t="s">
        <v>373</v>
      </c>
      <c r="Z34" s="35">
        <v>1.0</v>
      </c>
      <c r="AA34" s="35" t="s">
        <v>370</v>
      </c>
      <c r="AB34" s="35">
        <v>1.0</v>
      </c>
      <c r="AC34" s="35" t="s">
        <v>364</v>
      </c>
      <c r="AD34" s="35">
        <v>2.0</v>
      </c>
      <c r="AE34" s="109" t="s">
        <v>367</v>
      </c>
      <c r="AF34" s="35">
        <v>1.0</v>
      </c>
      <c r="AG34" s="109" t="s">
        <v>371</v>
      </c>
      <c r="AH34" s="35">
        <v>1.0</v>
      </c>
      <c r="AI34" s="95"/>
      <c r="AJ34" s="95"/>
      <c r="AK34" s="35" t="s">
        <v>376</v>
      </c>
      <c r="AL34" s="35">
        <v>3.0</v>
      </c>
      <c r="AM34" s="35" t="s">
        <v>367</v>
      </c>
      <c r="AN34" s="35">
        <v>2.0</v>
      </c>
      <c r="AO34" s="35" t="s">
        <v>367</v>
      </c>
      <c r="AP34" s="35">
        <v>4.0</v>
      </c>
      <c r="AQ34" s="35" t="s">
        <v>371</v>
      </c>
      <c r="AR34" s="35">
        <v>1.0</v>
      </c>
      <c r="AS34" s="109" t="s">
        <v>376</v>
      </c>
      <c r="AT34" s="35">
        <v>4.0</v>
      </c>
      <c r="AU34" s="95"/>
      <c r="AV34" s="95"/>
      <c r="AW34" s="35" t="s">
        <v>371</v>
      </c>
      <c r="AX34" s="35">
        <v>7.0</v>
      </c>
      <c r="AY34" s="35" t="s">
        <v>371</v>
      </c>
      <c r="AZ34" s="35">
        <v>1.0</v>
      </c>
    </row>
    <row r="35">
      <c r="A35" s="35" t="s">
        <v>371</v>
      </c>
      <c r="B35" s="35">
        <v>3.0</v>
      </c>
      <c r="C35" s="35" t="s">
        <v>367</v>
      </c>
      <c r="D35" s="35">
        <v>3.0</v>
      </c>
      <c r="E35" s="35" t="s">
        <v>376</v>
      </c>
      <c r="F35" s="35">
        <v>3.0</v>
      </c>
      <c r="G35" s="109" t="s">
        <v>382</v>
      </c>
      <c r="H35" s="35">
        <v>3.0</v>
      </c>
      <c r="I35" s="109" t="s">
        <v>412</v>
      </c>
      <c r="J35" s="35">
        <v>1.0</v>
      </c>
      <c r="M35" s="35" t="s">
        <v>370</v>
      </c>
      <c r="N35" s="35">
        <v>1.0</v>
      </c>
      <c r="O35" s="35" t="s">
        <v>373</v>
      </c>
      <c r="P35" s="35">
        <v>1.0</v>
      </c>
      <c r="Q35" s="35" t="s">
        <v>382</v>
      </c>
      <c r="R35" s="35">
        <v>4.0</v>
      </c>
      <c r="S35" s="109" t="s">
        <v>376</v>
      </c>
      <c r="T35" s="35">
        <v>2.0</v>
      </c>
      <c r="U35" s="109" t="s">
        <v>376</v>
      </c>
      <c r="V35" s="35">
        <v>3.0</v>
      </c>
      <c r="Y35" s="35" t="s">
        <v>371</v>
      </c>
      <c r="Z35" s="35">
        <v>3.0</v>
      </c>
      <c r="AA35" s="35" t="s">
        <v>367</v>
      </c>
      <c r="AB35" s="35">
        <v>3.0</v>
      </c>
      <c r="AC35" s="35" t="s">
        <v>367</v>
      </c>
      <c r="AD35" s="35">
        <v>5.0</v>
      </c>
      <c r="AE35" s="109" t="s">
        <v>371</v>
      </c>
      <c r="AF35" s="35">
        <v>1.0</v>
      </c>
      <c r="AG35" s="109" t="s">
        <v>376</v>
      </c>
      <c r="AH35" s="35">
        <v>2.0</v>
      </c>
      <c r="AI35" s="95"/>
      <c r="AJ35" s="95"/>
      <c r="AK35" s="35" t="s">
        <v>382</v>
      </c>
      <c r="AL35" s="35">
        <v>4.0</v>
      </c>
      <c r="AM35" s="35" t="s">
        <v>373</v>
      </c>
      <c r="AN35" s="35">
        <v>1.0</v>
      </c>
      <c r="AO35" s="35" t="s">
        <v>373</v>
      </c>
      <c r="AP35" s="35">
        <v>2.0</v>
      </c>
      <c r="AQ35" s="109" t="s">
        <v>382</v>
      </c>
      <c r="AR35" s="35">
        <v>6.0</v>
      </c>
      <c r="AS35" s="109" t="s">
        <v>382</v>
      </c>
      <c r="AT35" s="35">
        <v>3.0</v>
      </c>
      <c r="AU35" s="95"/>
      <c r="AV35" s="95"/>
      <c r="AW35" s="35" t="s">
        <v>376</v>
      </c>
      <c r="AX35" s="35">
        <v>2.0</v>
      </c>
      <c r="AY35" s="35" t="s">
        <v>415</v>
      </c>
      <c r="AZ35" s="35">
        <v>1.0</v>
      </c>
    </row>
    <row r="36">
      <c r="A36" s="35" t="s">
        <v>376</v>
      </c>
      <c r="B36" s="35">
        <v>3.0</v>
      </c>
      <c r="C36" s="35" t="s">
        <v>371</v>
      </c>
      <c r="D36" s="35">
        <v>2.0</v>
      </c>
      <c r="E36" s="35" t="s">
        <v>776</v>
      </c>
      <c r="F36" s="35">
        <v>1.0</v>
      </c>
      <c r="G36" s="109" t="s">
        <v>401</v>
      </c>
      <c r="H36" s="35">
        <v>2.0</v>
      </c>
      <c r="I36" s="35" t="s">
        <v>672</v>
      </c>
      <c r="J36" s="35">
        <v>1.0</v>
      </c>
      <c r="M36" s="35" t="s">
        <v>367</v>
      </c>
      <c r="N36" s="35">
        <v>4.0</v>
      </c>
      <c r="O36" s="35" t="s">
        <v>376</v>
      </c>
      <c r="P36" s="35">
        <v>2.0</v>
      </c>
      <c r="Q36" s="35" t="s">
        <v>401</v>
      </c>
      <c r="R36" s="35">
        <v>1.0</v>
      </c>
      <c r="S36" s="109" t="s">
        <v>382</v>
      </c>
      <c r="T36" s="35">
        <v>2.0</v>
      </c>
      <c r="U36" s="109" t="s">
        <v>382</v>
      </c>
      <c r="V36" s="35">
        <v>4.0</v>
      </c>
      <c r="Y36" s="35" t="s">
        <v>376</v>
      </c>
      <c r="Z36" s="35">
        <v>4.0</v>
      </c>
      <c r="AA36" s="35" t="s">
        <v>373</v>
      </c>
      <c r="AB36" s="35">
        <v>1.0</v>
      </c>
      <c r="AC36" s="35" t="s">
        <v>376</v>
      </c>
      <c r="AD36" s="35">
        <v>1.0</v>
      </c>
      <c r="AE36" s="109" t="s">
        <v>382</v>
      </c>
      <c r="AF36" s="35">
        <v>7.0</v>
      </c>
      <c r="AG36" s="109" t="s">
        <v>382</v>
      </c>
      <c r="AH36" s="35">
        <v>3.0</v>
      </c>
      <c r="AI36" s="95"/>
      <c r="AJ36" s="95"/>
      <c r="AK36" s="35" t="s">
        <v>413</v>
      </c>
      <c r="AL36" s="35">
        <v>1.0</v>
      </c>
      <c r="AM36" s="35" t="s">
        <v>371</v>
      </c>
      <c r="AN36" s="35">
        <v>2.0</v>
      </c>
      <c r="AO36" s="35" t="s">
        <v>376</v>
      </c>
      <c r="AP36" s="35">
        <v>2.0</v>
      </c>
      <c r="AQ36" s="109" t="s">
        <v>401</v>
      </c>
      <c r="AR36" s="35">
        <v>1.0</v>
      </c>
      <c r="AS36" s="109" t="s">
        <v>413</v>
      </c>
      <c r="AT36" s="35">
        <v>1.0</v>
      </c>
      <c r="AU36" s="95"/>
      <c r="AV36" s="95"/>
      <c r="AW36" s="35" t="s">
        <v>382</v>
      </c>
      <c r="AX36" s="35">
        <v>3.0</v>
      </c>
      <c r="AY36" s="35" t="s">
        <v>376</v>
      </c>
      <c r="AZ36" s="35">
        <v>2.0</v>
      </c>
    </row>
    <row r="37">
      <c r="A37" s="35" t="s">
        <v>382</v>
      </c>
      <c r="B37" s="35">
        <v>4.0</v>
      </c>
      <c r="C37" s="35" t="s">
        <v>376</v>
      </c>
      <c r="D37" s="35">
        <v>4.0</v>
      </c>
      <c r="E37" s="35" t="s">
        <v>382</v>
      </c>
      <c r="F37" s="35">
        <v>3.0</v>
      </c>
      <c r="G37" s="109" t="s">
        <v>400</v>
      </c>
      <c r="H37" s="35">
        <v>1.0</v>
      </c>
      <c r="I37" s="35" t="s">
        <v>421</v>
      </c>
      <c r="J37" s="35">
        <v>1.0</v>
      </c>
      <c r="M37" s="35" t="s">
        <v>371</v>
      </c>
      <c r="N37" s="35">
        <v>2.0</v>
      </c>
      <c r="O37" s="35" t="s">
        <v>382</v>
      </c>
      <c r="P37" s="35">
        <v>3.0</v>
      </c>
      <c r="Q37" s="35" t="s">
        <v>419</v>
      </c>
      <c r="R37" s="35">
        <v>1.0</v>
      </c>
      <c r="S37" s="109" t="s">
        <v>400</v>
      </c>
      <c r="T37" s="35">
        <v>1.0</v>
      </c>
      <c r="U37" s="109" t="s">
        <v>668</v>
      </c>
      <c r="V37" s="35">
        <v>1.0</v>
      </c>
      <c r="Y37" s="35" t="s">
        <v>382</v>
      </c>
      <c r="Z37" s="35">
        <v>4.0</v>
      </c>
      <c r="AA37" s="35" t="s">
        <v>371</v>
      </c>
      <c r="AB37" s="35">
        <v>4.0</v>
      </c>
      <c r="AC37" s="35" t="s">
        <v>382</v>
      </c>
      <c r="AD37" s="35">
        <v>4.0</v>
      </c>
      <c r="AE37" s="35" t="s">
        <v>401</v>
      </c>
      <c r="AF37" s="35">
        <v>2.0</v>
      </c>
      <c r="AG37" s="109" t="s">
        <v>445</v>
      </c>
      <c r="AH37" s="35">
        <v>1.0</v>
      </c>
      <c r="AI37" s="95"/>
      <c r="AJ37" s="95"/>
      <c r="AK37" s="35" t="s">
        <v>400</v>
      </c>
      <c r="AL37" s="35">
        <v>2.0</v>
      </c>
      <c r="AM37" s="35" t="s">
        <v>376</v>
      </c>
      <c r="AN37" s="35">
        <v>3.0</v>
      </c>
      <c r="AO37" s="35" t="s">
        <v>382</v>
      </c>
      <c r="AP37" s="35">
        <v>4.0</v>
      </c>
      <c r="AQ37" s="109" t="s">
        <v>394</v>
      </c>
      <c r="AR37" s="35">
        <v>1.0</v>
      </c>
      <c r="AS37" s="109" t="s">
        <v>445</v>
      </c>
      <c r="AT37" s="35">
        <v>1.0</v>
      </c>
      <c r="AU37" s="95"/>
      <c r="AV37" s="95"/>
      <c r="AW37" s="35" t="s">
        <v>401</v>
      </c>
      <c r="AX37" s="35">
        <v>2.0</v>
      </c>
      <c r="AY37" s="35" t="s">
        <v>382</v>
      </c>
      <c r="AZ37" s="35">
        <v>4.0</v>
      </c>
    </row>
    <row r="38">
      <c r="A38" s="35" t="s">
        <v>401</v>
      </c>
      <c r="B38" s="35">
        <v>1.0</v>
      </c>
      <c r="C38" s="35" t="s">
        <v>382</v>
      </c>
      <c r="D38" s="35">
        <v>5.0</v>
      </c>
      <c r="E38" s="35" t="s">
        <v>401</v>
      </c>
      <c r="F38" s="35">
        <v>1.0</v>
      </c>
      <c r="G38" s="35" t="s">
        <v>445</v>
      </c>
      <c r="H38" s="35">
        <v>1.0</v>
      </c>
      <c r="I38" s="35" t="s">
        <v>440</v>
      </c>
      <c r="J38" s="35">
        <v>1.0</v>
      </c>
      <c r="M38" s="35" t="s">
        <v>376</v>
      </c>
      <c r="N38" s="35">
        <v>1.0</v>
      </c>
      <c r="O38" s="35" t="s">
        <v>412</v>
      </c>
      <c r="P38" s="35">
        <v>2.0</v>
      </c>
      <c r="Q38" s="35" t="s">
        <v>408</v>
      </c>
      <c r="R38" s="35">
        <v>2.0</v>
      </c>
      <c r="S38" s="109" t="s">
        <v>408</v>
      </c>
      <c r="T38" s="35">
        <v>3.0</v>
      </c>
      <c r="U38" s="109" t="s">
        <v>408</v>
      </c>
      <c r="V38" s="35">
        <v>1.0</v>
      </c>
      <c r="Y38" s="35" t="s">
        <v>401</v>
      </c>
      <c r="Z38" s="35">
        <v>1.0</v>
      </c>
      <c r="AA38" s="35" t="s">
        <v>376</v>
      </c>
      <c r="AB38" s="35">
        <v>1.0</v>
      </c>
      <c r="AC38" s="35" t="s">
        <v>401</v>
      </c>
      <c r="AD38" s="35">
        <v>1.0</v>
      </c>
      <c r="AE38" s="35" t="s">
        <v>400</v>
      </c>
      <c r="AF38" s="35">
        <v>1.0</v>
      </c>
      <c r="AG38" s="109" t="s">
        <v>403</v>
      </c>
      <c r="AH38" s="35">
        <v>1.0</v>
      </c>
      <c r="AI38" s="95"/>
      <c r="AJ38" s="95"/>
      <c r="AK38" s="35" t="s">
        <v>672</v>
      </c>
      <c r="AL38" s="35">
        <v>1.0</v>
      </c>
      <c r="AM38" s="35" t="s">
        <v>382</v>
      </c>
      <c r="AN38" s="35">
        <v>6.0</v>
      </c>
      <c r="AO38" s="35" t="s">
        <v>401</v>
      </c>
      <c r="AP38" s="35">
        <v>1.0</v>
      </c>
      <c r="AQ38" s="109" t="s">
        <v>400</v>
      </c>
      <c r="AR38" s="35">
        <v>1.0</v>
      </c>
      <c r="AS38" s="109" t="s">
        <v>417</v>
      </c>
      <c r="AT38" s="35">
        <v>1.0</v>
      </c>
      <c r="AU38" s="95"/>
      <c r="AV38" s="95"/>
      <c r="AW38" s="35" t="s">
        <v>396</v>
      </c>
      <c r="AX38" s="35">
        <v>1.0</v>
      </c>
      <c r="AY38" s="35" t="s">
        <v>401</v>
      </c>
      <c r="AZ38" s="35">
        <v>1.0</v>
      </c>
    </row>
    <row r="39">
      <c r="A39" s="35" t="s">
        <v>413</v>
      </c>
      <c r="B39" s="35">
        <v>2.0</v>
      </c>
      <c r="C39" s="35" t="s">
        <v>401</v>
      </c>
      <c r="D39" s="35">
        <v>2.0</v>
      </c>
      <c r="E39" s="35" t="s">
        <v>412</v>
      </c>
      <c r="F39" s="35">
        <v>1.0</v>
      </c>
      <c r="G39" s="35" t="s">
        <v>409</v>
      </c>
      <c r="H39" s="35">
        <v>1.0</v>
      </c>
      <c r="I39" s="35" t="s">
        <v>442</v>
      </c>
      <c r="J39" s="35">
        <v>3.0</v>
      </c>
      <c r="M39" s="35" t="s">
        <v>382</v>
      </c>
      <c r="N39" s="35">
        <v>2.0</v>
      </c>
      <c r="O39" s="35" t="s">
        <v>413</v>
      </c>
      <c r="P39" s="35">
        <v>1.0</v>
      </c>
      <c r="Q39" s="35" t="s">
        <v>443</v>
      </c>
      <c r="R39" s="35">
        <v>1.0</v>
      </c>
      <c r="S39" s="109" t="s">
        <v>417</v>
      </c>
      <c r="T39" s="35">
        <v>1.0</v>
      </c>
      <c r="U39" s="109" t="s">
        <v>417</v>
      </c>
      <c r="V39" s="35">
        <v>1.0</v>
      </c>
      <c r="Y39" s="35" t="s">
        <v>669</v>
      </c>
      <c r="Z39" s="35">
        <v>1.0</v>
      </c>
      <c r="AA39" s="35" t="s">
        <v>382</v>
      </c>
      <c r="AB39" s="35">
        <v>2.0</v>
      </c>
      <c r="AC39" s="35" t="s">
        <v>408</v>
      </c>
      <c r="AD39" s="35">
        <v>1.0</v>
      </c>
      <c r="AE39" s="35" t="s">
        <v>419</v>
      </c>
      <c r="AF39" s="35">
        <v>2.0</v>
      </c>
      <c r="AG39" s="109" t="s">
        <v>673</v>
      </c>
      <c r="AH39" s="35">
        <v>1.0</v>
      </c>
      <c r="AI39" s="95"/>
      <c r="AJ39" s="95"/>
      <c r="AK39" s="35" t="s">
        <v>396</v>
      </c>
      <c r="AL39" s="35">
        <v>1.0</v>
      </c>
      <c r="AM39" s="35" t="s">
        <v>401</v>
      </c>
      <c r="AN39" s="35">
        <v>1.0</v>
      </c>
      <c r="AO39" s="35" t="s">
        <v>445</v>
      </c>
      <c r="AP39" s="35">
        <v>1.0</v>
      </c>
      <c r="AQ39" s="35" t="s">
        <v>419</v>
      </c>
      <c r="AR39" s="35">
        <v>1.0</v>
      </c>
      <c r="AS39" s="109" t="s">
        <v>449</v>
      </c>
      <c r="AT39" s="35">
        <v>1.0</v>
      </c>
      <c r="AU39" s="95"/>
      <c r="AV39" s="95"/>
      <c r="AW39" s="35" t="s">
        <v>408</v>
      </c>
      <c r="AX39" s="35">
        <v>4.0</v>
      </c>
      <c r="AY39" s="35" t="s">
        <v>412</v>
      </c>
      <c r="AZ39" s="35">
        <v>1.0</v>
      </c>
    </row>
    <row r="40">
      <c r="A40" s="35" t="s">
        <v>391</v>
      </c>
      <c r="B40" s="35">
        <v>1.0</v>
      </c>
      <c r="C40" s="35" t="s">
        <v>668</v>
      </c>
      <c r="D40" s="35">
        <v>1.0</v>
      </c>
      <c r="E40" s="35" t="s">
        <v>672</v>
      </c>
      <c r="F40" s="35">
        <v>1.0</v>
      </c>
      <c r="G40" s="35" t="s">
        <v>419</v>
      </c>
      <c r="H40" s="35">
        <v>1.0</v>
      </c>
      <c r="I40" s="35" t="s">
        <v>453</v>
      </c>
      <c r="J40" s="35">
        <v>1.0</v>
      </c>
      <c r="M40" s="35" t="s">
        <v>401</v>
      </c>
      <c r="N40" s="35">
        <v>2.0</v>
      </c>
      <c r="O40" s="35" t="s">
        <v>409</v>
      </c>
      <c r="P40" s="35">
        <v>2.0</v>
      </c>
      <c r="Q40" s="35" t="s">
        <v>447</v>
      </c>
      <c r="R40" s="35">
        <v>1.0</v>
      </c>
      <c r="S40" s="35" t="s">
        <v>431</v>
      </c>
      <c r="T40" s="35">
        <v>2.0</v>
      </c>
      <c r="U40" s="109" t="s">
        <v>421</v>
      </c>
      <c r="V40" s="35">
        <v>1.0</v>
      </c>
      <c r="Y40" s="35" t="s">
        <v>400</v>
      </c>
      <c r="Z40" s="35">
        <v>2.0</v>
      </c>
      <c r="AA40" s="35" t="s">
        <v>412</v>
      </c>
      <c r="AB40" s="35">
        <v>2.0</v>
      </c>
      <c r="AC40" s="35" t="s">
        <v>421</v>
      </c>
      <c r="AD40" s="35">
        <v>1.0</v>
      </c>
      <c r="AE40" s="35" t="s">
        <v>408</v>
      </c>
      <c r="AF40" s="35">
        <v>3.0</v>
      </c>
      <c r="AG40" s="35" t="s">
        <v>436</v>
      </c>
      <c r="AH40" s="35">
        <v>1.0</v>
      </c>
      <c r="AI40" s="95"/>
      <c r="AJ40" s="95"/>
      <c r="AK40" s="35" t="s">
        <v>408</v>
      </c>
      <c r="AL40" s="35">
        <v>1.0</v>
      </c>
      <c r="AM40" s="35" t="s">
        <v>409</v>
      </c>
      <c r="AN40" s="35">
        <v>6.0</v>
      </c>
      <c r="AO40" s="35" t="s">
        <v>408</v>
      </c>
      <c r="AP40" s="35">
        <v>1.0</v>
      </c>
      <c r="AQ40" s="35" t="s">
        <v>408</v>
      </c>
      <c r="AR40" s="35">
        <v>4.0</v>
      </c>
      <c r="AS40" s="35" t="s">
        <v>673</v>
      </c>
      <c r="AT40" s="35">
        <v>1.0</v>
      </c>
      <c r="AU40" s="95"/>
      <c r="AV40" s="95"/>
      <c r="AW40" s="35" t="s">
        <v>431</v>
      </c>
      <c r="AX40" s="35">
        <v>1.0</v>
      </c>
      <c r="AY40" s="35" t="s">
        <v>394</v>
      </c>
      <c r="AZ40" s="35">
        <v>1.0</v>
      </c>
    </row>
    <row r="41">
      <c r="A41" s="35" t="s">
        <v>400</v>
      </c>
      <c r="B41" s="35">
        <v>1.0</v>
      </c>
      <c r="C41" s="35" t="s">
        <v>394</v>
      </c>
      <c r="D41" s="35">
        <v>1.0</v>
      </c>
      <c r="E41" s="35" t="s">
        <v>408</v>
      </c>
      <c r="F41" s="35">
        <v>3.0</v>
      </c>
      <c r="G41" s="35" t="s">
        <v>408</v>
      </c>
      <c r="H41" s="35">
        <v>2.0</v>
      </c>
      <c r="I41" s="35" t="s">
        <v>457</v>
      </c>
      <c r="J41" s="35">
        <v>2.0</v>
      </c>
      <c r="M41" s="35" t="s">
        <v>412</v>
      </c>
      <c r="N41" s="35">
        <v>1.0</v>
      </c>
      <c r="O41" s="35" t="s">
        <v>438</v>
      </c>
      <c r="P41" s="35">
        <v>2.0</v>
      </c>
      <c r="Q41" s="35" t="s">
        <v>442</v>
      </c>
      <c r="R41" s="35">
        <v>1.0</v>
      </c>
      <c r="S41" s="35" t="s">
        <v>449</v>
      </c>
      <c r="T41" s="35">
        <v>1.0</v>
      </c>
      <c r="U41" s="35" t="s">
        <v>431</v>
      </c>
      <c r="V41" s="35">
        <v>1.0</v>
      </c>
      <c r="Y41" s="35" t="s">
        <v>408</v>
      </c>
      <c r="Z41" s="35">
        <v>1.0</v>
      </c>
      <c r="AA41" s="35" t="s">
        <v>409</v>
      </c>
      <c r="AB41" s="35">
        <v>2.0</v>
      </c>
      <c r="AC41" s="35" t="s">
        <v>443</v>
      </c>
      <c r="AD41" s="35">
        <v>2.0</v>
      </c>
      <c r="AE41" s="35" t="s">
        <v>417</v>
      </c>
      <c r="AF41" s="35">
        <v>1.0</v>
      </c>
      <c r="AG41" s="35" t="s">
        <v>442</v>
      </c>
      <c r="AH41" s="35">
        <v>3.0</v>
      </c>
      <c r="AI41" s="95"/>
      <c r="AJ41" s="95"/>
      <c r="AK41" s="35" t="s">
        <v>417</v>
      </c>
      <c r="AL41" s="35">
        <v>2.0</v>
      </c>
      <c r="AM41" s="35" t="s">
        <v>403</v>
      </c>
      <c r="AN41" s="35">
        <v>1.0</v>
      </c>
      <c r="AO41" s="35" t="s">
        <v>417</v>
      </c>
      <c r="AP41" s="35">
        <v>2.0</v>
      </c>
      <c r="AQ41" s="35" t="s">
        <v>431</v>
      </c>
      <c r="AR41" s="35">
        <v>1.0</v>
      </c>
      <c r="AS41" s="35" t="s">
        <v>436</v>
      </c>
      <c r="AT41" s="35">
        <v>1.0</v>
      </c>
      <c r="AU41" s="95"/>
      <c r="AV41" s="95"/>
      <c r="AW41" s="35" t="s">
        <v>440</v>
      </c>
      <c r="AX41" s="35">
        <v>1.0</v>
      </c>
      <c r="AY41" s="35" t="s">
        <v>400</v>
      </c>
      <c r="AZ41" s="35">
        <v>1.0</v>
      </c>
    </row>
    <row r="42">
      <c r="A42" s="35" t="s">
        <v>396</v>
      </c>
      <c r="B42" s="35">
        <v>1.0</v>
      </c>
      <c r="C42" s="35" t="s">
        <v>428</v>
      </c>
      <c r="D42" s="35">
        <v>1.0</v>
      </c>
      <c r="E42" s="35" t="s">
        <v>443</v>
      </c>
      <c r="F42" s="35">
        <v>2.0</v>
      </c>
      <c r="G42" s="35" t="s">
        <v>431</v>
      </c>
      <c r="H42" s="35">
        <v>1.0</v>
      </c>
      <c r="I42" s="35" t="s">
        <v>465</v>
      </c>
      <c r="J42" s="35">
        <v>1.0</v>
      </c>
      <c r="M42" s="35" t="s">
        <v>394</v>
      </c>
      <c r="N42" s="35">
        <v>1.0</v>
      </c>
      <c r="O42" s="35" t="s">
        <v>419</v>
      </c>
      <c r="P42" s="35">
        <v>2.0</v>
      </c>
      <c r="Q42" s="35" t="s">
        <v>446</v>
      </c>
      <c r="R42" s="35">
        <v>1.0</v>
      </c>
      <c r="S42" s="35" t="s">
        <v>442</v>
      </c>
      <c r="T42" s="35">
        <v>1.0</v>
      </c>
      <c r="U42" s="35" t="s">
        <v>475</v>
      </c>
      <c r="V42" s="35">
        <v>1.0</v>
      </c>
      <c r="Y42" s="35" t="s">
        <v>417</v>
      </c>
      <c r="Z42" s="35">
        <v>1.0</v>
      </c>
      <c r="AA42" s="35" t="s">
        <v>408</v>
      </c>
      <c r="AB42" s="35">
        <v>1.0</v>
      </c>
      <c r="AC42" s="35" t="s">
        <v>442</v>
      </c>
      <c r="AD42" s="35">
        <v>1.0</v>
      </c>
      <c r="AE42" s="35" t="s">
        <v>421</v>
      </c>
      <c r="AF42" s="35">
        <v>1.0</v>
      </c>
      <c r="AG42" s="35" t="s">
        <v>446</v>
      </c>
      <c r="AH42" s="35">
        <v>2.0</v>
      </c>
      <c r="AI42" s="95"/>
      <c r="AJ42" s="95"/>
      <c r="AK42" s="35" t="s">
        <v>421</v>
      </c>
      <c r="AL42" s="35">
        <v>1.0</v>
      </c>
      <c r="AM42" s="35" t="s">
        <v>419</v>
      </c>
      <c r="AN42" s="35">
        <v>1.0</v>
      </c>
      <c r="AO42" s="35" t="s">
        <v>421</v>
      </c>
      <c r="AP42" s="35">
        <v>1.0</v>
      </c>
      <c r="AQ42" s="35" t="s">
        <v>449</v>
      </c>
      <c r="AR42" s="35">
        <v>1.0</v>
      </c>
      <c r="AS42" s="35" t="s">
        <v>442</v>
      </c>
      <c r="AT42" s="35">
        <v>3.0</v>
      </c>
      <c r="AU42" s="95"/>
      <c r="AV42" s="95"/>
      <c r="AW42" s="35" t="s">
        <v>443</v>
      </c>
      <c r="AX42" s="35">
        <v>1.0</v>
      </c>
      <c r="AY42" s="35" t="s">
        <v>445</v>
      </c>
      <c r="AZ42" s="35">
        <v>1.0</v>
      </c>
    </row>
    <row r="43">
      <c r="A43" s="35" t="s">
        <v>438</v>
      </c>
      <c r="B43" s="35">
        <v>1.0</v>
      </c>
      <c r="C43" s="35" t="s">
        <v>445</v>
      </c>
      <c r="D43" s="35">
        <v>1.0</v>
      </c>
      <c r="E43" s="35" t="s">
        <v>442</v>
      </c>
      <c r="F43" s="35">
        <v>1.0</v>
      </c>
      <c r="G43" s="35" t="s">
        <v>447</v>
      </c>
      <c r="H43" s="35">
        <v>1.0</v>
      </c>
      <c r="I43" s="35" t="s">
        <v>462</v>
      </c>
      <c r="J43" s="35">
        <v>2.0</v>
      </c>
      <c r="M43" s="35" t="s">
        <v>409</v>
      </c>
      <c r="N43" s="35">
        <v>1.0</v>
      </c>
      <c r="O43" s="35" t="s">
        <v>408</v>
      </c>
      <c r="P43" s="35">
        <v>1.0</v>
      </c>
      <c r="Q43" s="35" t="s">
        <v>453</v>
      </c>
      <c r="R43" s="35">
        <v>2.0</v>
      </c>
      <c r="S43" s="35" t="s">
        <v>453</v>
      </c>
      <c r="T43" s="35">
        <v>1.0</v>
      </c>
      <c r="U43" s="35" t="s">
        <v>673</v>
      </c>
      <c r="V43" s="35">
        <v>1.0</v>
      </c>
      <c r="Y43" s="35" t="s">
        <v>421</v>
      </c>
      <c r="Z43" s="35">
        <v>1.0</v>
      </c>
      <c r="AA43" s="35" t="s">
        <v>417</v>
      </c>
      <c r="AB43" s="35">
        <v>3.0</v>
      </c>
      <c r="AC43" s="35" t="s">
        <v>453</v>
      </c>
      <c r="AD43" s="35">
        <v>3.0</v>
      </c>
      <c r="AE43" s="35" t="s">
        <v>431</v>
      </c>
      <c r="AF43" s="35">
        <v>1.0</v>
      </c>
      <c r="AG43" s="35" t="s">
        <v>453</v>
      </c>
      <c r="AH43" s="35">
        <v>1.0</v>
      </c>
      <c r="AI43" s="95"/>
      <c r="AJ43" s="95"/>
      <c r="AK43" s="35" t="s">
        <v>431</v>
      </c>
      <c r="AL43" s="35">
        <v>1.0</v>
      </c>
      <c r="AM43" s="35" t="s">
        <v>408</v>
      </c>
      <c r="AN43" s="35">
        <v>2.0</v>
      </c>
      <c r="AO43" s="35" t="s">
        <v>443</v>
      </c>
      <c r="AP43" s="35">
        <v>2.0</v>
      </c>
      <c r="AQ43" s="35" t="s">
        <v>442</v>
      </c>
      <c r="AR43" s="35">
        <v>2.0</v>
      </c>
      <c r="AS43" s="35" t="s">
        <v>457</v>
      </c>
      <c r="AT43" s="35">
        <v>3.0</v>
      </c>
      <c r="AU43" s="95"/>
      <c r="AV43" s="95"/>
      <c r="AW43" s="35" t="s">
        <v>442</v>
      </c>
      <c r="AX43" s="35">
        <v>1.0</v>
      </c>
      <c r="AY43" s="35" t="s">
        <v>409</v>
      </c>
      <c r="AZ43" s="35">
        <v>3.0</v>
      </c>
    </row>
    <row r="44">
      <c r="A44" s="35" t="s">
        <v>419</v>
      </c>
      <c r="B44" s="35">
        <v>1.0</v>
      </c>
      <c r="C44" s="35" t="s">
        <v>409</v>
      </c>
      <c r="D44" s="35">
        <v>2.0</v>
      </c>
      <c r="E44" s="35" t="s">
        <v>457</v>
      </c>
      <c r="F44" s="35">
        <v>2.0</v>
      </c>
      <c r="G44" s="35" t="s">
        <v>442</v>
      </c>
      <c r="H44" s="35">
        <v>2.0</v>
      </c>
      <c r="I44" s="35" t="s">
        <v>463</v>
      </c>
      <c r="J44" s="35">
        <v>2.0</v>
      </c>
      <c r="M44" s="35" t="s">
        <v>440</v>
      </c>
      <c r="N44" s="35">
        <v>2.0</v>
      </c>
      <c r="O44" s="87" t="s">
        <v>417</v>
      </c>
      <c r="P44" s="87">
        <v>1.0</v>
      </c>
      <c r="Q44" s="35" t="s">
        <v>457</v>
      </c>
      <c r="R44" s="35">
        <v>1.0</v>
      </c>
      <c r="S44" s="35" t="s">
        <v>457</v>
      </c>
      <c r="T44" s="35">
        <v>1.0</v>
      </c>
      <c r="U44" s="35" t="s">
        <v>442</v>
      </c>
      <c r="V44" s="35">
        <v>5.0</v>
      </c>
      <c r="Y44" s="35" t="s">
        <v>440</v>
      </c>
      <c r="Z44" s="35">
        <v>1.0</v>
      </c>
      <c r="AA44" s="35" t="s">
        <v>431</v>
      </c>
      <c r="AB44" s="35">
        <v>1.0</v>
      </c>
      <c r="AC44" s="35" t="s">
        <v>460</v>
      </c>
      <c r="AD44" s="35">
        <v>2.0</v>
      </c>
      <c r="AE44" s="35" t="s">
        <v>449</v>
      </c>
      <c r="AF44" s="35">
        <v>1.0</v>
      </c>
      <c r="AG44" s="35" t="s">
        <v>457</v>
      </c>
      <c r="AH44" s="35">
        <v>3.0</v>
      </c>
      <c r="AI44" s="95"/>
      <c r="AJ44" s="95"/>
      <c r="AK44" s="35" t="s">
        <v>440</v>
      </c>
      <c r="AL44" s="35">
        <v>1.0</v>
      </c>
      <c r="AM44" s="87" t="s">
        <v>417</v>
      </c>
      <c r="AN44" s="87">
        <v>1.0</v>
      </c>
      <c r="AO44" s="35" t="s">
        <v>442</v>
      </c>
      <c r="AP44" s="35">
        <v>1.0</v>
      </c>
      <c r="AQ44" s="35" t="s">
        <v>453</v>
      </c>
      <c r="AR44" s="35">
        <v>2.0</v>
      </c>
      <c r="AS44" s="35" t="s">
        <v>465</v>
      </c>
      <c r="AT44" s="35">
        <v>1.0</v>
      </c>
      <c r="AU44" s="95"/>
      <c r="AV44" s="95"/>
      <c r="AW44" s="35" t="s">
        <v>453</v>
      </c>
      <c r="AX44" s="35">
        <v>1.0</v>
      </c>
      <c r="AY44" s="35" t="s">
        <v>403</v>
      </c>
      <c r="AZ44" s="35">
        <v>1.0</v>
      </c>
    </row>
    <row r="45">
      <c r="A45" s="35" t="s">
        <v>408</v>
      </c>
      <c r="B45" s="35">
        <v>1.0</v>
      </c>
      <c r="C45" s="87" t="s">
        <v>438</v>
      </c>
      <c r="D45" s="87">
        <v>1.0</v>
      </c>
      <c r="E45" s="35" t="s">
        <v>462</v>
      </c>
      <c r="F45" s="35">
        <v>4.0</v>
      </c>
      <c r="G45" s="35" t="s">
        <v>446</v>
      </c>
      <c r="H45" s="35">
        <v>1.0</v>
      </c>
      <c r="I45" s="35" t="s">
        <v>468</v>
      </c>
      <c r="J45" s="35">
        <v>3.0</v>
      </c>
      <c r="M45" s="35" t="s">
        <v>443</v>
      </c>
      <c r="N45" s="35">
        <v>1.0</v>
      </c>
      <c r="O45" s="87" t="s">
        <v>421</v>
      </c>
      <c r="P45" s="87">
        <v>1.0</v>
      </c>
      <c r="Q45" s="35" t="s">
        <v>462</v>
      </c>
      <c r="R45" s="35">
        <v>1.0</v>
      </c>
      <c r="S45" s="35" t="s">
        <v>465</v>
      </c>
      <c r="T45" s="35">
        <v>1.0</v>
      </c>
      <c r="U45" s="35" t="s">
        <v>446</v>
      </c>
      <c r="V45" s="35">
        <v>1.0</v>
      </c>
      <c r="Y45" s="35" t="s">
        <v>443</v>
      </c>
      <c r="Z45" s="35">
        <v>1.0</v>
      </c>
      <c r="AA45" s="87" t="s">
        <v>449</v>
      </c>
      <c r="AB45" s="87">
        <v>2.0</v>
      </c>
      <c r="AC45" s="35" t="s">
        <v>462</v>
      </c>
      <c r="AD45" s="35">
        <v>2.0</v>
      </c>
      <c r="AE45" s="35" t="s">
        <v>453</v>
      </c>
      <c r="AF45" s="35">
        <v>2.0</v>
      </c>
      <c r="AG45" s="35" t="s">
        <v>465</v>
      </c>
      <c r="AH45" s="35">
        <v>2.0</v>
      </c>
      <c r="AI45" s="95"/>
      <c r="AJ45" s="95"/>
      <c r="AK45" s="35" t="s">
        <v>443</v>
      </c>
      <c r="AL45" s="35">
        <v>1.0</v>
      </c>
      <c r="AM45" s="87" t="s">
        <v>421</v>
      </c>
      <c r="AN45" s="87">
        <v>1.0</v>
      </c>
      <c r="AO45" s="35" t="s">
        <v>453</v>
      </c>
      <c r="AP45" s="35">
        <v>2.0</v>
      </c>
      <c r="AQ45" s="35" t="s">
        <v>463</v>
      </c>
      <c r="AR45" s="35">
        <v>1.0</v>
      </c>
      <c r="AS45" s="35" t="s">
        <v>463</v>
      </c>
      <c r="AT45" s="35">
        <v>1.0</v>
      </c>
      <c r="AU45" s="95"/>
      <c r="AV45" s="95"/>
      <c r="AW45" s="35" t="s">
        <v>457</v>
      </c>
      <c r="AX45" s="35">
        <v>1.0</v>
      </c>
      <c r="AY45" s="87" t="s">
        <v>419</v>
      </c>
      <c r="AZ45" s="87">
        <v>1.0</v>
      </c>
    </row>
    <row r="46">
      <c r="A46" s="35" t="s">
        <v>417</v>
      </c>
      <c r="B46" s="35">
        <v>3.0</v>
      </c>
      <c r="C46" s="87" t="s">
        <v>419</v>
      </c>
      <c r="D46" s="87">
        <v>1.0</v>
      </c>
      <c r="E46" s="35" t="s">
        <v>468</v>
      </c>
      <c r="F46" s="35">
        <v>2.0</v>
      </c>
      <c r="G46" s="35" t="s">
        <v>453</v>
      </c>
      <c r="H46" s="35">
        <v>4.0</v>
      </c>
      <c r="I46" s="35" t="s">
        <v>472</v>
      </c>
      <c r="J46" s="35">
        <v>1.0</v>
      </c>
      <c r="M46" s="35" t="s">
        <v>442</v>
      </c>
      <c r="N46" s="35">
        <v>1.0</v>
      </c>
      <c r="O46" s="87" t="s">
        <v>449</v>
      </c>
      <c r="P46" s="87">
        <v>2.0</v>
      </c>
      <c r="Q46" s="35" t="s">
        <v>468</v>
      </c>
      <c r="R46" s="35">
        <v>1.0</v>
      </c>
      <c r="S46" s="35" t="s">
        <v>460</v>
      </c>
      <c r="T46" s="35">
        <v>1.0</v>
      </c>
      <c r="U46" s="35" t="s">
        <v>453</v>
      </c>
      <c r="V46" s="35">
        <v>1.0</v>
      </c>
      <c r="Y46" s="35" t="s">
        <v>442</v>
      </c>
      <c r="Z46" s="35">
        <v>1.0</v>
      </c>
      <c r="AA46" s="87" t="s">
        <v>673</v>
      </c>
      <c r="AB46" s="87">
        <v>1.0</v>
      </c>
      <c r="AC46" s="35" t="s">
        <v>468</v>
      </c>
      <c r="AD46" s="35">
        <v>2.0</v>
      </c>
      <c r="AE46" s="35" t="s">
        <v>465</v>
      </c>
      <c r="AF46" s="35">
        <v>1.0</v>
      </c>
      <c r="AG46" s="35" t="s">
        <v>468</v>
      </c>
      <c r="AH46" s="35">
        <v>3.0</v>
      </c>
      <c r="AI46" s="95"/>
      <c r="AJ46" s="95"/>
      <c r="AK46" s="35" t="s">
        <v>442</v>
      </c>
      <c r="AL46" s="35">
        <v>2.0</v>
      </c>
      <c r="AM46" s="87" t="s">
        <v>431</v>
      </c>
      <c r="AN46" s="87">
        <v>1.0</v>
      </c>
      <c r="AO46" s="35" t="s">
        <v>457</v>
      </c>
      <c r="AP46" s="35">
        <v>2.0</v>
      </c>
      <c r="AQ46" s="35" t="s">
        <v>517</v>
      </c>
      <c r="AR46" s="35">
        <v>1.0</v>
      </c>
      <c r="AS46" s="35" t="s">
        <v>468</v>
      </c>
      <c r="AT46" s="35">
        <v>3.0</v>
      </c>
      <c r="AU46" s="95"/>
      <c r="AV46" s="95"/>
      <c r="AW46" s="35" t="s">
        <v>465</v>
      </c>
      <c r="AX46" s="35">
        <v>2.0</v>
      </c>
      <c r="AY46" s="87" t="s">
        <v>408</v>
      </c>
      <c r="AZ46" s="87">
        <v>2.0</v>
      </c>
    </row>
    <row r="47">
      <c r="A47" s="35" t="s">
        <v>440</v>
      </c>
      <c r="B47" s="35">
        <v>2.0</v>
      </c>
      <c r="C47" s="87" t="s">
        <v>408</v>
      </c>
      <c r="D47" s="87">
        <v>1.0</v>
      </c>
      <c r="E47" s="35" t="s">
        <v>471</v>
      </c>
      <c r="F47" s="35">
        <v>1.0</v>
      </c>
      <c r="G47" s="35" t="s">
        <v>457</v>
      </c>
      <c r="H47" s="35">
        <v>2.0</v>
      </c>
      <c r="I47" s="35" t="s">
        <v>479</v>
      </c>
      <c r="J47" s="35">
        <v>1.0</v>
      </c>
      <c r="M47" s="35" t="s">
        <v>446</v>
      </c>
      <c r="N47" s="35">
        <v>1.0</v>
      </c>
      <c r="O47" s="87" t="s">
        <v>673</v>
      </c>
      <c r="P47" s="87">
        <v>1.0</v>
      </c>
      <c r="Q47" s="35" t="s">
        <v>476</v>
      </c>
      <c r="R47" s="35">
        <v>1.0</v>
      </c>
      <c r="S47" s="35" t="s">
        <v>468</v>
      </c>
      <c r="T47" s="35">
        <v>1.0</v>
      </c>
      <c r="U47" s="35" t="s">
        <v>457</v>
      </c>
      <c r="V47" s="35">
        <v>3.0</v>
      </c>
      <c r="Y47" s="35" t="s">
        <v>453</v>
      </c>
      <c r="Z47" s="35">
        <v>1.0</v>
      </c>
      <c r="AA47" s="87" t="s">
        <v>447</v>
      </c>
      <c r="AB47" s="87">
        <v>2.0</v>
      </c>
      <c r="AC47" s="35" t="s">
        <v>487</v>
      </c>
      <c r="AD47" s="35">
        <v>1.0</v>
      </c>
      <c r="AE47" s="35" t="s">
        <v>460</v>
      </c>
      <c r="AF47" s="35">
        <v>2.0</v>
      </c>
      <c r="AG47" s="35" t="s">
        <v>517</v>
      </c>
      <c r="AH47" s="35">
        <v>1.0</v>
      </c>
      <c r="AI47" s="95"/>
      <c r="AJ47" s="95"/>
      <c r="AK47" s="35" t="s">
        <v>457</v>
      </c>
      <c r="AL47" s="35">
        <v>5.0</v>
      </c>
      <c r="AM47" s="87" t="s">
        <v>443</v>
      </c>
      <c r="AN47" s="87">
        <v>1.0</v>
      </c>
      <c r="AO47" s="35" t="s">
        <v>465</v>
      </c>
      <c r="AP47" s="35">
        <v>1.0</v>
      </c>
      <c r="AQ47" s="35" t="s">
        <v>472</v>
      </c>
      <c r="AR47" s="35">
        <v>1.0</v>
      </c>
      <c r="AS47" s="35" t="s">
        <v>517</v>
      </c>
      <c r="AT47" s="35">
        <v>1.0</v>
      </c>
      <c r="AU47" s="95"/>
      <c r="AV47" s="95"/>
      <c r="AW47" s="35" t="s">
        <v>460</v>
      </c>
      <c r="AX47" s="35">
        <v>1.0</v>
      </c>
      <c r="AY47" s="87" t="s">
        <v>417</v>
      </c>
      <c r="AZ47" s="87">
        <v>2.0</v>
      </c>
    </row>
    <row r="48">
      <c r="A48" s="35" t="s">
        <v>442</v>
      </c>
      <c r="B48" s="35">
        <v>2.0</v>
      </c>
      <c r="C48" s="87" t="s">
        <v>417</v>
      </c>
      <c r="D48" s="87">
        <v>2.0</v>
      </c>
      <c r="E48" s="35" t="s">
        <v>486</v>
      </c>
      <c r="F48" s="35">
        <v>1.0</v>
      </c>
      <c r="G48" s="35" t="s">
        <v>462</v>
      </c>
      <c r="H48" s="35">
        <v>1.0</v>
      </c>
      <c r="I48" s="35" t="s">
        <v>483</v>
      </c>
      <c r="J48" s="35">
        <v>1.0</v>
      </c>
      <c r="M48" s="35" t="s">
        <v>453</v>
      </c>
      <c r="N48" s="35">
        <v>2.0</v>
      </c>
      <c r="O48" s="87" t="s">
        <v>447</v>
      </c>
      <c r="P48" s="87">
        <v>1.0</v>
      </c>
      <c r="Q48" s="35" t="s">
        <v>471</v>
      </c>
      <c r="R48" s="35">
        <v>1.0</v>
      </c>
      <c r="S48" s="35" t="s">
        <v>472</v>
      </c>
      <c r="T48" s="35">
        <v>1.0</v>
      </c>
      <c r="U48" s="35" t="s">
        <v>465</v>
      </c>
      <c r="V48" s="35">
        <v>1.0</v>
      </c>
      <c r="Y48" s="35" t="s">
        <v>457</v>
      </c>
      <c r="Z48" s="35">
        <v>4.0</v>
      </c>
      <c r="AA48" s="87" t="s">
        <v>453</v>
      </c>
      <c r="AB48" s="87">
        <v>2.0</v>
      </c>
      <c r="AC48" s="35" t="s">
        <v>497</v>
      </c>
      <c r="AD48" s="35">
        <v>1.0</v>
      </c>
      <c r="AE48" s="35" t="s">
        <v>463</v>
      </c>
      <c r="AF48" s="35">
        <v>1.0</v>
      </c>
      <c r="AG48" s="35" t="s">
        <v>472</v>
      </c>
      <c r="AH48" s="35">
        <v>1.0</v>
      </c>
      <c r="AI48" s="95"/>
      <c r="AJ48" s="95"/>
      <c r="AK48" s="35" t="s">
        <v>465</v>
      </c>
      <c r="AL48" s="35">
        <v>3.0</v>
      </c>
      <c r="AM48" s="87" t="s">
        <v>449</v>
      </c>
      <c r="AN48" s="87">
        <v>1.0</v>
      </c>
      <c r="AO48" s="35" t="s">
        <v>460</v>
      </c>
      <c r="AP48" s="35">
        <v>2.0</v>
      </c>
      <c r="AQ48" s="35" t="s">
        <v>471</v>
      </c>
      <c r="AR48" s="35">
        <v>1.0</v>
      </c>
      <c r="AS48" s="35" t="s">
        <v>472</v>
      </c>
      <c r="AT48" s="35">
        <v>2.0</v>
      </c>
      <c r="AU48" s="95"/>
      <c r="AV48" s="95"/>
      <c r="AW48" s="35" t="s">
        <v>462</v>
      </c>
      <c r="AX48" s="35">
        <v>2.0</v>
      </c>
      <c r="AY48" s="87" t="s">
        <v>449</v>
      </c>
      <c r="AZ48" s="87">
        <v>1.0</v>
      </c>
    </row>
    <row r="49">
      <c r="A49" s="35" t="s">
        <v>453</v>
      </c>
      <c r="B49" s="35">
        <v>2.0</v>
      </c>
      <c r="C49" s="87" t="s">
        <v>443</v>
      </c>
      <c r="D49" s="87">
        <v>1.0</v>
      </c>
      <c r="E49" s="35" t="s">
        <v>483</v>
      </c>
      <c r="F49" s="35">
        <v>2.0</v>
      </c>
      <c r="G49" s="35" t="s">
        <v>468</v>
      </c>
      <c r="H49" s="35">
        <v>1.0</v>
      </c>
      <c r="I49" s="35" t="s">
        <v>674</v>
      </c>
      <c r="J49" s="35">
        <v>1.0</v>
      </c>
      <c r="M49" s="35" t="s">
        <v>457</v>
      </c>
      <c r="N49" s="35">
        <v>2.0</v>
      </c>
      <c r="O49" s="87" t="s">
        <v>453</v>
      </c>
      <c r="P49" s="87">
        <v>2.0</v>
      </c>
      <c r="Q49" s="35" t="s">
        <v>514</v>
      </c>
      <c r="R49" s="35">
        <v>1.0</v>
      </c>
      <c r="S49" s="35" t="s">
        <v>471</v>
      </c>
      <c r="T49" s="35">
        <v>1.0</v>
      </c>
      <c r="U49" s="35" t="s">
        <v>460</v>
      </c>
      <c r="V49" s="35">
        <v>1.0</v>
      </c>
      <c r="Y49" s="35" t="s">
        <v>465</v>
      </c>
      <c r="Z49" s="35">
        <v>1.0</v>
      </c>
      <c r="AA49" s="87" t="s">
        <v>457</v>
      </c>
      <c r="AB49" s="87">
        <v>1.0</v>
      </c>
      <c r="AC49" s="35" t="s">
        <v>508</v>
      </c>
      <c r="AD49" s="35">
        <v>1.0</v>
      </c>
      <c r="AE49" s="35" t="s">
        <v>468</v>
      </c>
      <c r="AF49" s="35">
        <v>1.0</v>
      </c>
      <c r="AG49" s="35" t="s">
        <v>481</v>
      </c>
      <c r="AH49" s="35">
        <v>1.0</v>
      </c>
      <c r="AI49" s="95"/>
      <c r="AJ49" s="95"/>
      <c r="AK49" s="35" t="s">
        <v>460</v>
      </c>
      <c r="AL49" s="35">
        <v>1.0</v>
      </c>
      <c r="AM49" s="87" t="s">
        <v>447</v>
      </c>
      <c r="AN49" s="87">
        <v>1.0</v>
      </c>
      <c r="AO49" s="35" t="s">
        <v>463</v>
      </c>
      <c r="AP49" s="35">
        <v>2.0</v>
      </c>
      <c r="AQ49" s="35" t="s">
        <v>506</v>
      </c>
      <c r="AR49" s="35">
        <v>1.0</v>
      </c>
      <c r="AS49" s="35" t="s">
        <v>471</v>
      </c>
      <c r="AT49" s="35">
        <v>1.0</v>
      </c>
      <c r="AU49" s="95"/>
      <c r="AV49" s="95"/>
      <c r="AW49" s="35" t="s">
        <v>463</v>
      </c>
      <c r="AX49" s="35">
        <v>1.0</v>
      </c>
      <c r="AY49" s="87" t="s">
        <v>673</v>
      </c>
      <c r="AZ49" s="87">
        <v>1.0</v>
      </c>
    </row>
    <row r="50">
      <c r="A50" s="35" t="s">
        <v>457</v>
      </c>
      <c r="B50" s="35">
        <v>3.0</v>
      </c>
      <c r="C50" s="87" t="s">
        <v>673</v>
      </c>
      <c r="D50" s="87">
        <v>1.0</v>
      </c>
      <c r="E50" s="35" t="s">
        <v>497</v>
      </c>
      <c r="F50" s="35">
        <v>1.0</v>
      </c>
      <c r="G50" s="35" t="s">
        <v>481</v>
      </c>
      <c r="H50" s="35">
        <v>1.0</v>
      </c>
      <c r="I50" s="109" t="s">
        <v>488</v>
      </c>
      <c r="J50" s="35">
        <v>1.0</v>
      </c>
      <c r="M50" s="35" t="s">
        <v>465</v>
      </c>
      <c r="N50" s="35">
        <v>2.0</v>
      </c>
      <c r="O50" s="87" t="s">
        <v>457</v>
      </c>
      <c r="P50" s="87">
        <v>1.0</v>
      </c>
      <c r="Q50" s="35" t="s">
        <v>487</v>
      </c>
      <c r="R50" s="35">
        <v>1.0</v>
      </c>
      <c r="S50" s="35" t="s">
        <v>486</v>
      </c>
      <c r="T50" s="35">
        <v>2.0</v>
      </c>
      <c r="U50" s="35" t="s">
        <v>462</v>
      </c>
      <c r="V50" s="35">
        <v>2.0</v>
      </c>
      <c r="Y50" s="35" t="s">
        <v>462</v>
      </c>
      <c r="Z50" s="35">
        <v>1.0</v>
      </c>
      <c r="AA50" s="87" t="s">
        <v>465</v>
      </c>
      <c r="AB50" s="87">
        <v>2.0</v>
      </c>
      <c r="AC50" s="35" t="s">
        <v>504</v>
      </c>
      <c r="AD50" s="35">
        <v>1.0</v>
      </c>
      <c r="AE50" s="35" t="s">
        <v>517</v>
      </c>
      <c r="AF50" s="35">
        <v>1.0</v>
      </c>
      <c r="AG50" s="35" t="s">
        <v>477</v>
      </c>
      <c r="AH50" s="35">
        <v>1.0</v>
      </c>
      <c r="AI50" s="95"/>
      <c r="AJ50" s="95"/>
      <c r="AK50" s="35" t="s">
        <v>462</v>
      </c>
      <c r="AL50" s="35">
        <v>1.0</v>
      </c>
      <c r="AM50" s="87" t="s">
        <v>453</v>
      </c>
      <c r="AN50" s="87">
        <v>2.0</v>
      </c>
      <c r="AO50" s="35" t="s">
        <v>468</v>
      </c>
      <c r="AP50" s="35">
        <v>3.0</v>
      </c>
      <c r="AQ50" s="35" t="s">
        <v>484</v>
      </c>
      <c r="AR50" s="35">
        <v>1.0</v>
      </c>
      <c r="AS50" s="35" t="s">
        <v>486</v>
      </c>
      <c r="AT50" s="35">
        <v>1.0</v>
      </c>
      <c r="AU50" s="95"/>
      <c r="AV50" s="95"/>
      <c r="AW50" s="35" t="s">
        <v>468</v>
      </c>
      <c r="AX50" s="35">
        <v>1.0</v>
      </c>
      <c r="AY50" s="87" t="s">
        <v>442</v>
      </c>
      <c r="AZ50" s="87">
        <v>2.0</v>
      </c>
    </row>
    <row r="51">
      <c r="A51" s="35" t="s">
        <v>465</v>
      </c>
      <c r="B51" s="35">
        <v>1.0</v>
      </c>
      <c r="C51" s="87" t="s">
        <v>447</v>
      </c>
      <c r="D51" s="87">
        <v>1.0</v>
      </c>
      <c r="E51" s="35" t="s">
        <v>504</v>
      </c>
      <c r="F51" s="35">
        <v>1.0</v>
      </c>
      <c r="G51" s="35" t="s">
        <v>486</v>
      </c>
      <c r="H51" s="35">
        <v>1.0</v>
      </c>
      <c r="I51" s="35" t="s">
        <v>500</v>
      </c>
      <c r="J51" s="35">
        <v>1.0</v>
      </c>
      <c r="M51" s="35" t="s">
        <v>462</v>
      </c>
      <c r="N51" s="35">
        <v>5.0</v>
      </c>
      <c r="O51" s="87" t="s">
        <v>465</v>
      </c>
      <c r="P51" s="87">
        <v>2.0</v>
      </c>
      <c r="Q51" s="35" t="s">
        <v>504</v>
      </c>
      <c r="R51" s="35">
        <v>1.0</v>
      </c>
      <c r="S51" s="35" t="s">
        <v>506</v>
      </c>
      <c r="T51" s="35">
        <v>1.0</v>
      </c>
      <c r="U51" s="35" t="s">
        <v>468</v>
      </c>
      <c r="V51" s="35">
        <v>2.0</v>
      </c>
      <c r="Y51" s="35" t="s">
        <v>463</v>
      </c>
      <c r="Z51" s="35">
        <v>1.0</v>
      </c>
      <c r="AA51" s="87" t="s">
        <v>462</v>
      </c>
      <c r="AB51" s="87">
        <v>1.0</v>
      </c>
      <c r="AC51" s="35" t="s">
        <v>495</v>
      </c>
      <c r="AD51" s="35">
        <v>3.0</v>
      </c>
      <c r="AE51" s="35" t="s">
        <v>486</v>
      </c>
      <c r="AF51" s="35">
        <v>1.0</v>
      </c>
      <c r="AG51" s="35" t="s">
        <v>479</v>
      </c>
      <c r="AH51" s="35">
        <v>1.0</v>
      </c>
      <c r="AI51" s="95"/>
      <c r="AJ51" s="95"/>
      <c r="AK51" s="35" t="s">
        <v>463</v>
      </c>
      <c r="AL51" s="35">
        <v>1.0</v>
      </c>
      <c r="AM51" s="87" t="s">
        <v>457</v>
      </c>
      <c r="AN51" s="87">
        <v>1.0</v>
      </c>
      <c r="AO51" s="35" t="s">
        <v>506</v>
      </c>
      <c r="AP51" s="35">
        <v>1.0</v>
      </c>
      <c r="AQ51" s="35" t="s">
        <v>674</v>
      </c>
      <c r="AR51" s="35">
        <v>1.0</v>
      </c>
      <c r="AS51" s="35" t="s">
        <v>483</v>
      </c>
      <c r="AT51" s="35">
        <v>1.0</v>
      </c>
      <c r="AU51" s="95"/>
      <c r="AV51" s="95"/>
      <c r="AW51" s="35" t="s">
        <v>486</v>
      </c>
      <c r="AX51" s="35">
        <v>1.0</v>
      </c>
      <c r="AY51" s="87" t="s">
        <v>453</v>
      </c>
      <c r="AZ51" s="87">
        <v>5.0</v>
      </c>
    </row>
    <row r="52">
      <c r="A52" s="35" t="s">
        <v>462</v>
      </c>
      <c r="B52" s="35">
        <v>2.0</v>
      </c>
      <c r="C52" s="87" t="s">
        <v>446</v>
      </c>
      <c r="D52" s="87">
        <v>3.0</v>
      </c>
      <c r="E52" s="35" t="s">
        <v>495</v>
      </c>
      <c r="F52" s="35">
        <v>1.0</v>
      </c>
      <c r="G52" s="35" t="s">
        <v>506</v>
      </c>
      <c r="H52" s="35">
        <v>1.0</v>
      </c>
      <c r="I52" s="35" t="s">
        <v>487</v>
      </c>
      <c r="J52" s="35">
        <v>1.0</v>
      </c>
      <c r="M52" s="35" t="s">
        <v>468</v>
      </c>
      <c r="N52" s="35">
        <v>4.0</v>
      </c>
      <c r="O52" s="87" t="s">
        <v>462</v>
      </c>
      <c r="P52" s="87">
        <v>1.0</v>
      </c>
      <c r="Q52" s="35" t="s">
        <v>495</v>
      </c>
      <c r="R52" s="35">
        <v>1.0</v>
      </c>
      <c r="S52" s="35" t="s">
        <v>484</v>
      </c>
      <c r="T52" s="35">
        <v>1.0</v>
      </c>
      <c r="U52" s="35" t="s">
        <v>514</v>
      </c>
      <c r="V52" s="35">
        <v>1.0</v>
      </c>
      <c r="Y52" s="35" t="s">
        <v>468</v>
      </c>
      <c r="Z52" s="35">
        <v>2.0</v>
      </c>
      <c r="AA52" s="87" t="s">
        <v>472</v>
      </c>
      <c r="AB52" s="87">
        <v>1.0</v>
      </c>
      <c r="AC52" s="35" t="s">
        <v>513</v>
      </c>
      <c r="AD52" s="35">
        <v>1.0</v>
      </c>
      <c r="AE52" s="35" t="s">
        <v>484</v>
      </c>
      <c r="AF52" s="35">
        <v>2.0</v>
      </c>
      <c r="AG52" s="35" t="s">
        <v>483</v>
      </c>
      <c r="AH52" s="35">
        <v>1.0</v>
      </c>
      <c r="AI52" s="95"/>
      <c r="AJ52" s="95"/>
      <c r="AK52" s="35" t="s">
        <v>468</v>
      </c>
      <c r="AL52" s="35">
        <v>2.0</v>
      </c>
      <c r="AM52" s="87" t="s">
        <v>463</v>
      </c>
      <c r="AN52" s="87">
        <v>1.0</v>
      </c>
      <c r="AO52" s="35" t="s">
        <v>487</v>
      </c>
      <c r="AP52" s="35">
        <v>1.0</v>
      </c>
      <c r="AQ52" s="35" t="s">
        <v>533</v>
      </c>
      <c r="AR52" s="35">
        <v>1.0</v>
      </c>
      <c r="AS52" s="35" t="s">
        <v>533</v>
      </c>
      <c r="AT52" s="35">
        <v>1.0</v>
      </c>
      <c r="AU52" s="95"/>
      <c r="AV52" s="95"/>
      <c r="AW52" s="35" t="s">
        <v>507</v>
      </c>
      <c r="AX52" s="35">
        <v>2.0</v>
      </c>
      <c r="AY52" s="87" t="s">
        <v>457</v>
      </c>
      <c r="AZ52" s="87">
        <v>2.0</v>
      </c>
    </row>
    <row r="53">
      <c r="A53" s="35" t="s">
        <v>468</v>
      </c>
      <c r="B53" s="35">
        <v>1.0</v>
      </c>
      <c r="C53" s="87" t="s">
        <v>453</v>
      </c>
      <c r="D53" s="87">
        <v>2.0</v>
      </c>
      <c r="E53" s="35" t="s">
        <v>523</v>
      </c>
      <c r="F53" s="35">
        <v>1.0</v>
      </c>
      <c r="G53" s="35" t="s">
        <v>479</v>
      </c>
      <c r="H53" s="35">
        <v>1.0</v>
      </c>
      <c r="I53" s="35" t="s">
        <v>495</v>
      </c>
      <c r="J53" s="35">
        <v>6.0</v>
      </c>
      <c r="M53" s="35" t="s">
        <v>472</v>
      </c>
      <c r="N53" s="35">
        <v>1.0</v>
      </c>
      <c r="O53" s="87" t="s">
        <v>472</v>
      </c>
      <c r="P53" s="87">
        <v>1.0</v>
      </c>
      <c r="Q53" s="35" t="s">
        <v>523</v>
      </c>
      <c r="R53" s="35">
        <v>1.0</v>
      </c>
      <c r="S53" s="35" t="s">
        <v>533</v>
      </c>
      <c r="T53" s="35">
        <v>1.0</v>
      </c>
      <c r="U53" s="35" t="s">
        <v>479</v>
      </c>
      <c r="V53" s="35">
        <v>1.0</v>
      </c>
      <c r="Y53" s="35" t="s">
        <v>477</v>
      </c>
      <c r="Z53" s="35">
        <v>1.0</v>
      </c>
      <c r="AA53" s="87" t="s">
        <v>481</v>
      </c>
      <c r="AB53" s="87">
        <v>1.0</v>
      </c>
      <c r="AC53" s="35" t="s">
        <v>519</v>
      </c>
      <c r="AD53" s="35">
        <v>3.0</v>
      </c>
      <c r="AE53" s="35" t="s">
        <v>533</v>
      </c>
      <c r="AF53" s="35">
        <v>1.0</v>
      </c>
      <c r="AG53" s="35" t="s">
        <v>484</v>
      </c>
      <c r="AH53" s="35">
        <v>1.0</v>
      </c>
      <c r="AI53" s="95"/>
      <c r="AJ53" s="95"/>
      <c r="AK53" s="35" t="s">
        <v>481</v>
      </c>
      <c r="AL53" s="35">
        <v>1.0</v>
      </c>
      <c r="AM53" s="87" t="s">
        <v>471</v>
      </c>
      <c r="AN53" s="87">
        <v>1.0</v>
      </c>
      <c r="AO53" s="35" t="s">
        <v>508</v>
      </c>
      <c r="AP53" s="35">
        <v>1.0</v>
      </c>
      <c r="AQ53" s="35" t="s">
        <v>488</v>
      </c>
      <c r="AR53" s="35">
        <v>2.0</v>
      </c>
      <c r="AS53" s="109" t="s">
        <v>487</v>
      </c>
      <c r="AT53" s="35">
        <v>1.0</v>
      </c>
      <c r="AU53" s="95"/>
      <c r="AV53" s="95"/>
      <c r="AW53" s="35" t="s">
        <v>508</v>
      </c>
      <c r="AX53" s="35">
        <v>1.0</v>
      </c>
      <c r="AY53" s="87" t="s">
        <v>462</v>
      </c>
      <c r="AZ53" s="87">
        <v>1.0</v>
      </c>
    </row>
    <row r="54">
      <c r="A54" s="35" t="s">
        <v>517</v>
      </c>
      <c r="B54" s="35">
        <v>1.0</v>
      </c>
      <c r="C54" s="87" t="s">
        <v>457</v>
      </c>
      <c r="D54" s="87">
        <v>1.0</v>
      </c>
      <c r="E54" s="35" t="s">
        <v>503</v>
      </c>
      <c r="F54" s="35">
        <v>1.0</v>
      </c>
      <c r="G54" s="35" t="s">
        <v>483</v>
      </c>
      <c r="H54" s="35">
        <v>1.0</v>
      </c>
      <c r="I54" s="35" t="s">
        <v>515</v>
      </c>
      <c r="J54" s="35">
        <v>1.0</v>
      </c>
      <c r="M54" s="35" t="s">
        <v>484</v>
      </c>
      <c r="N54" s="35">
        <v>1.0</v>
      </c>
      <c r="O54" s="87" t="s">
        <v>481</v>
      </c>
      <c r="P54" s="87">
        <v>1.0</v>
      </c>
      <c r="Q54" s="35" t="s">
        <v>515</v>
      </c>
      <c r="R54" s="35">
        <v>1.0</v>
      </c>
      <c r="S54" s="35" t="s">
        <v>488</v>
      </c>
      <c r="T54" s="35">
        <v>1.0</v>
      </c>
      <c r="U54" s="109" t="s">
        <v>483</v>
      </c>
      <c r="V54" s="35">
        <v>1.0</v>
      </c>
      <c r="Y54" s="35" t="s">
        <v>506</v>
      </c>
      <c r="Z54" s="35">
        <v>1.0</v>
      </c>
      <c r="AA54" s="87" t="s">
        <v>506</v>
      </c>
      <c r="AB54" s="87">
        <v>1.0</v>
      </c>
      <c r="AC54" s="35" t="s">
        <v>518</v>
      </c>
      <c r="AD54" s="35">
        <v>2.0</v>
      </c>
      <c r="AE54" s="35" t="s">
        <v>488</v>
      </c>
      <c r="AF54" s="35">
        <v>2.0</v>
      </c>
      <c r="AG54" s="109" t="s">
        <v>674</v>
      </c>
      <c r="AH54" s="35">
        <v>2.0</v>
      </c>
      <c r="AI54" s="95"/>
      <c r="AJ54" s="95"/>
      <c r="AK54" s="35" t="s">
        <v>486</v>
      </c>
      <c r="AL54" s="35">
        <v>2.0</v>
      </c>
      <c r="AM54" s="35" t="s">
        <v>497</v>
      </c>
      <c r="AN54" s="35">
        <v>1.0</v>
      </c>
      <c r="AO54" s="35" t="s">
        <v>495</v>
      </c>
      <c r="AP54" s="35">
        <v>1.0</v>
      </c>
      <c r="AQ54" s="35" t="s">
        <v>504</v>
      </c>
      <c r="AR54" s="35">
        <v>1.0</v>
      </c>
      <c r="AS54" s="35" t="s">
        <v>508</v>
      </c>
      <c r="AT54" s="35">
        <v>1.0</v>
      </c>
      <c r="AU54" s="95"/>
      <c r="AV54" s="95"/>
      <c r="AW54" s="35" t="s">
        <v>495</v>
      </c>
      <c r="AX54" s="35">
        <v>3.0</v>
      </c>
      <c r="AY54" s="87" t="s">
        <v>468</v>
      </c>
      <c r="AZ54" s="87">
        <v>2.0</v>
      </c>
    </row>
    <row r="55">
      <c r="A55" s="35" t="s">
        <v>481</v>
      </c>
      <c r="B55" s="35">
        <v>1.0</v>
      </c>
      <c r="C55" s="35" t="s">
        <v>460</v>
      </c>
      <c r="D55" s="35">
        <v>2.0</v>
      </c>
      <c r="E55" s="35" t="s">
        <v>513</v>
      </c>
      <c r="F55" s="35">
        <v>1.0</v>
      </c>
      <c r="G55" s="35" t="s">
        <v>501</v>
      </c>
      <c r="H55" s="35">
        <v>1.0</v>
      </c>
      <c r="I55" s="35" t="s">
        <v>503</v>
      </c>
      <c r="J55" s="35">
        <v>2.0</v>
      </c>
      <c r="M55" s="35" t="s">
        <v>500</v>
      </c>
      <c r="N55" s="35">
        <v>2.0</v>
      </c>
      <c r="O55" s="35" t="s">
        <v>477</v>
      </c>
      <c r="P55" s="35">
        <v>1.0</v>
      </c>
      <c r="Q55" s="35" t="s">
        <v>513</v>
      </c>
      <c r="R55" s="35">
        <v>4.0</v>
      </c>
      <c r="S55" s="35" t="s">
        <v>500</v>
      </c>
      <c r="T55" s="35">
        <v>1.0</v>
      </c>
      <c r="U55" s="35" t="s">
        <v>533</v>
      </c>
      <c r="V55" s="35">
        <v>1.0</v>
      </c>
      <c r="Y55" s="35" t="s">
        <v>514</v>
      </c>
      <c r="Z55" s="35">
        <v>1.0</v>
      </c>
      <c r="AA55" s="87" t="s">
        <v>483</v>
      </c>
      <c r="AB55" s="87">
        <v>1.0</v>
      </c>
      <c r="AC55" s="35" t="s">
        <v>525</v>
      </c>
      <c r="AD55" s="35">
        <v>1.0</v>
      </c>
      <c r="AE55" s="35" t="s">
        <v>504</v>
      </c>
      <c r="AF55" s="35">
        <v>1.0</v>
      </c>
      <c r="AG55" s="35" t="s">
        <v>488</v>
      </c>
      <c r="AH55" s="35">
        <v>2.0</v>
      </c>
      <c r="AI55" s="95"/>
      <c r="AJ55" s="95"/>
      <c r="AK55" s="35" t="s">
        <v>483</v>
      </c>
      <c r="AL55" s="35">
        <v>1.0</v>
      </c>
      <c r="AM55" s="35" t="s">
        <v>507</v>
      </c>
      <c r="AN55" s="35">
        <v>1.0</v>
      </c>
      <c r="AO55" s="35" t="s">
        <v>523</v>
      </c>
      <c r="AP55" s="35">
        <v>1.0</v>
      </c>
      <c r="AQ55" s="35" t="s">
        <v>495</v>
      </c>
      <c r="AR55" s="35">
        <v>6.0</v>
      </c>
      <c r="AS55" s="35" t="s">
        <v>495</v>
      </c>
      <c r="AT55" s="35">
        <v>4.0</v>
      </c>
      <c r="AU55" s="95"/>
      <c r="AV55" s="95"/>
      <c r="AW55" s="35" t="s">
        <v>503</v>
      </c>
      <c r="AX55" s="35">
        <v>3.0</v>
      </c>
      <c r="AY55" s="87" t="s">
        <v>471</v>
      </c>
      <c r="AZ55" s="87">
        <v>1.0</v>
      </c>
    </row>
    <row r="56">
      <c r="A56" s="35" t="s">
        <v>484</v>
      </c>
      <c r="B56" s="35">
        <v>1.0</v>
      </c>
      <c r="C56" s="35" t="s">
        <v>462</v>
      </c>
      <c r="D56" s="35">
        <v>1.0</v>
      </c>
      <c r="E56" s="35" t="s">
        <v>540</v>
      </c>
      <c r="F56" s="35">
        <v>1.0</v>
      </c>
      <c r="G56" s="35" t="s">
        <v>488</v>
      </c>
      <c r="H56" s="35">
        <v>1.0</v>
      </c>
      <c r="I56" s="35" t="s">
        <v>513</v>
      </c>
      <c r="J56" s="35">
        <v>3.0</v>
      </c>
      <c r="M56" s="35" t="s">
        <v>507</v>
      </c>
      <c r="N56" s="35">
        <v>1.0</v>
      </c>
      <c r="O56" s="35" t="s">
        <v>514</v>
      </c>
      <c r="P56" s="35">
        <v>2.0</v>
      </c>
      <c r="Q56" s="35" t="s">
        <v>526</v>
      </c>
      <c r="R56" s="35">
        <v>1.0</v>
      </c>
      <c r="S56" s="35" t="s">
        <v>508</v>
      </c>
      <c r="T56" s="35">
        <v>1.0</v>
      </c>
      <c r="U56" s="35" t="s">
        <v>488</v>
      </c>
      <c r="V56" s="35">
        <v>1.0</v>
      </c>
      <c r="Y56" s="35" t="s">
        <v>500</v>
      </c>
      <c r="Z56" s="35">
        <v>1.0</v>
      </c>
      <c r="AA56" s="35" t="s">
        <v>674</v>
      </c>
      <c r="AB56" s="35">
        <v>1.0</v>
      </c>
      <c r="AC56" s="35" t="s">
        <v>532</v>
      </c>
      <c r="AD56" s="35">
        <v>1.0</v>
      </c>
      <c r="AE56" s="35" t="s">
        <v>495</v>
      </c>
      <c r="AF56" s="35">
        <v>2.0</v>
      </c>
      <c r="AG56" s="35" t="s">
        <v>497</v>
      </c>
      <c r="AH56" s="35">
        <v>2.0</v>
      </c>
      <c r="AI56" s="95"/>
      <c r="AJ56" s="95"/>
      <c r="AK56" s="35" t="s">
        <v>507</v>
      </c>
      <c r="AL56" s="35">
        <v>2.0</v>
      </c>
      <c r="AM56" s="35" t="s">
        <v>504</v>
      </c>
      <c r="AN56" s="35">
        <v>1.0</v>
      </c>
      <c r="AO56" s="35" t="s">
        <v>515</v>
      </c>
      <c r="AP56" s="35">
        <v>1.0</v>
      </c>
      <c r="AQ56" s="35" t="s">
        <v>503</v>
      </c>
      <c r="AR56" s="35">
        <v>1.0</v>
      </c>
      <c r="AS56" s="35" t="s">
        <v>513</v>
      </c>
      <c r="AT56" s="35">
        <v>3.0</v>
      </c>
      <c r="AU56" s="95"/>
      <c r="AV56" s="95"/>
      <c r="AW56" s="35" t="s">
        <v>519</v>
      </c>
      <c r="AX56" s="35">
        <v>3.0</v>
      </c>
      <c r="AY56" s="35" t="s">
        <v>483</v>
      </c>
      <c r="AZ56" s="35">
        <v>1.0</v>
      </c>
    </row>
    <row r="57">
      <c r="A57" s="35" t="s">
        <v>500</v>
      </c>
      <c r="B57" s="35">
        <v>1.0</v>
      </c>
      <c r="C57" s="35" t="s">
        <v>468</v>
      </c>
      <c r="D57" s="35">
        <v>1.0</v>
      </c>
      <c r="E57" s="35" t="s">
        <v>532</v>
      </c>
      <c r="F57" s="35">
        <v>1.0</v>
      </c>
      <c r="G57" s="35" t="s">
        <v>497</v>
      </c>
      <c r="H57" s="35">
        <v>1.0</v>
      </c>
      <c r="I57" s="35" t="s">
        <v>519</v>
      </c>
      <c r="J57" s="35">
        <v>1.0</v>
      </c>
      <c r="M57" s="35" t="s">
        <v>495</v>
      </c>
      <c r="N57" s="35">
        <v>1.0</v>
      </c>
      <c r="O57" s="35" t="s">
        <v>483</v>
      </c>
      <c r="P57" s="35">
        <v>1.0</v>
      </c>
      <c r="Q57" s="35" t="s">
        <v>531</v>
      </c>
      <c r="R57" s="35">
        <v>1.0</v>
      </c>
      <c r="S57" s="35" t="s">
        <v>495</v>
      </c>
      <c r="T57" s="35">
        <v>4.0</v>
      </c>
      <c r="U57" s="35" t="s">
        <v>504</v>
      </c>
      <c r="V57" s="35">
        <v>1.0</v>
      </c>
      <c r="Y57" s="35" t="s">
        <v>507</v>
      </c>
      <c r="Z57" s="35">
        <v>1.0</v>
      </c>
      <c r="AA57" s="35" t="s">
        <v>533</v>
      </c>
      <c r="AB57" s="35">
        <v>1.0</v>
      </c>
      <c r="AC57" s="35" t="s">
        <v>545</v>
      </c>
      <c r="AD57" s="35">
        <v>2.0</v>
      </c>
      <c r="AE57" s="35" t="s">
        <v>515</v>
      </c>
      <c r="AF57" s="35">
        <v>1.0</v>
      </c>
      <c r="AG57" s="35" t="s">
        <v>504</v>
      </c>
      <c r="AH57" s="35">
        <v>1.0</v>
      </c>
      <c r="AI57" s="95"/>
      <c r="AJ57" s="95"/>
      <c r="AK57" s="35" t="s">
        <v>495</v>
      </c>
      <c r="AL57" s="35">
        <v>3.0</v>
      </c>
      <c r="AM57" s="35" t="s">
        <v>495</v>
      </c>
      <c r="AN57" s="35">
        <v>4.0</v>
      </c>
      <c r="AO57" s="35" t="s">
        <v>513</v>
      </c>
      <c r="AP57" s="35">
        <v>1.0</v>
      </c>
      <c r="AQ57" s="35" t="s">
        <v>513</v>
      </c>
      <c r="AR57" s="35">
        <v>2.0</v>
      </c>
      <c r="AS57" s="35" t="s">
        <v>531</v>
      </c>
      <c r="AT57" s="35">
        <v>2.0</v>
      </c>
      <c r="AU57" s="95"/>
      <c r="AV57" s="95"/>
      <c r="AW57" s="35" t="s">
        <v>518</v>
      </c>
      <c r="AX57" s="35">
        <v>1.0</v>
      </c>
      <c r="AY57" s="35" t="s">
        <v>533</v>
      </c>
      <c r="AZ57" s="35">
        <v>1.0</v>
      </c>
    </row>
    <row r="58">
      <c r="A58" s="35" t="s">
        <v>487</v>
      </c>
      <c r="B58" s="35">
        <v>1.0</v>
      </c>
      <c r="C58" s="35" t="s">
        <v>486</v>
      </c>
      <c r="D58" s="35">
        <v>1.0</v>
      </c>
      <c r="E58" s="35" t="s">
        <v>530</v>
      </c>
      <c r="F58" s="35">
        <v>1.0</v>
      </c>
      <c r="G58" s="35" t="s">
        <v>495</v>
      </c>
      <c r="H58" s="35">
        <v>3.0</v>
      </c>
      <c r="I58" s="35" t="s">
        <v>518</v>
      </c>
      <c r="J58" s="35">
        <v>2.0</v>
      </c>
      <c r="M58" s="35" t="s">
        <v>523</v>
      </c>
      <c r="N58" s="35">
        <v>2.0</v>
      </c>
      <c r="O58" s="35" t="s">
        <v>484</v>
      </c>
      <c r="P58" s="35">
        <v>1.0</v>
      </c>
      <c r="Q58" s="35" t="s">
        <v>518</v>
      </c>
      <c r="R58" s="35">
        <v>1.0</v>
      </c>
      <c r="S58" s="35" t="s">
        <v>526</v>
      </c>
      <c r="T58" s="35">
        <v>1.0</v>
      </c>
      <c r="U58" s="35" t="s">
        <v>495</v>
      </c>
      <c r="V58" s="35">
        <v>2.0</v>
      </c>
      <c r="Y58" s="35" t="s">
        <v>495</v>
      </c>
      <c r="Z58" s="35">
        <v>2.0</v>
      </c>
      <c r="AA58" s="35" t="s">
        <v>719</v>
      </c>
      <c r="AB58" s="35">
        <v>1.0</v>
      </c>
      <c r="AC58" s="35" t="s">
        <v>553</v>
      </c>
      <c r="AD58" s="35">
        <v>1.0</v>
      </c>
      <c r="AE58" s="35" t="s">
        <v>503</v>
      </c>
      <c r="AF58" s="35">
        <v>1.0</v>
      </c>
      <c r="AG58" s="35" t="s">
        <v>495</v>
      </c>
      <c r="AH58" s="35">
        <v>2.0</v>
      </c>
      <c r="AI58" s="95"/>
      <c r="AJ58" s="95"/>
      <c r="AK58" s="35" t="s">
        <v>503</v>
      </c>
      <c r="AL58" s="35">
        <v>2.0</v>
      </c>
      <c r="AM58" s="35" t="s">
        <v>513</v>
      </c>
      <c r="AN58" s="35">
        <v>1.0</v>
      </c>
      <c r="AO58" s="35" t="s">
        <v>519</v>
      </c>
      <c r="AP58" s="35">
        <v>4.0</v>
      </c>
      <c r="AQ58" s="35" t="s">
        <v>525</v>
      </c>
      <c r="AR58" s="35">
        <v>1.0</v>
      </c>
      <c r="AS58" s="35" t="s">
        <v>518</v>
      </c>
      <c r="AT58" s="35">
        <v>2.0</v>
      </c>
      <c r="AU58" s="95"/>
      <c r="AV58" s="95"/>
      <c r="AW58" s="35" t="s">
        <v>525</v>
      </c>
      <c r="AX58" s="35">
        <v>1.0</v>
      </c>
      <c r="AY58" s="35" t="s">
        <v>504</v>
      </c>
      <c r="AZ58" s="35">
        <v>1.0</v>
      </c>
    </row>
    <row r="59">
      <c r="A59" s="35" t="s">
        <v>507</v>
      </c>
      <c r="B59" s="35">
        <v>1.0</v>
      </c>
      <c r="C59" s="35" t="s">
        <v>483</v>
      </c>
      <c r="D59" s="35">
        <v>1.0</v>
      </c>
      <c r="E59" s="35" t="s">
        <v>541</v>
      </c>
      <c r="F59" s="35">
        <v>1.0</v>
      </c>
      <c r="G59" s="35" t="s">
        <v>515</v>
      </c>
      <c r="H59" s="35">
        <v>1.0</v>
      </c>
      <c r="I59" s="35" t="s">
        <v>527</v>
      </c>
      <c r="J59" s="35">
        <v>2.0</v>
      </c>
      <c r="M59" s="35" t="s">
        <v>519</v>
      </c>
      <c r="N59" s="35">
        <v>3.0</v>
      </c>
      <c r="O59" s="35" t="s">
        <v>500</v>
      </c>
      <c r="P59" s="35">
        <v>2.0</v>
      </c>
      <c r="Q59" s="35" t="s">
        <v>540</v>
      </c>
      <c r="R59" s="35">
        <v>1.0</v>
      </c>
      <c r="S59" s="35" t="s">
        <v>519</v>
      </c>
      <c r="T59" s="35">
        <v>2.0</v>
      </c>
      <c r="U59" s="35" t="s">
        <v>523</v>
      </c>
      <c r="V59" s="35">
        <v>2.0</v>
      </c>
      <c r="Y59" s="35" t="s">
        <v>523</v>
      </c>
      <c r="Z59" s="35">
        <v>2.0</v>
      </c>
      <c r="AA59" s="35" t="s">
        <v>497</v>
      </c>
      <c r="AB59" s="35">
        <v>1.0</v>
      </c>
      <c r="AC59" s="35" t="s">
        <v>559</v>
      </c>
      <c r="AD59" s="35">
        <v>1.0</v>
      </c>
      <c r="AE59" s="35" t="s">
        <v>531</v>
      </c>
      <c r="AF59" s="35">
        <v>1.0</v>
      </c>
      <c r="AG59" s="35" t="s">
        <v>523</v>
      </c>
      <c r="AH59" s="35">
        <v>2.0</v>
      </c>
      <c r="AI59" s="95"/>
      <c r="AJ59" s="95"/>
      <c r="AK59" s="35" t="s">
        <v>526</v>
      </c>
      <c r="AL59" s="35">
        <v>1.0</v>
      </c>
      <c r="AM59" s="35" t="s">
        <v>519</v>
      </c>
      <c r="AN59" s="35">
        <v>2.0</v>
      </c>
      <c r="AO59" s="35" t="s">
        <v>531</v>
      </c>
      <c r="AP59" s="35">
        <v>1.0</v>
      </c>
      <c r="AQ59" s="35" t="s">
        <v>540</v>
      </c>
      <c r="AR59" s="35">
        <v>2.0</v>
      </c>
      <c r="AS59" s="35" t="s">
        <v>521</v>
      </c>
      <c r="AT59" s="35">
        <v>1.0</v>
      </c>
      <c r="AU59" s="95"/>
      <c r="AV59" s="95"/>
      <c r="AW59" s="35" t="s">
        <v>540</v>
      </c>
      <c r="AX59" s="35">
        <v>1.0</v>
      </c>
      <c r="AY59" s="35" t="s">
        <v>495</v>
      </c>
      <c r="AZ59" s="35">
        <v>5.0</v>
      </c>
    </row>
    <row r="60">
      <c r="A60" s="35" t="s">
        <v>508</v>
      </c>
      <c r="B60" s="35">
        <v>1.0</v>
      </c>
      <c r="C60" s="35" t="s">
        <v>497</v>
      </c>
      <c r="D60" s="35">
        <v>1.0</v>
      </c>
      <c r="E60" s="35" t="s">
        <v>544</v>
      </c>
      <c r="F60" s="35">
        <v>2.0</v>
      </c>
      <c r="G60" s="35" t="s">
        <v>503</v>
      </c>
      <c r="H60" s="35">
        <v>1.0</v>
      </c>
      <c r="I60" s="35" t="s">
        <v>525</v>
      </c>
      <c r="J60" s="35">
        <v>3.0</v>
      </c>
      <c r="M60" s="35" t="s">
        <v>540</v>
      </c>
      <c r="N60" s="35">
        <v>3.0</v>
      </c>
      <c r="O60" s="35" t="s">
        <v>497</v>
      </c>
      <c r="P60" s="35">
        <v>2.0</v>
      </c>
      <c r="Q60" s="35" t="s">
        <v>532</v>
      </c>
      <c r="R60" s="35">
        <v>1.0</v>
      </c>
      <c r="S60" s="35" t="s">
        <v>531</v>
      </c>
      <c r="T60" s="35">
        <v>2.0</v>
      </c>
      <c r="U60" s="35" t="s">
        <v>503</v>
      </c>
      <c r="V60" s="35">
        <v>2.0</v>
      </c>
      <c r="Y60" s="35" t="s">
        <v>515</v>
      </c>
      <c r="Z60" s="35">
        <v>1.0</v>
      </c>
      <c r="AA60" s="35" t="s">
        <v>508</v>
      </c>
      <c r="AB60" s="35">
        <v>1.0</v>
      </c>
      <c r="AC60" s="35" t="s">
        <v>548</v>
      </c>
      <c r="AD60" s="35">
        <v>2.0</v>
      </c>
      <c r="AE60" s="35" t="s">
        <v>518</v>
      </c>
      <c r="AF60" s="35">
        <v>1.0</v>
      </c>
      <c r="AG60" s="35" t="s">
        <v>503</v>
      </c>
      <c r="AH60" s="35">
        <v>2.0</v>
      </c>
      <c r="AI60" s="95"/>
      <c r="AJ60" s="95"/>
      <c r="AK60" s="35" t="s">
        <v>519</v>
      </c>
      <c r="AL60" s="35">
        <v>2.0</v>
      </c>
      <c r="AM60" s="35" t="s">
        <v>518</v>
      </c>
      <c r="AN60" s="35">
        <v>1.0</v>
      </c>
      <c r="AO60" s="35" t="s">
        <v>532</v>
      </c>
      <c r="AP60" s="35">
        <v>1.0</v>
      </c>
      <c r="AQ60" s="35" t="s">
        <v>530</v>
      </c>
      <c r="AR60" s="35">
        <v>2.0</v>
      </c>
      <c r="AS60" s="35" t="s">
        <v>525</v>
      </c>
      <c r="AT60" s="35">
        <v>2.0</v>
      </c>
      <c r="AU60" s="95"/>
      <c r="AV60" s="95"/>
      <c r="AW60" s="35" t="s">
        <v>532</v>
      </c>
      <c r="AX60" s="35">
        <v>1.0</v>
      </c>
      <c r="AY60" s="35" t="s">
        <v>503</v>
      </c>
      <c r="AZ60" s="35">
        <v>1.0</v>
      </c>
    </row>
    <row r="61">
      <c r="A61" s="35" t="s">
        <v>495</v>
      </c>
      <c r="B61" s="35">
        <v>1.0</v>
      </c>
      <c r="C61" s="35" t="s">
        <v>495</v>
      </c>
      <c r="D61" s="35">
        <v>3.0</v>
      </c>
      <c r="E61" s="35" t="s">
        <v>559</v>
      </c>
      <c r="F61" s="35">
        <v>1.0</v>
      </c>
      <c r="G61" s="35" t="s">
        <v>513</v>
      </c>
      <c r="H61" s="35">
        <v>1.0</v>
      </c>
      <c r="I61" s="35" t="s">
        <v>540</v>
      </c>
      <c r="J61" s="35">
        <v>2.0</v>
      </c>
      <c r="M61" s="35" t="s">
        <v>532</v>
      </c>
      <c r="N61" s="35">
        <v>1.0</v>
      </c>
      <c r="O61" s="35" t="s">
        <v>507</v>
      </c>
      <c r="P61" s="35">
        <v>1.0</v>
      </c>
      <c r="Q61" s="35" t="s">
        <v>536</v>
      </c>
      <c r="R61" s="35">
        <v>3.0</v>
      </c>
      <c r="S61" s="35" t="s">
        <v>518</v>
      </c>
      <c r="T61" s="35">
        <v>6.0</v>
      </c>
      <c r="U61" s="35" t="s">
        <v>513</v>
      </c>
      <c r="V61" s="35">
        <v>2.0</v>
      </c>
      <c r="Y61" s="35" t="s">
        <v>503</v>
      </c>
      <c r="Z61" s="35">
        <v>1.0</v>
      </c>
      <c r="AA61" s="35" t="s">
        <v>495</v>
      </c>
      <c r="AB61" s="35">
        <v>2.0</v>
      </c>
      <c r="AC61" s="35" t="s">
        <v>552</v>
      </c>
      <c r="AD61" s="35">
        <v>1.0</v>
      </c>
      <c r="AE61" s="35" t="s">
        <v>521</v>
      </c>
      <c r="AF61" s="35">
        <v>1.0</v>
      </c>
      <c r="AG61" s="35" t="s">
        <v>513</v>
      </c>
      <c r="AH61" s="35">
        <v>2.0</v>
      </c>
      <c r="AI61" s="95"/>
      <c r="AJ61" s="95"/>
      <c r="AK61" s="35" t="s">
        <v>518</v>
      </c>
      <c r="AL61" s="35">
        <v>1.0</v>
      </c>
      <c r="AM61" s="35" t="s">
        <v>540</v>
      </c>
      <c r="AN61" s="35">
        <v>1.0</v>
      </c>
      <c r="AO61" s="35" t="s">
        <v>536</v>
      </c>
      <c r="AP61" s="35">
        <v>1.0</v>
      </c>
      <c r="AQ61" s="35" t="s">
        <v>541</v>
      </c>
      <c r="AR61" s="35">
        <v>1.0</v>
      </c>
      <c r="AS61" s="35" t="s">
        <v>540</v>
      </c>
      <c r="AT61" s="35">
        <v>1.0</v>
      </c>
      <c r="AU61" s="95"/>
      <c r="AV61" s="95"/>
      <c r="AW61" s="35" t="s">
        <v>536</v>
      </c>
      <c r="AX61" s="35">
        <v>1.0</v>
      </c>
      <c r="AY61" s="35" t="s">
        <v>513</v>
      </c>
      <c r="AZ61" s="35">
        <v>3.0</v>
      </c>
    </row>
    <row r="62">
      <c r="A62" s="35" t="s">
        <v>503</v>
      </c>
      <c r="B62" s="35">
        <v>1.0</v>
      </c>
      <c r="C62" s="35" t="s">
        <v>523</v>
      </c>
      <c r="D62" s="35">
        <v>1.0</v>
      </c>
      <c r="E62" s="35" t="s">
        <v>556</v>
      </c>
      <c r="F62" s="35">
        <v>1.0</v>
      </c>
      <c r="G62" s="35" t="s">
        <v>526</v>
      </c>
      <c r="H62" s="35">
        <v>1.0</v>
      </c>
      <c r="I62" s="35" t="s">
        <v>532</v>
      </c>
      <c r="J62" s="35">
        <v>2.0</v>
      </c>
      <c r="M62" s="35" t="s">
        <v>536</v>
      </c>
      <c r="N62" s="35">
        <v>1.0</v>
      </c>
      <c r="O62" s="35" t="s">
        <v>495</v>
      </c>
      <c r="P62" s="35">
        <v>3.0</v>
      </c>
      <c r="Q62" s="35" t="s">
        <v>541</v>
      </c>
      <c r="R62" s="35">
        <v>1.0</v>
      </c>
      <c r="S62" s="35" t="s">
        <v>521</v>
      </c>
      <c r="T62" s="35">
        <v>1.0</v>
      </c>
      <c r="U62" s="35" t="s">
        <v>519</v>
      </c>
      <c r="V62" s="35">
        <v>2.0</v>
      </c>
      <c r="Y62" s="35" t="s">
        <v>519</v>
      </c>
      <c r="Z62" s="35">
        <v>1.0</v>
      </c>
      <c r="AA62" s="35" t="s">
        <v>513</v>
      </c>
      <c r="AB62" s="35">
        <v>2.0</v>
      </c>
      <c r="AC62" s="35" t="s">
        <v>562</v>
      </c>
      <c r="AD62" s="35">
        <v>1.0</v>
      </c>
      <c r="AE62" s="35" t="s">
        <v>527</v>
      </c>
      <c r="AF62" s="35">
        <v>1.0</v>
      </c>
      <c r="AG62" s="35" t="s">
        <v>526</v>
      </c>
      <c r="AH62" s="35">
        <v>1.0</v>
      </c>
      <c r="AI62" s="95"/>
      <c r="AJ62" s="95"/>
      <c r="AK62" s="35" t="s">
        <v>521</v>
      </c>
      <c r="AL62" s="35">
        <v>1.0</v>
      </c>
      <c r="AM62" s="35" t="s">
        <v>532</v>
      </c>
      <c r="AN62" s="35">
        <v>1.0</v>
      </c>
      <c r="AO62" s="35" t="s">
        <v>541</v>
      </c>
      <c r="AP62" s="35">
        <v>1.0</v>
      </c>
      <c r="AQ62" s="35" t="s">
        <v>553</v>
      </c>
      <c r="AR62" s="35">
        <v>1.0</v>
      </c>
      <c r="AS62" s="35" t="s">
        <v>536</v>
      </c>
      <c r="AT62" s="35">
        <v>3.0</v>
      </c>
      <c r="AU62" s="95"/>
      <c r="AV62" s="95"/>
      <c r="AW62" s="35" t="s">
        <v>530</v>
      </c>
      <c r="AX62" s="35">
        <v>1.0</v>
      </c>
      <c r="AY62" s="35" t="s">
        <v>518</v>
      </c>
      <c r="AZ62" s="35">
        <v>1.0</v>
      </c>
    </row>
    <row r="63">
      <c r="A63" s="35" t="s">
        <v>513</v>
      </c>
      <c r="B63" s="35">
        <v>1.0</v>
      </c>
      <c r="C63" s="35" t="s">
        <v>515</v>
      </c>
      <c r="D63" s="35">
        <v>2.0</v>
      </c>
      <c r="E63" s="35" t="s">
        <v>548</v>
      </c>
      <c r="F63" s="35">
        <v>4.0</v>
      </c>
      <c r="G63" s="35" t="s">
        <v>518</v>
      </c>
      <c r="H63" s="35">
        <v>3.0</v>
      </c>
      <c r="I63" s="35" t="s">
        <v>536</v>
      </c>
      <c r="J63" s="35">
        <v>2.0</v>
      </c>
      <c r="M63" s="35" t="s">
        <v>541</v>
      </c>
      <c r="N63" s="35">
        <v>1.0</v>
      </c>
      <c r="O63" s="35" t="s">
        <v>523</v>
      </c>
      <c r="P63" s="35">
        <v>1.0</v>
      </c>
      <c r="Q63" s="35" t="s">
        <v>545</v>
      </c>
      <c r="R63" s="35">
        <v>2.0</v>
      </c>
      <c r="S63" s="35" t="s">
        <v>525</v>
      </c>
      <c r="T63" s="35">
        <v>2.0</v>
      </c>
      <c r="U63" s="35" t="s">
        <v>531</v>
      </c>
      <c r="V63" s="35">
        <v>1.0</v>
      </c>
      <c r="Y63" s="35" t="s">
        <v>527</v>
      </c>
      <c r="Z63" s="35">
        <v>1.0</v>
      </c>
      <c r="AA63" s="35" t="s">
        <v>526</v>
      </c>
      <c r="AB63" s="35">
        <v>1.0</v>
      </c>
      <c r="AC63" s="35"/>
      <c r="AD63" s="35"/>
      <c r="AE63" s="35" t="s">
        <v>540</v>
      </c>
      <c r="AF63" s="35">
        <v>3.0</v>
      </c>
      <c r="AG63" s="35" t="s">
        <v>519</v>
      </c>
      <c r="AH63" s="35">
        <v>1.0</v>
      </c>
      <c r="AI63" s="95"/>
      <c r="AJ63" s="95"/>
      <c r="AK63" s="35" t="s">
        <v>527</v>
      </c>
      <c r="AL63" s="35">
        <v>1.0</v>
      </c>
      <c r="AM63" s="87" t="s">
        <v>536</v>
      </c>
      <c r="AN63" s="158">
        <v>1.0</v>
      </c>
      <c r="AO63" s="35" t="s">
        <v>535</v>
      </c>
      <c r="AP63" s="35">
        <v>1.0</v>
      </c>
      <c r="AQ63" s="35" t="s">
        <v>544</v>
      </c>
      <c r="AR63" s="35">
        <v>1.0</v>
      </c>
      <c r="AS63" s="35" t="s">
        <v>530</v>
      </c>
      <c r="AT63" s="35">
        <v>3.0</v>
      </c>
      <c r="AU63" s="95"/>
      <c r="AV63" s="95"/>
      <c r="AW63" s="35" t="s">
        <v>541</v>
      </c>
      <c r="AX63" s="35">
        <v>1.0</v>
      </c>
      <c r="AY63" s="35" t="s">
        <v>532</v>
      </c>
      <c r="AZ63" s="35">
        <v>1.0</v>
      </c>
    </row>
    <row r="64">
      <c r="A64" s="35" t="s">
        <v>526</v>
      </c>
      <c r="B64" s="35">
        <v>2.0</v>
      </c>
      <c r="C64" s="87" t="s">
        <v>503</v>
      </c>
      <c r="D64" s="158">
        <v>2.0</v>
      </c>
      <c r="E64" s="35" t="s">
        <v>552</v>
      </c>
      <c r="F64" s="35">
        <v>1.0</v>
      </c>
      <c r="G64" s="35" t="s">
        <v>521</v>
      </c>
      <c r="H64" s="35">
        <v>1.0</v>
      </c>
      <c r="I64" s="35" t="s">
        <v>530</v>
      </c>
      <c r="J64" s="35">
        <v>1.0</v>
      </c>
      <c r="M64" s="35" t="s">
        <v>544</v>
      </c>
      <c r="N64" s="35">
        <v>2.0</v>
      </c>
      <c r="O64" s="87" t="s">
        <v>503</v>
      </c>
      <c r="P64" s="158">
        <v>1.0</v>
      </c>
      <c r="Q64" s="35" t="s">
        <v>553</v>
      </c>
      <c r="R64" s="35">
        <v>2.0</v>
      </c>
      <c r="S64" s="35" t="s">
        <v>540</v>
      </c>
      <c r="T64" s="35">
        <v>4.0</v>
      </c>
      <c r="U64" s="35" t="s">
        <v>518</v>
      </c>
      <c r="V64" s="35">
        <v>2.0</v>
      </c>
      <c r="Y64" s="35" t="s">
        <v>540</v>
      </c>
      <c r="Z64" s="35">
        <v>1.0</v>
      </c>
      <c r="AA64" s="35" t="s">
        <v>519</v>
      </c>
      <c r="AB64" s="35">
        <v>1.0</v>
      </c>
      <c r="AC64" s="35"/>
      <c r="AD64" s="72">
        <v>68.0</v>
      </c>
      <c r="AE64" s="35" t="s">
        <v>532</v>
      </c>
      <c r="AF64" s="35">
        <v>1.0</v>
      </c>
      <c r="AG64" s="35" t="s">
        <v>531</v>
      </c>
      <c r="AH64" s="35">
        <v>1.0</v>
      </c>
      <c r="AI64" s="95"/>
      <c r="AJ64" s="95"/>
      <c r="AK64" s="35" t="s">
        <v>525</v>
      </c>
      <c r="AL64" s="35">
        <v>2.0</v>
      </c>
      <c r="AM64" s="87" t="s">
        <v>530</v>
      </c>
      <c r="AN64" s="158">
        <v>1.0</v>
      </c>
      <c r="AO64" s="35" t="s">
        <v>559</v>
      </c>
      <c r="AP64" s="35">
        <v>1.0</v>
      </c>
      <c r="AQ64" s="35" t="s">
        <v>559</v>
      </c>
      <c r="AR64" s="35">
        <v>1.0</v>
      </c>
      <c r="AS64" s="35" t="s">
        <v>535</v>
      </c>
      <c r="AT64" s="35">
        <v>1.0</v>
      </c>
      <c r="AU64" s="95"/>
      <c r="AV64" s="95"/>
      <c r="AW64" s="35" t="s">
        <v>535</v>
      </c>
      <c r="AX64" s="35">
        <v>1.0</v>
      </c>
      <c r="AY64" s="35" t="s">
        <v>541</v>
      </c>
      <c r="AZ64" s="35">
        <v>1.0</v>
      </c>
    </row>
    <row r="65">
      <c r="A65" s="35" t="s">
        <v>519</v>
      </c>
      <c r="B65" s="35">
        <v>1.0</v>
      </c>
      <c r="C65" s="87" t="s">
        <v>519</v>
      </c>
      <c r="D65" s="158">
        <v>1.0</v>
      </c>
      <c r="E65" s="35" t="s">
        <v>565</v>
      </c>
      <c r="F65" s="35">
        <v>1.0</v>
      </c>
      <c r="G65" s="35" t="s">
        <v>540</v>
      </c>
      <c r="H65" s="35">
        <v>1.0</v>
      </c>
      <c r="I65" s="35" t="s">
        <v>541</v>
      </c>
      <c r="J65" s="35">
        <v>1.0</v>
      </c>
      <c r="M65" s="35" t="s">
        <v>556</v>
      </c>
      <c r="N65" s="35">
        <v>1.0</v>
      </c>
      <c r="O65" s="87" t="s">
        <v>513</v>
      </c>
      <c r="P65" s="158">
        <v>1.0</v>
      </c>
      <c r="Q65" s="35" t="s">
        <v>571</v>
      </c>
      <c r="R65" s="35">
        <v>1.0</v>
      </c>
      <c r="S65" s="35" t="s">
        <v>532</v>
      </c>
      <c r="T65" s="35">
        <v>1.0</v>
      </c>
      <c r="U65" s="35" t="s">
        <v>521</v>
      </c>
      <c r="V65" s="35">
        <v>1.0</v>
      </c>
      <c r="Y65" s="35" t="s">
        <v>532</v>
      </c>
      <c r="Z65" s="35">
        <v>1.0</v>
      </c>
      <c r="AA65" s="87" t="s">
        <v>518</v>
      </c>
      <c r="AB65" s="158">
        <v>1.0</v>
      </c>
      <c r="AC65" s="186"/>
      <c r="AD65" s="186"/>
      <c r="AE65" s="35" t="s">
        <v>536</v>
      </c>
      <c r="AF65" s="35">
        <v>1.0</v>
      </c>
      <c r="AG65" s="35" t="s">
        <v>518</v>
      </c>
      <c r="AH65" s="35">
        <v>3.0</v>
      </c>
      <c r="AI65" s="95"/>
      <c r="AJ65" s="95"/>
      <c r="AK65" s="35" t="s">
        <v>540</v>
      </c>
      <c r="AL65" s="35">
        <v>1.0</v>
      </c>
      <c r="AM65" s="87" t="s">
        <v>541</v>
      </c>
      <c r="AN65" s="158">
        <v>1.0</v>
      </c>
      <c r="AO65" s="35" t="s">
        <v>552</v>
      </c>
      <c r="AP65" s="35">
        <v>1.0</v>
      </c>
      <c r="AQ65" s="35" t="s">
        <v>548</v>
      </c>
      <c r="AR65" s="35">
        <v>1.0</v>
      </c>
      <c r="AS65" s="35" t="s">
        <v>553</v>
      </c>
      <c r="AT65" s="35">
        <v>1.0</v>
      </c>
      <c r="AU65" s="95"/>
      <c r="AV65" s="95"/>
      <c r="AW65" s="35" t="s">
        <v>571</v>
      </c>
      <c r="AX65" s="35">
        <v>2.0</v>
      </c>
      <c r="AY65" s="35" t="s">
        <v>535</v>
      </c>
      <c r="AZ65" s="35">
        <v>1.0</v>
      </c>
    </row>
    <row r="66">
      <c r="A66" s="35" t="s">
        <v>531</v>
      </c>
      <c r="B66" s="35">
        <v>1.0</v>
      </c>
      <c r="C66" s="87" t="s">
        <v>518</v>
      </c>
      <c r="D66" s="158">
        <v>1.0</v>
      </c>
      <c r="E66" s="35" t="s">
        <v>569</v>
      </c>
      <c r="F66" s="35">
        <v>1.0</v>
      </c>
      <c r="G66" s="35" t="s">
        <v>536</v>
      </c>
      <c r="H66" s="35">
        <v>1.0</v>
      </c>
      <c r="I66" s="35" t="s">
        <v>553</v>
      </c>
      <c r="J66" s="35">
        <v>2.0</v>
      </c>
      <c r="M66" s="35" t="s">
        <v>548</v>
      </c>
      <c r="N66" s="35">
        <v>1.0</v>
      </c>
      <c r="O66" s="87" t="s">
        <v>518</v>
      </c>
      <c r="P66" s="158">
        <v>1.0</v>
      </c>
      <c r="Q66" s="35" t="s">
        <v>544</v>
      </c>
      <c r="R66" s="35">
        <v>1.0</v>
      </c>
      <c r="S66" s="35" t="s">
        <v>536</v>
      </c>
      <c r="T66" s="35">
        <v>1.0</v>
      </c>
      <c r="U66" s="35" t="s">
        <v>527</v>
      </c>
      <c r="V66" s="35">
        <v>1.0</v>
      </c>
      <c r="Y66" s="35" t="s">
        <v>536</v>
      </c>
      <c r="Z66" s="35">
        <v>1.0</v>
      </c>
      <c r="AA66" s="87" t="s">
        <v>527</v>
      </c>
      <c r="AB66" s="158">
        <v>1.0</v>
      </c>
      <c r="AC66" s="186"/>
      <c r="AD66" s="186"/>
      <c r="AE66" s="35" t="s">
        <v>541</v>
      </c>
      <c r="AF66" s="35">
        <v>2.0</v>
      </c>
      <c r="AG66" s="35" t="s">
        <v>521</v>
      </c>
      <c r="AH66" s="35">
        <v>1.0</v>
      </c>
      <c r="AI66" s="95"/>
      <c r="AJ66" s="95"/>
      <c r="AK66" s="35" t="s">
        <v>536</v>
      </c>
      <c r="AL66" s="35">
        <v>3.0</v>
      </c>
      <c r="AM66" s="35" t="s">
        <v>535</v>
      </c>
      <c r="AN66" s="35">
        <v>1.0</v>
      </c>
      <c r="AO66" s="35"/>
      <c r="AP66" s="35"/>
      <c r="AQ66" s="35" t="s">
        <v>552</v>
      </c>
      <c r="AR66" s="35">
        <v>1.0</v>
      </c>
      <c r="AS66" s="35" t="s">
        <v>571</v>
      </c>
      <c r="AT66" s="35">
        <v>1.0</v>
      </c>
      <c r="AU66" s="95"/>
      <c r="AV66" s="95"/>
      <c r="AW66" s="35" t="s">
        <v>548</v>
      </c>
      <c r="AX66" s="35">
        <v>1.0</v>
      </c>
      <c r="AY66" s="87" t="s">
        <v>571</v>
      </c>
      <c r="AZ66" s="158">
        <v>1.0</v>
      </c>
    </row>
    <row r="67">
      <c r="A67" s="35" t="s">
        <v>521</v>
      </c>
      <c r="B67" s="35">
        <v>1.0</v>
      </c>
      <c r="C67" s="35" t="s">
        <v>540</v>
      </c>
      <c r="D67" s="35">
        <v>1.0</v>
      </c>
      <c r="E67" s="8"/>
      <c r="F67" s="8"/>
      <c r="G67" s="35" t="s">
        <v>545</v>
      </c>
      <c r="H67" s="35">
        <v>2.0</v>
      </c>
      <c r="I67" s="35" t="s">
        <v>539</v>
      </c>
      <c r="J67" s="35">
        <v>1.0</v>
      </c>
      <c r="M67" s="35" t="s">
        <v>552</v>
      </c>
      <c r="N67" s="35">
        <v>1.0</v>
      </c>
      <c r="O67" s="35" t="s">
        <v>521</v>
      </c>
      <c r="P67" s="35">
        <v>1.0</v>
      </c>
      <c r="Q67" s="35" t="s">
        <v>676</v>
      </c>
      <c r="R67" s="35">
        <v>1.0</v>
      </c>
      <c r="S67" s="35" t="s">
        <v>530</v>
      </c>
      <c r="T67" s="35">
        <v>1.0</v>
      </c>
      <c r="U67" s="35" t="s">
        <v>540</v>
      </c>
      <c r="V67" s="35">
        <v>1.0</v>
      </c>
      <c r="Y67" s="35" t="s">
        <v>530</v>
      </c>
      <c r="Z67" s="35">
        <v>2.0</v>
      </c>
      <c r="AA67" s="87" t="s">
        <v>540</v>
      </c>
      <c r="AB67" s="158">
        <v>1.0</v>
      </c>
      <c r="AC67" s="186"/>
      <c r="AD67" s="186"/>
      <c r="AE67" s="35" t="s">
        <v>539</v>
      </c>
      <c r="AF67" s="35">
        <v>1.0</v>
      </c>
      <c r="AG67" s="35" t="s">
        <v>525</v>
      </c>
      <c r="AH67" s="35">
        <v>1.0</v>
      </c>
      <c r="AI67" s="95"/>
      <c r="AJ67" s="95"/>
      <c r="AK67" s="35" t="s">
        <v>541</v>
      </c>
      <c r="AL67" s="35">
        <v>1.0</v>
      </c>
      <c r="AM67" s="35" t="s">
        <v>571</v>
      </c>
      <c r="AN67" s="35">
        <v>3.0</v>
      </c>
      <c r="AO67" s="35"/>
      <c r="AP67" s="72">
        <v>71.0</v>
      </c>
      <c r="AQ67" s="35" t="s">
        <v>562</v>
      </c>
      <c r="AR67" s="35">
        <v>1.0</v>
      </c>
      <c r="AS67" s="35" t="s">
        <v>548</v>
      </c>
      <c r="AT67" s="35">
        <v>1.0</v>
      </c>
      <c r="AU67" s="95"/>
      <c r="AV67" s="95"/>
      <c r="AW67" s="35" t="s">
        <v>552</v>
      </c>
      <c r="AX67" s="35">
        <v>1.0</v>
      </c>
      <c r="AY67" s="87" t="s">
        <v>548</v>
      </c>
      <c r="AZ67" s="158">
        <v>2.0</v>
      </c>
    </row>
    <row r="68">
      <c r="A68" s="35" t="s">
        <v>532</v>
      </c>
      <c r="B68" s="35">
        <v>1.0</v>
      </c>
      <c r="C68" s="35" t="s">
        <v>532</v>
      </c>
      <c r="D68" s="35">
        <v>1.0</v>
      </c>
      <c r="E68" s="8"/>
      <c r="F68" s="69">
        <v>73.0</v>
      </c>
      <c r="G68" s="35" t="s">
        <v>535</v>
      </c>
      <c r="H68" s="35">
        <v>1.0</v>
      </c>
      <c r="I68" s="35" t="s">
        <v>544</v>
      </c>
      <c r="J68" s="35">
        <v>2.0</v>
      </c>
      <c r="M68" s="35" t="s">
        <v>555</v>
      </c>
      <c r="N68" s="35">
        <v>1.0</v>
      </c>
      <c r="O68" s="35" t="s">
        <v>525</v>
      </c>
      <c r="P68" s="35">
        <v>1.0</v>
      </c>
      <c r="Q68" s="35" t="s">
        <v>565</v>
      </c>
      <c r="R68" s="35">
        <v>1.0</v>
      </c>
      <c r="S68" s="35" t="s">
        <v>541</v>
      </c>
      <c r="T68" s="35">
        <v>1.0</v>
      </c>
      <c r="U68" s="35" t="s">
        <v>532</v>
      </c>
      <c r="V68" s="35">
        <v>1.0</v>
      </c>
      <c r="Y68" s="35" t="s">
        <v>541</v>
      </c>
      <c r="Z68" s="35">
        <v>2.0</v>
      </c>
      <c r="AA68" s="35" t="s">
        <v>537</v>
      </c>
      <c r="AB68" s="35">
        <v>1.0</v>
      </c>
      <c r="AC68" s="95"/>
      <c r="AD68" s="95"/>
      <c r="AE68" s="35" t="s">
        <v>544</v>
      </c>
      <c r="AF68" s="35">
        <v>1.0</v>
      </c>
      <c r="AG68" s="35" t="s">
        <v>540</v>
      </c>
      <c r="AH68" s="35">
        <v>3.0</v>
      </c>
      <c r="AI68" s="95"/>
      <c r="AJ68" s="95"/>
      <c r="AK68" s="35" t="s">
        <v>553</v>
      </c>
      <c r="AL68" s="35">
        <v>1.0</v>
      </c>
      <c r="AM68" s="35" t="s">
        <v>539</v>
      </c>
      <c r="AN68" s="35">
        <v>1.0</v>
      </c>
      <c r="AO68" s="95"/>
      <c r="AP68" s="95"/>
      <c r="AQ68" s="35" t="s">
        <v>565</v>
      </c>
      <c r="AR68" s="35">
        <v>1.0</v>
      </c>
      <c r="AS68" s="35" t="s">
        <v>552</v>
      </c>
      <c r="AT68" s="35">
        <v>2.0</v>
      </c>
      <c r="AU68" s="95"/>
      <c r="AV68" s="95"/>
      <c r="AW68" s="35" t="s">
        <v>565</v>
      </c>
      <c r="AX68" s="35">
        <v>1.0</v>
      </c>
      <c r="AY68" s="87" t="s">
        <v>552</v>
      </c>
      <c r="AZ68" s="158">
        <v>2.0</v>
      </c>
    </row>
    <row r="69">
      <c r="A69" s="35" t="s">
        <v>537</v>
      </c>
      <c r="B69" s="35">
        <v>1.0</v>
      </c>
      <c r="C69" s="35" t="s">
        <v>553</v>
      </c>
      <c r="D69" s="35">
        <v>1.0</v>
      </c>
      <c r="G69" s="35" t="s">
        <v>571</v>
      </c>
      <c r="H69" s="35">
        <v>1.0</v>
      </c>
      <c r="I69" s="35" t="s">
        <v>556</v>
      </c>
      <c r="J69" s="35">
        <v>1.0</v>
      </c>
      <c r="M69" s="8"/>
      <c r="N69" s="8"/>
      <c r="O69" s="35" t="s">
        <v>532</v>
      </c>
      <c r="P69" s="35">
        <v>1.0</v>
      </c>
      <c r="Q69" s="8"/>
      <c r="R69" s="8"/>
      <c r="S69" s="35" t="s">
        <v>544</v>
      </c>
      <c r="T69" s="35">
        <v>1.0</v>
      </c>
      <c r="U69" s="35" t="s">
        <v>537</v>
      </c>
      <c r="V69" s="35">
        <v>1.0</v>
      </c>
      <c r="Y69" s="35" t="s">
        <v>553</v>
      </c>
      <c r="Z69" s="35">
        <v>1.0</v>
      </c>
      <c r="AA69" s="35" t="s">
        <v>536</v>
      </c>
      <c r="AB69" s="35">
        <v>1.0</v>
      </c>
      <c r="AC69" s="95"/>
      <c r="AD69" s="95"/>
      <c r="AE69" s="35" t="s">
        <v>676</v>
      </c>
      <c r="AF69" s="35">
        <v>1.0</v>
      </c>
      <c r="AG69" s="35" t="s">
        <v>532</v>
      </c>
      <c r="AH69" s="35">
        <v>1.0</v>
      </c>
      <c r="AI69" s="95"/>
      <c r="AJ69" s="95"/>
      <c r="AK69" s="35" t="s">
        <v>548</v>
      </c>
      <c r="AL69" s="35">
        <v>1.0</v>
      </c>
      <c r="AM69" s="35" t="s">
        <v>552</v>
      </c>
      <c r="AN69" s="35">
        <v>5.0</v>
      </c>
      <c r="AO69" s="95"/>
      <c r="AP69" s="95"/>
      <c r="AQ69" s="35" t="s">
        <v>555</v>
      </c>
      <c r="AR69" s="35">
        <v>2.0</v>
      </c>
      <c r="AS69" s="35" t="s">
        <v>569</v>
      </c>
      <c r="AT69" s="35">
        <v>3.0</v>
      </c>
      <c r="AU69" s="95"/>
      <c r="AV69" s="95"/>
      <c r="AW69" s="35"/>
      <c r="AX69" s="35"/>
      <c r="AY69" s="35" t="s">
        <v>562</v>
      </c>
      <c r="AZ69" s="35">
        <v>1.0</v>
      </c>
    </row>
    <row r="70">
      <c r="A70" s="35" t="s">
        <v>536</v>
      </c>
      <c r="B70" s="35">
        <v>1.0</v>
      </c>
      <c r="C70" s="35" t="s">
        <v>539</v>
      </c>
      <c r="D70" s="35">
        <v>1.0</v>
      </c>
      <c r="G70" s="35" t="s">
        <v>544</v>
      </c>
      <c r="H70" s="35">
        <v>1.0</v>
      </c>
      <c r="I70" s="35" t="s">
        <v>548</v>
      </c>
      <c r="J70" s="35">
        <v>1.0</v>
      </c>
      <c r="M70" s="8"/>
      <c r="N70" s="69">
        <v>78.0</v>
      </c>
      <c r="O70" s="35" t="s">
        <v>536</v>
      </c>
      <c r="P70" s="35">
        <v>2.0</v>
      </c>
      <c r="Q70" s="8"/>
      <c r="R70" s="69">
        <v>71.0</v>
      </c>
      <c r="S70" s="35" t="s">
        <v>676</v>
      </c>
      <c r="T70" s="35">
        <v>1.0</v>
      </c>
      <c r="U70" s="35" t="s">
        <v>536</v>
      </c>
      <c r="V70" s="35">
        <v>2.0</v>
      </c>
      <c r="Y70" s="35" t="s">
        <v>556</v>
      </c>
      <c r="Z70" s="35">
        <v>1.0</v>
      </c>
      <c r="AA70" s="35" t="s">
        <v>530</v>
      </c>
      <c r="AB70" s="35">
        <v>1.0</v>
      </c>
      <c r="AC70" s="95"/>
      <c r="AD70" s="95"/>
      <c r="AE70" s="35" t="s">
        <v>559</v>
      </c>
      <c r="AF70" s="35">
        <v>1.0</v>
      </c>
      <c r="AG70" s="35" t="s">
        <v>536</v>
      </c>
      <c r="AH70" s="35">
        <v>3.0</v>
      </c>
      <c r="AI70" s="95"/>
      <c r="AJ70" s="95"/>
      <c r="AK70" s="35" t="s">
        <v>562</v>
      </c>
      <c r="AL70" s="35">
        <v>1.0</v>
      </c>
      <c r="AM70" s="35"/>
      <c r="AN70" s="35"/>
      <c r="AO70" s="95"/>
      <c r="AP70" s="95"/>
      <c r="AQ70" s="35"/>
      <c r="AR70" s="35"/>
      <c r="AS70" s="35" t="s">
        <v>555</v>
      </c>
      <c r="AT70" s="35">
        <v>1.0</v>
      </c>
      <c r="AU70" s="95"/>
      <c r="AV70" s="95"/>
      <c r="AW70" s="35"/>
      <c r="AX70" s="72">
        <v>79.0</v>
      </c>
      <c r="AY70" s="72"/>
      <c r="AZ70" s="72"/>
    </row>
    <row r="71">
      <c r="A71" s="35" t="s">
        <v>541</v>
      </c>
      <c r="B71" s="35">
        <v>2.0</v>
      </c>
      <c r="C71" s="35" t="s">
        <v>544</v>
      </c>
      <c r="D71" s="35">
        <v>1.0</v>
      </c>
      <c r="G71" s="35" t="s">
        <v>676</v>
      </c>
      <c r="H71" s="35">
        <v>1.0</v>
      </c>
      <c r="I71" s="35" t="s">
        <v>552</v>
      </c>
      <c r="J71" s="35">
        <v>1.0</v>
      </c>
      <c r="O71" s="35" t="s">
        <v>530</v>
      </c>
      <c r="P71" s="35">
        <v>1.0</v>
      </c>
      <c r="S71" s="35" t="s">
        <v>552</v>
      </c>
      <c r="T71" s="35">
        <v>1.0</v>
      </c>
      <c r="U71" s="35" t="s">
        <v>530</v>
      </c>
      <c r="V71" s="35">
        <v>1.0</v>
      </c>
      <c r="Y71" s="35" t="s">
        <v>548</v>
      </c>
      <c r="Z71" s="35">
        <v>2.0</v>
      </c>
      <c r="AA71" s="35" t="s">
        <v>541</v>
      </c>
      <c r="AB71" s="35">
        <v>1.0</v>
      </c>
      <c r="AC71" s="95"/>
      <c r="AD71" s="95"/>
      <c r="AE71" s="35" t="s">
        <v>548</v>
      </c>
      <c r="AF71" s="35">
        <v>2.0</v>
      </c>
      <c r="AG71" s="35" t="s">
        <v>530</v>
      </c>
      <c r="AH71" s="35">
        <v>2.0</v>
      </c>
      <c r="AI71" s="95"/>
      <c r="AJ71" s="95"/>
      <c r="AK71" s="35"/>
      <c r="AL71" s="35"/>
      <c r="AM71" s="35"/>
      <c r="AN71" s="72">
        <v>80.0</v>
      </c>
      <c r="AO71" s="165"/>
      <c r="AP71" s="165"/>
      <c r="AQ71" s="72"/>
      <c r="AR71" s="72">
        <v>81.0</v>
      </c>
      <c r="AS71" s="72"/>
      <c r="AT71" s="72"/>
      <c r="AU71" s="165"/>
      <c r="AV71" s="165"/>
      <c r="AW71" s="165"/>
      <c r="AX71" s="165"/>
      <c r="AY71" s="72"/>
      <c r="AZ71" s="72">
        <v>87.0</v>
      </c>
    </row>
    <row r="72">
      <c r="A72" s="35" t="s">
        <v>535</v>
      </c>
      <c r="B72" s="35">
        <v>1.0</v>
      </c>
      <c r="C72" s="35" t="s">
        <v>676</v>
      </c>
      <c r="D72" s="35">
        <v>1.0</v>
      </c>
      <c r="G72" s="35" t="s">
        <v>569</v>
      </c>
      <c r="H72" s="35">
        <v>2.0</v>
      </c>
      <c r="I72" s="35" t="s">
        <v>569</v>
      </c>
      <c r="J72" s="35">
        <v>2.0</v>
      </c>
      <c r="O72" s="35" t="s">
        <v>541</v>
      </c>
      <c r="P72" s="35">
        <v>1.0</v>
      </c>
      <c r="S72" s="8"/>
      <c r="T72" s="8"/>
      <c r="U72" s="35" t="s">
        <v>553</v>
      </c>
      <c r="V72" s="35">
        <v>1.0</v>
      </c>
      <c r="Y72" s="8"/>
      <c r="Z72" s="8"/>
      <c r="AA72" s="35" t="s">
        <v>535</v>
      </c>
      <c r="AB72" s="35">
        <v>1.0</v>
      </c>
      <c r="AC72" s="95"/>
      <c r="AD72" s="95"/>
      <c r="AE72" s="35"/>
      <c r="AF72" s="35"/>
      <c r="AG72" s="35" t="s">
        <v>553</v>
      </c>
      <c r="AH72" s="35">
        <v>1.0</v>
      </c>
      <c r="AI72" s="95"/>
      <c r="AJ72" s="95"/>
      <c r="AK72" s="35"/>
      <c r="AL72" s="72">
        <v>84.0</v>
      </c>
      <c r="AM72" s="165"/>
      <c r="AN72" s="165"/>
      <c r="AO72" s="165"/>
      <c r="AP72" s="165"/>
      <c r="AQ72" s="165"/>
      <c r="AR72" s="165"/>
      <c r="AS72" s="72"/>
      <c r="AT72" s="72">
        <v>89.0</v>
      </c>
      <c r="AU72" s="165"/>
      <c r="AV72" s="165"/>
      <c r="AW72" s="165"/>
      <c r="AX72" s="165"/>
      <c r="AY72" s="165"/>
      <c r="AZ72" s="165"/>
    </row>
    <row r="73">
      <c r="A73" s="35" t="s">
        <v>548</v>
      </c>
      <c r="B73" s="35">
        <v>1.0</v>
      </c>
      <c r="C73" s="35" t="s">
        <v>548</v>
      </c>
      <c r="D73" s="35">
        <v>1.0</v>
      </c>
      <c r="G73" s="35" t="s">
        <v>555</v>
      </c>
      <c r="H73" s="35">
        <v>1.0</v>
      </c>
      <c r="I73" s="35" t="s">
        <v>555</v>
      </c>
      <c r="J73" s="35">
        <v>1.0</v>
      </c>
      <c r="O73" s="35" t="s">
        <v>553</v>
      </c>
      <c r="P73" s="35">
        <v>1.0</v>
      </c>
      <c r="S73" s="8"/>
      <c r="T73" s="69">
        <v>85.0</v>
      </c>
      <c r="U73" s="35" t="s">
        <v>544</v>
      </c>
      <c r="V73" s="35">
        <v>2.0</v>
      </c>
      <c r="Y73" s="8"/>
      <c r="Z73" s="69">
        <v>79.0</v>
      </c>
      <c r="AA73" s="35" t="s">
        <v>571</v>
      </c>
      <c r="AB73" s="35">
        <v>1.0</v>
      </c>
      <c r="AC73" s="95"/>
      <c r="AD73" s="95"/>
      <c r="AE73" s="35"/>
      <c r="AF73" s="72">
        <v>79.0</v>
      </c>
      <c r="AG73" s="35" t="s">
        <v>544</v>
      </c>
      <c r="AH73" s="35">
        <v>1.0</v>
      </c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</row>
    <row r="74">
      <c r="A74" s="35" t="s">
        <v>552</v>
      </c>
      <c r="B74" s="35">
        <v>1.0</v>
      </c>
      <c r="C74" s="35" t="s">
        <v>552</v>
      </c>
      <c r="D74" s="35">
        <v>1.0</v>
      </c>
      <c r="G74" s="8"/>
      <c r="H74" s="8"/>
      <c r="I74" s="8"/>
      <c r="J74" s="8"/>
      <c r="O74" s="35" t="s">
        <v>571</v>
      </c>
      <c r="P74" s="35">
        <v>1.0</v>
      </c>
      <c r="U74" s="35" t="s">
        <v>559</v>
      </c>
      <c r="V74" s="35">
        <v>1.0</v>
      </c>
      <c r="AA74" s="35" t="s">
        <v>548</v>
      </c>
      <c r="AB74" s="35">
        <v>1.0</v>
      </c>
      <c r="AC74" s="95"/>
      <c r="AD74" s="95"/>
      <c r="AE74" s="95"/>
      <c r="AF74" s="95"/>
      <c r="AG74" s="35" t="s">
        <v>676</v>
      </c>
      <c r="AH74" s="35">
        <v>1.0</v>
      </c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</row>
    <row r="75">
      <c r="A75" s="8"/>
      <c r="B75" s="8"/>
      <c r="C75" s="8"/>
      <c r="D75" s="8"/>
      <c r="G75" s="8"/>
      <c r="H75" s="69">
        <v>80.0</v>
      </c>
      <c r="I75" s="8"/>
      <c r="J75" s="69">
        <v>90.0</v>
      </c>
      <c r="O75" s="35" t="s">
        <v>544</v>
      </c>
      <c r="P75" s="35">
        <v>1.0</v>
      </c>
      <c r="U75" s="35" t="s">
        <v>556</v>
      </c>
      <c r="V75" s="35">
        <v>1.0</v>
      </c>
      <c r="AA75" s="35" t="s">
        <v>552</v>
      </c>
      <c r="AB75" s="35">
        <v>2.0</v>
      </c>
      <c r="AC75" s="95"/>
      <c r="AD75" s="95"/>
      <c r="AE75" s="95"/>
      <c r="AF75" s="95"/>
      <c r="AG75" s="35" t="s">
        <v>548</v>
      </c>
      <c r="AH75" s="35">
        <v>1.0</v>
      </c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</row>
    <row r="76">
      <c r="A76" s="8"/>
      <c r="B76" s="69">
        <v>83.0</v>
      </c>
      <c r="C76" s="8"/>
      <c r="D76" s="69">
        <v>82.0</v>
      </c>
      <c r="O76" s="35" t="s">
        <v>548</v>
      </c>
      <c r="P76" s="35">
        <v>1.0</v>
      </c>
      <c r="U76" s="35" t="s">
        <v>548</v>
      </c>
      <c r="V76" s="35">
        <v>1.0</v>
      </c>
      <c r="AA76" s="35" t="s">
        <v>562</v>
      </c>
      <c r="AB76" s="35">
        <v>2.0</v>
      </c>
      <c r="AC76" s="95"/>
      <c r="AD76" s="95"/>
      <c r="AE76" s="95"/>
      <c r="AF76" s="95"/>
      <c r="AG76" s="35" t="s">
        <v>552</v>
      </c>
      <c r="AH76" s="35">
        <v>1.0</v>
      </c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</row>
    <row r="77">
      <c r="O77" s="35" t="s">
        <v>552</v>
      </c>
      <c r="P77" s="35">
        <v>3.0</v>
      </c>
      <c r="U77" s="35" t="s">
        <v>552</v>
      </c>
      <c r="V77" s="35">
        <v>1.0</v>
      </c>
      <c r="AA77" s="35" t="s">
        <v>565</v>
      </c>
      <c r="AB77" s="35">
        <v>1.0</v>
      </c>
      <c r="AC77" s="95"/>
      <c r="AD77" s="95"/>
      <c r="AE77" s="95"/>
      <c r="AF77" s="95"/>
      <c r="AG77" s="35" t="s">
        <v>562</v>
      </c>
      <c r="AH77" s="35">
        <v>1.0</v>
      </c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</row>
    <row r="78">
      <c r="O78" s="35" t="s">
        <v>562</v>
      </c>
      <c r="P78" s="35">
        <v>2.0</v>
      </c>
      <c r="U78" s="35" t="s">
        <v>565</v>
      </c>
      <c r="V78" s="35">
        <v>1.0</v>
      </c>
      <c r="AA78" s="8"/>
      <c r="AB78" s="8"/>
      <c r="AC78" s="93"/>
      <c r="AD78" s="93"/>
      <c r="AE78" s="93"/>
      <c r="AF78" s="93"/>
      <c r="AG78" s="8"/>
      <c r="AH78" s="8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</row>
    <row r="79">
      <c r="O79" s="35" t="s">
        <v>569</v>
      </c>
      <c r="P79" s="35">
        <v>1.0</v>
      </c>
      <c r="U79" s="8"/>
      <c r="V79" s="8"/>
      <c r="AA79" s="8"/>
      <c r="AB79" s="69">
        <v>86.0</v>
      </c>
      <c r="AC79" s="92"/>
      <c r="AD79" s="92"/>
      <c r="AE79" s="92"/>
      <c r="AF79" s="92"/>
      <c r="AG79" s="69"/>
      <c r="AH79" s="69">
        <v>93.0</v>
      </c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</row>
    <row r="80">
      <c r="O80" s="8"/>
      <c r="P80" s="8"/>
      <c r="U80" s="8"/>
      <c r="V80" s="69">
        <v>90.0</v>
      </c>
    </row>
    <row r="81">
      <c r="O81" s="8"/>
      <c r="P81" s="69">
        <v>85.0</v>
      </c>
    </row>
  </sheetData>
  <printOptions gridLines="1"/>
  <pageMargins bottom="0.75" footer="0.0" header="0.0" left="0.33379310344827584" right="0.2" top="0.75"/>
  <pageSetup fitToHeight="0" orientation="portrait" pageOrder="overThenDown"/>
  <drawing r:id="rId1"/>
</worksheet>
</file>